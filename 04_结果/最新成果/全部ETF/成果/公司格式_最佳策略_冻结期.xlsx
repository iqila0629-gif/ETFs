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本表：全部ETF每基金最佳策略，冻结期2025-2026。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第2-10行为统计公式；第13行为日期+基金；数据行从第14行开始。</t>
        </is>
      </c>
    </row>
    <row r="5">
      <c r="A5" t="inlineStr">
        <is>
          <t>每列一支基金，值为该基金策略触发日的实际回报（%），未触发留空。</t>
        </is>
      </c>
    </row>
    <row r="6">
      <c r="A6" t="inlineStr">
        <is>
          <t>统计行含义：Hit Ratio=命中率，Up/Down Count=涨/跌次数，</t>
        </is>
      </c>
    </row>
    <row r="7">
      <c r="A7" t="inlineStr">
        <is>
          <t>Average=平均回报，Max/Min=最大/最小，Count=交易数，Std=标准差，Sum=合计。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 t="inlineStr"/>
      <c r="N2">
        <f>N3/(N3+N4)</f>
        <v/>
      </c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  <c r="U2">
        <f>U3/(U3+U4)</f>
        <v/>
      </c>
      <c r="V2">
        <f>V3/(V3+V4)</f>
        <v/>
      </c>
      <c r="W2" t="inlineStr"/>
      <c r="X2" t="inlineStr"/>
      <c r="Y2">
        <f>Y3/(Y3+Y4)</f>
        <v/>
      </c>
      <c r="Z2">
        <f>Z3/(Z3+Z4)</f>
        <v/>
      </c>
      <c r="AA2">
        <f>AA3/(AA3+AA4)</f>
        <v/>
      </c>
      <c r="AB2">
        <f>AB3/(AB3+AB4)</f>
        <v/>
      </c>
      <c r="AC2">
        <f>AC3/(AC3+AC4)</f>
        <v/>
      </c>
      <c r="AD2" t="inlineStr"/>
      <c r="AE2">
        <f>AE3/(AE3+AE4)</f>
        <v/>
      </c>
      <c r="AF2">
        <f>AF3/(AF3+AF4)</f>
        <v/>
      </c>
      <c r="AG2">
        <f>AG3/(AG3+AG4)</f>
        <v/>
      </c>
      <c r="AH2">
        <f>AH3/(AH3+AH4)</f>
        <v/>
      </c>
      <c r="AI2">
        <f>AI3/(AI3+AI4)</f>
        <v/>
      </c>
      <c r="AJ2">
        <f>AJ3/(AJ3+AJ4)</f>
        <v/>
      </c>
      <c r="AK2">
        <f>AK3/(AK3+AK4)</f>
        <v/>
      </c>
      <c r="AL2">
        <f>AL3/(AL3+AL4)</f>
        <v/>
      </c>
      <c r="AM2">
        <f>AM3/(AM3+AM4)</f>
        <v/>
      </c>
      <c r="AN2">
        <f>AN3/(AN3+AN4)</f>
        <v/>
      </c>
      <c r="AO2">
        <f>AO3/(AO3+AO4)</f>
        <v/>
      </c>
      <c r="AP2">
        <f>AP3/(AP3+AP4)</f>
        <v/>
      </c>
      <c r="AQ2">
        <f>AQ3/(AQ3+AQ4)</f>
        <v/>
      </c>
      <c r="AR2">
        <f>AR3/(AR3+AR4)</f>
        <v/>
      </c>
      <c r="AS2">
        <f>AS3/(AS3+AS4)</f>
        <v/>
      </c>
      <c r="AT2">
        <f>AT3/(AT3+AT4)</f>
        <v/>
      </c>
      <c r="AU2" t="inlineStr"/>
      <c r="AV2" t="inlineStr"/>
      <c r="AW2">
        <f>AW3/(AW3+AW4)</f>
        <v/>
      </c>
      <c r="AX2">
        <f>AX3/(AX3+AX4)</f>
        <v/>
      </c>
      <c r="AY2">
        <f>AY3/(AY3+AY4)</f>
        <v/>
      </c>
      <c r="AZ2">
        <f>AZ3/(AZ3+AZ4)</f>
        <v/>
      </c>
      <c r="BA2">
        <f>BA3/(BA3+BA4)</f>
        <v/>
      </c>
      <c r="BB2">
        <f>BB3/(BB3+BB4)</f>
        <v/>
      </c>
      <c r="BC2">
        <f>BC3/(BC3+BC4)</f>
        <v/>
      </c>
      <c r="BD2">
        <f>BD3/(BD3+BD4)</f>
        <v/>
      </c>
      <c r="BE2" t="inlineStr"/>
      <c r="BF2" t="inlineStr"/>
      <c r="BG2">
        <f>BG3/(BG3+BG4)</f>
        <v/>
      </c>
      <c r="BH2">
        <f>BH3/(BH3+BH4)</f>
        <v/>
      </c>
      <c r="BI2">
        <f>BI3/(BI3+BI4)</f>
        <v/>
      </c>
      <c r="BJ2">
        <f>BJ3/(BJ3+BJ4)</f>
        <v/>
      </c>
      <c r="BK2" t="inlineStr"/>
      <c r="BL2" t="inlineStr"/>
      <c r="BM2">
        <f>BM3/(BM3+BM4)</f>
        <v/>
      </c>
      <c r="BN2">
        <f>BN3/(BN3+BN4)</f>
        <v/>
      </c>
      <c r="BO2">
        <f>BO3/(BO3+BO4)</f>
        <v/>
      </c>
      <c r="BP2">
        <f>BP3/(BP3+BP4)</f>
        <v/>
      </c>
      <c r="BQ2">
        <f>BQ3/(BQ3+BQ4)</f>
        <v/>
      </c>
      <c r="BR2">
        <f>BR3/(BR3+BR4)</f>
        <v/>
      </c>
      <c r="BS2">
        <f>BS3/(BS3+BS4)</f>
        <v/>
      </c>
      <c r="BT2">
        <f>BT3/(BT3+BT4)</f>
        <v/>
      </c>
      <c r="BU2">
        <f>BU3/(BU3+BU4)</f>
        <v/>
      </c>
      <c r="BV2">
        <f>BV3/(BV3+BV4)</f>
        <v/>
      </c>
      <c r="BW2">
        <f>BW3/(BW3+BW4)</f>
        <v/>
      </c>
      <c r="BX2">
        <f>BX3/(BX3+BX4)</f>
        <v/>
      </c>
      <c r="BY2">
        <f>BY3/(BY3+BY4)</f>
        <v/>
      </c>
      <c r="BZ2">
        <f>BZ3/(BZ3+BZ4)</f>
        <v/>
      </c>
      <c r="CA2">
        <f>CA3/(CA3+CA4)</f>
        <v/>
      </c>
      <c r="CB2">
        <f>CB3/(CB3+CB4)</f>
        <v/>
      </c>
      <c r="CC2">
        <f>CC3/(CC3+CC4)</f>
        <v/>
      </c>
      <c r="CD2">
        <f>CD3/(CD3+CD4)</f>
        <v/>
      </c>
      <c r="CE2">
        <f>CE3/(CE3+CE4)</f>
        <v/>
      </c>
      <c r="CF2">
        <f>CF3/(CF3+CF4)</f>
        <v/>
      </c>
      <c r="CG2">
        <f>CG3/(CG3+CG4)</f>
        <v/>
      </c>
      <c r="CH2">
        <f>CH3/(CH3+CH4)</f>
        <v/>
      </c>
      <c r="CI2">
        <f>CI3/(CI3+CI4)</f>
        <v/>
      </c>
      <c r="CJ2">
        <f>CJ3/(CJ3+CJ4)</f>
        <v/>
      </c>
      <c r="CK2">
        <f>CK3/(CK3+CK4)</f>
        <v/>
      </c>
      <c r="CL2">
        <f>CL3/(CL3+CL4)</f>
        <v/>
      </c>
      <c r="CM2">
        <f>CM3/(CM3+CM4)</f>
        <v/>
      </c>
      <c r="CN2">
        <f>CN3/(CN3+CN4)</f>
        <v/>
      </c>
      <c r="CO2">
        <f>CO3/(CO3+CO4)</f>
        <v/>
      </c>
      <c r="CP2">
        <f>CP3/(CP3+CP4)</f>
        <v/>
      </c>
      <c r="CQ2">
        <f>CQ3/(CQ3+CQ4)</f>
        <v/>
      </c>
      <c r="CR2">
        <f>CR3/(CR3+CR4)</f>
        <v/>
      </c>
      <c r="CS2">
        <f>CS3/(CS3+CS4)</f>
        <v/>
      </c>
      <c r="CT2">
        <f>CT3/(CT3+CT4)</f>
        <v/>
      </c>
      <c r="CU2">
        <f>CU3/(CU3+CU4)</f>
        <v/>
      </c>
      <c r="CV2">
        <f>CV3/(CV3+CV4)</f>
        <v/>
      </c>
      <c r="CW2">
        <f>CW3/(CW3+CW4)</f>
        <v/>
      </c>
      <c r="CX2">
        <f>CX3/(CX3+CX4)</f>
        <v/>
      </c>
      <c r="CY2">
        <f>CY3/(CY3+CY4)</f>
        <v/>
      </c>
      <c r="CZ2">
        <f>CZ3/(CZ3+CZ4)</f>
        <v/>
      </c>
      <c r="DA2">
        <f>DA3/(DA3+DA4)</f>
        <v/>
      </c>
      <c r="DB2">
        <f>DB3/(DB3+DB4)</f>
        <v/>
      </c>
      <c r="DC2">
        <f>DC3/(DC3+DC4)</f>
        <v/>
      </c>
      <c r="DD2">
        <f>DD3/(DD3+DD4)</f>
        <v/>
      </c>
      <c r="DE2">
        <f>DE3/(DE3+DE4)</f>
        <v/>
      </c>
      <c r="DF2">
        <f>DF3/(DF3+DF4)</f>
        <v/>
      </c>
      <c r="DG2">
        <f>DG3/(DG3+DG4)</f>
        <v/>
      </c>
      <c r="DH2">
        <f>DH3/(DH3+DH4)</f>
        <v/>
      </c>
      <c r="DI2">
        <f>DI3/(DI3+DI4)</f>
        <v/>
      </c>
      <c r="DJ2">
        <f>DJ3/(DJ3+DJ4)</f>
        <v/>
      </c>
      <c r="DK2">
        <f>DK3/(DK3+DK4)</f>
        <v/>
      </c>
      <c r="DL2">
        <f>DL3/(DL3+DL4)</f>
        <v/>
      </c>
      <c r="DM2">
        <f>DM3/(DM3+DM4)</f>
        <v/>
      </c>
      <c r="DN2">
        <f>DN3/(DN3+DN4)</f>
        <v/>
      </c>
      <c r="DO2">
        <f>DO3/(DO3+DO4)</f>
        <v/>
      </c>
      <c r="DP2">
        <f>DP3/(DP3+DP4)</f>
        <v/>
      </c>
      <c r="DQ2">
        <f>DQ3/(DQ3+DQ4)</f>
        <v/>
      </c>
      <c r="DR2">
        <f>DR3/(DR3+DR4)</f>
        <v/>
      </c>
      <c r="DS2">
        <f>DS3/(DS3+DS4)</f>
        <v/>
      </c>
      <c r="DT2">
        <f>DT3/(DT3+DT4)</f>
        <v/>
      </c>
      <c r="DU2">
        <f>DU3/(DU3+DU4)</f>
        <v/>
      </c>
      <c r="DV2">
        <f>DV3/(DV3+DV4)</f>
        <v/>
      </c>
      <c r="DW2">
        <f>DW3/(DW3+DW4)</f>
        <v/>
      </c>
      <c r="DX2">
        <f>DX3/(DX3+DX4)</f>
        <v/>
      </c>
      <c r="DY2">
        <f>DY3/(DY3+DY4)</f>
        <v/>
      </c>
      <c r="DZ2">
        <f>DZ3/(DZ3+DZ4)</f>
        <v/>
      </c>
    </row>
    <row r="3">
      <c r="A3" t="inlineStr">
        <is>
          <t>Up Count</t>
        </is>
      </c>
      <c r="B3">
        <f>COUNTIF(B14:B410,"&gt;0")</f>
        <v/>
      </c>
      <c r="C3">
        <f>COUNTIF(C14:C410,"&gt;0")</f>
        <v/>
      </c>
      <c r="D3">
        <f>COUNTIF(D14:D410,"&gt;0")</f>
        <v/>
      </c>
      <c r="E3">
        <f>COUNTIF(E14:E410,"&gt;0")</f>
        <v/>
      </c>
      <c r="F3">
        <f>COUNTIF(F14:F410,"&gt;0")</f>
        <v/>
      </c>
      <c r="G3">
        <f>COUNTIF(G14:G410,"&gt;0")</f>
        <v/>
      </c>
      <c r="H3">
        <f>COUNTIF(H14:H410,"&gt;0")</f>
        <v/>
      </c>
      <c r="I3">
        <f>COUNTIF(I14:I410,"&gt;0")</f>
        <v/>
      </c>
      <c r="J3">
        <f>COUNTIF(J14:J410,"&gt;0")</f>
        <v/>
      </c>
      <c r="K3">
        <f>COUNTIF(K14:K410,"&gt;0")</f>
        <v/>
      </c>
      <c r="L3">
        <f>COUNTIF(L14:L410,"&gt;0")</f>
        <v/>
      </c>
      <c r="M3" t="inlineStr"/>
      <c r="N3">
        <f>COUNTIF(N14:N410,"&gt;0")</f>
        <v/>
      </c>
      <c r="O3">
        <f>COUNTIF(O14:O410,"&gt;0")</f>
        <v/>
      </c>
      <c r="P3">
        <f>COUNTIF(P14:P410,"&gt;0")</f>
        <v/>
      </c>
      <c r="Q3">
        <f>COUNTIF(Q14:Q410,"&gt;0")</f>
        <v/>
      </c>
      <c r="R3">
        <f>COUNTIF(R14:R410,"&gt;0")</f>
        <v/>
      </c>
      <c r="S3">
        <f>COUNTIF(S14:S410,"&gt;0")</f>
        <v/>
      </c>
      <c r="T3">
        <f>COUNTIF(T14:T410,"&gt;0")</f>
        <v/>
      </c>
      <c r="U3">
        <f>COUNTIF(U14:U410,"&gt;0")</f>
        <v/>
      </c>
      <c r="V3">
        <f>COUNTIF(V14:V410,"&gt;0")</f>
        <v/>
      </c>
      <c r="W3" t="inlineStr"/>
      <c r="X3" t="inlineStr"/>
      <c r="Y3">
        <f>COUNTIF(Y14:Y410,"&gt;0")</f>
        <v/>
      </c>
      <c r="Z3">
        <f>COUNTIF(Z14:Z410,"&gt;0")</f>
        <v/>
      </c>
      <c r="AA3">
        <f>COUNTIF(AA14:AA410,"&gt;0")</f>
        <v/>
      </c>
      <c r="AB3">
        <f>COUNTIF(AB14:AB410,"&gt;0")</f>
        <v/>
      </c>
      <c r="AC3">
        <f>COUNTIF(AC14:AC410,"&gt;0")</f>
        <v/>
      </c>
      <c r="AD3" t="inlineStr"/>
      <c r="AE3">
        <f>COUNTIF(AE14:AE410,"&gt;0")</f>
        <v/>
      </c>
      <c r="AF3">
        <f>COUNTIF(AF14:AF410,"&gt;0")</f>
        <v/>
      </c>
      <c r="AG3">
        <f>COUNTIF(AG14:AG410,"&gt;0")</f>
        <v/>
      </c>
      <c r="AH3">
        <f>COUNTIF(AH14:AH410,"&gt;0")</f>
        <v/>
      </c>
      <c r="AI3">
        <f>COUNTIF(AI14:AI410,"&gt;0")</f>
        <v/>
      </c>
      <c r="AJ3">
        <f>COUNTIF(AJ14:AJ410,"&gt;0")</f>
        <v/>
      </c>
      <c r="AK3">
        <f>COUNTIF(AK14:AK410,"&gt;0")</f>
        <v/>
      </c>
      <c r="AL3">
        <f>COUNTIF(AL14:AL410,"&gt;0")</f>
        <v/>
      </c>
      <c r="AM3">
        <f>COUNTIF(AM14:AM410,"&gt;0")</f>
        <v/>
      </c>
      <c r="AN3">
        <f>COUNTIF(AN14:AN410,"&gt;0")</f>
        <v/>
      </c>
      <c r="AO3">
        <f>COUNTIF(AO14:AO410,"&gt;0")</f>
        <v/>
      </c>
      <c r="AP3">
        <f>COUNTIF(AP14:AP410,"&gt;0")</f>
        <v/>
      </c>
      <c r="AQ3">
        <f>COUNTIF(AQ14:AQ410,"&gt;0")</f>
        <v/>
      </c>
      <c r="AR3">
        <f>COUNTIF(AR14:AR410,"&gt;0")</f>
        <v/>
      </c>
      <c r="AS3">
        <f>COUNTIF(AS14:AS410,"&gt;0")</f>
        <v/>
      </c>
      <c r="AT3">
        <f>COUNTIF(AT14:AT410,"&gt;0")</f>
        <v/>
      </c>
      <c r="AU3" t="inlineStr"/>
      <c r="AV3" t="inlineStr"/>
      <c r="AW3">
        <f>COUNTIF(AW14:AW410,"&gt;0")</f>
        <v/>
      </c>
      <c r="AX3">
        <f>COUNTIF(AX14:AX410,"&gt;0")</f>
        <v/>
      </c>
      <c r="AY3">
        <f>COUNTIF(AY14:AY410,"&gt;0")</f>
        <v/>
      </c>
      <c r="AZ3">
        <f>COUNTIF(AZ14:AZ410,"&gt;0")</f>
        <v/>
      </c>
      <c r="BA3">
        <f>COUNTIF(BA14:BA410,"&gt;0")</f>
        <v/>
      </c>
      <c r="BB3">
        <f>COUNTIF(BB14:BB410,"&gt;0")</f>
        <v/>
      </c>
      <c r="BC3">
        <f>COUNTIF(BC14:BC410,"&gt;0")</f>
        <v/>
      </c>
      <c r="BD3">
        <f>COUNTIF(BD14:BD410,"&gt;0")</f>
        <v/>
      </c>
      <c r="BE3" t="inlineStr"/>
      <c r="BF3" t="inlineStr"/>
      <c r="BG3">
        <f>COUNTIF(BG14:BG410,"&gt;0")</f>
        <v/>
      </c>
      <c r="BH3">
        <f>COUNTIF(BH14:BH410,"&gt;0")</f>
        <v/>
      </c>
      <c r="BI3">
        <f>COUNTIF(BI14:BI410,"&gt;0")</f>
        <v/>
      </c>
      <c r="BJ3">
        <f>COUNTIF(BJ14:BJ410,"&gt;0")</f>
        <v/>
      </c>
      <c r="BK3" t="inlineStr"/>
      <c r="BL3" t="inlineStr"/>
      <c r="BM3">
        <f>COUNTIF(BM14:BM410,"&gt;0")</f>
        <v/>
      </c>
      <c r="BN3">
        <f>COUNTIF(BN14:BN410,"&gt;0")</f>
        <v/>
      </c>
      <c r="BO3">
        <f>COUNTIF(BO14:BO410,"&gt;0")</f>
        <v/>
      </c>
      <c r="BP3">
        <f>COUNTIF(BP14:BP410,"&gt;0")</f>
        <v/>
      </c>
      <c r="BQ3">
        <f>COUNTIF(BQ14:BQ410,"&gt;0")</f>
        <v/>
      </c>
      <c r="BR3">
        <f>COUNTIF(BR14:BR410,"&gt;0")</f>
        <v/>
      </c>
      <c r="BS3">
        <f>COUNTIF(BS14:BS410,"&gt;0")</f>
        <v/>
      </c>
      <c r="BT3">
        <f>COUNTIF(BT14:BT410,"&gt;0")</f>
        <v/>
      </c>
      <c r="BU3">
        <f>COUNTIF(BU14:BU410,"&gt;0")</f>
        <v/>
      </c>
      <c r="BV3">
        <f>COUNTIF(BV14:BV410,"&gt;0")</f>
        <v/>
      </c>
      <c r="BW3">
        <f>COUNTIF(BW14:BW410,"&gt;0")</f>
        <v/>
      </c>
      <c r="BX3">
        <f>COUNTIF(BX14:BX410,"&gt;0")</f>
        <v/>
      </c>
      <c r="BY3">
        <f>COUNTIF(BY14:BY410,"&gt;0")</f>
        <v/>
      </c>
      <c r="BZ3">
        <f>COUNTIF(BZ14:BZ410,"&gt;0")</f>
        <v/>
      </c>
      <c r="CA3">
        <f>COUNTIF(CA14:CA410,"&gt;0")</f>
        <v/>
      </c>
      <c r="CB3">
        <f>COUNTIF(CB14:CB410,"&gt;0")</f>
        <v/>
      </c>
      <c r="CC3">
        <f>COUNTIF(CC14:CC410,"&gt;0")</f>
        <v/>
      </c>
      <c r="CD3">
        <f>COUNTIF(CD14:CD410,"&gt;0")</f>
        <v/>
      </c>
      <c r="CE3">
        <f>COUNTIF(CE14:CE410,"&gt;0")</f>
        <v/>
      </c>
      <c r="CF3">
        <f>COUNTIF(CF14:CF410,"&gt;0")</f>
        <v/>
      </c>
      <c r="CG3">
        <f>COUNTIF(CG14:CG410,"&gt;0")</f>
        <v/>
      </c>
      <c r="CH3">
        <f>COUNTIF(CH14:CH410,"&gt;0")</f>
        <v/>
      </c>
      <c r="CI3">
        <f>COUNTIF(CI14:CI410,"&gt;0")</f>
        <v/>
      </c>
      <c r="CJ3">
        <f>COUNTIF(CJ14:CJ410,"&gt;0")</f>
        <v/>
      </c>
      <c r="CK3">
        <f>COUNTIF(CK14:CK410,"&gt;0")</f>
        <v/>
      </c>
      <c r="CL3">
        <f>COUNTIF(CL14:CL410,"&gt;0")</f>
        <v/>
      </c>
      <c r="CM3">
        <f>COUNTIF(CM14:CM410,"&gt;0")</f>
        <v/>
      </c>
      <c r="CN3">
        <f>COUNTIF(CN14:CN410,"&gt;0")</f>
        <v/>
      </c>
      <c r="CO3">
        <f>COUNTIF(CO14:CO410,"&gt;0")</f>
        <v/>
      </c>
      <c r="CP3">
        <f>COUNTIF(CP14:CP410,"&gt;0")</f>
        <v/>
      </c>
      <c r="CQ3">
        <f>COUNTIF(CQ14:CQ410,"&gt;0")</f>
        <v/>
      </c>
      <c r="CR3">
        <f>COUNTIF(CR14:CR410,"&gt;0")</f>
        <v/>
      </c>
      <c r="CS3">
        <f>COUNTIF(CS14:CS410,"&gt;0")</f>
        <v/>
      </c>
      <c r="CT3">
        <f>COUNTIF(CT14:CT410,"&gt;0")</f>
        <v/>
      </c>
      <c r="CU3">
        <f>COUNTIF(CU14:CU410,"&gt;0")</f>
        <v/>
      </c>
      <c r="CV3">
        <f>COUNTIF(CV14:CV410,"&gt;0")</f>
        <v/>
      </c>
      <c r="CW3">
        <f>COUNTIF(CW14:CW410,"&gt;0")</f>
        <v/>
      </c>
      <c r="CX3">
        <f>COUNTIF(CX14:CX410,"&gt;0")</f>
        <v/>
      </c>
      <c r="CY3">
        <f>COUNTIF(CY14:CY410,"&gt;0")</f>
        <v/>
      </c>
      <c r="CZ3">
        <f>COUNTIF(CZ14:CZ410,"&gt;0")</f>
        <v/>
      </c>
      <c r="DA3">
        <f>COUNTIF(DA14:DA410,"&gt;0")</f>
        <v/>
      </c>
      <c r="DB3">
        <f>COUNTIF(DB14:DB410,"&gt;0")</f>
        <v/>
      </c>
      <c r="DC3">
        <f>COUNTIF(DC14:DC410,"&gt;0")</f>
        <v/>
      </c>
      <c r="DD3">
        <f>COUNTIF(DD14:DD410,"&gt;0")</f>
        <v/>
      </c>
      <c r="DE3">
        <f>COUNTIF(DE14:DE410,"&gt;0")</f>
        <v/>
      </c>
      <c r="DF3">
        <f>COUNTIF(DF14:DF410,"&gt;0")</f>
        <v/>
      </c>
      <c r="DG3">
        <f>COUNTIF(DG14:DG410,"&gt;0")</f>
        <v/>
      </c>
      <c r="DH3">
        <f>COUNTIF(DH14:DH410,"&gt;0")</f>
        <v/>
      </c>
      <c r="DI3">
        <f>COUNTIF(DI14:DI410,"&gt;0")</f>
        <v/>
      </c>
      <c r="DJ3">
        <f>COUNTIF(DJ14:DJ410,"&gt;0")</f>
        <v/>
      </c>
      <c r="DK3">
        <f>COUNTIF(DK14:DK410,"&gt;0")</f>
        <v/>
      </c>
      <c r="DL3">
        <f>COUNTIF(DL14:DL410,"&gt;0")</f>
        <v/>
      </c>
      <c r="DM3">
        <f>COUNTIF(DM14:DM410,"&gt;0")</f>
        <v/>
      </c>
      <c r="DN3">
        <f>COUNTIF(DN14:DN410,"&gt;0")</f>
        <v/>
      </c>
      <c r="DO3">
        <f>COUNTIF(DO14:DO410,"&gt;0")</f>
        <v/>
      </c>
      <c r="DP3">
        <f>COUNTIF(DP14:DP410,"&gt;0")</f>
        <v/>
      </c>
      <c r="DQ3">
        <f>COUNTIF(DQ14:DQ410,"&gt;0")</f>
        <v/>
      </c>
      <c r="DR3">
        <f>COUNTIF(DR14:DR410,"&gt;0")</f>
        <v/>
      </c>
      <c r="DS3">
        <f>COUNTIF(DS14:DS410,"&gt;0")</f>
        <v/>
      </c>
      <c r="DT3">
        <f>COUNTIF(DT14:DT410,"&gt;0")</f>
        <v/>
      </c>
      <c r="DU3">
        <f>COUNTIF(DU14:DU410,"&gt;0")</f>
        <v/>
      </c>
      <c r="DV3">
        <f>COUNTIF(DV14:DV410,"&gt;0")</f>
        <v/>
      </c>
      <c r="DW3">
        <f>COUNTIF(DW14:DW410,"&gt;0")</f>
        <v/>
      </c>
      <c r="DX3">
        <f>COUNTIF(DX14:DX410,"&gt;0")</f>
        <v/>
      </c>
      <c r="DY3">
        <f>COUNTIF(DY14:DY410,"&gt;0")</f>
        <v/>
      </c>
      <c r="DZ3">
        <f>COUNTIF(DZ14:DZ410,"&gt;0")</f>
        <v/>
      </c>
    </row>
    <row r="4">
      <c r="A4" t="inlineStr">
        <is>
          <t>Down Count</t>
        </is>
      </c>
      <c r="B4">
        <f>COUNTIF(B14:B410,"&lt;0")</f>
        <v/>
      </c>
      <c r="C4">
        <f>COUNTIF(C14:C410,"&lt;0")</f>
        <v/>
      </c>
      <c r="D4">
        <f>COUNTIF(D14:D410,"&lt;0")</f>
        <v/>
      </c>
      <c r="E4">
        <f>COUNTIF(E14:E410,"&lt;0")</f>
        <v/>
      </c>
      <c r="F4">
        <f>COUNTIF(F14:F410,"&lt;0")</f>
        <v/>
      </c>
      <c r="G4">
        <f>COUNTIF(G14:G410,"&lt;0")</f>
        <v/>
      </c>
      <c r="H4">
        <f>COUNTIF(H14:H410,"&lt;0")</f>
        <v/>
      </c>
      <c r="I4">
        <f>COUNTIF(I14:I410,"&lt;0")</f>
        <v/>
      </c>
      <c r="J4">
        <f>COUNTIF(J14:J410,"&lt;0")</f>
        <v/>
      </c>
      <c r="K4">
        <f>COUNTIF(K14:K410,"&lt;0")</f>
        <v/>
      </c>
      <c r="L4">
        <f>COUNTIF(L14:L410,"&lt;0")</f>
        <v/>
      </c>
      <c r="M4" t="inlineStr"/>
      <c r="N4">
        <f>COUNTIF(N14:N410,"&lt;0")</f>
        <v/>
      </c>
      <c r="O4">
        <f>COUNTIF(O14:O410,"&lt;0")</f>
        <v/>
      </c>
      <c r="P4">
        <f>COUNTIF(P14:P410,"&lt;0")</f>
        <v/>
      </c>
      <c r="Q4">
        <f>COUNTIF(Q14:Q410,"&lt;0")</f>
        <v/>
      </c>
      <c r="R4">
        <f>COUNTIF(R14:R410,"&lt;0")</f>
        <v/>
      </c>
      <c r="S4">
        <f>COUNTIF(S14:S410,"&lt;0")</f>
        <v/>
      </c>
      <c r="T4">
        <f>COUNTIF(T14:T410,"&lt;0")</f>
        <v/>
      </c>
      <c r="U4">
        <f>COUNTIF(U14:U410,"&lt;0")</f>
        <v/>
      </c>
      <c r="V4">
        <f>COUNTIF(V14:V410,"&lt;0")</f>
        <v/>
      </c>
      <c r="W4" t="inlineStr"/>
      <c r="X4" t="inlineStr"/>
      <c r="Y4">
        <f>COUNTIF(Y14:Y410,"&lt;0")</f>
        <v/>
      </c>
      <c r="Z4">
        <f>COUNTIF(Z14:Z410,"&lt;0")</f>
        <v/>
      </c>
      <c r="AA4">
        <f>COUNTIF(AA14:AA410,"&lt;0")</f>
        <v/>
      </c>
      <c r="AB4">
        <f>COUNTIF(AB14:AB410,"&lt;0")</f>
        <v/>
      </c>
      <c r="AC4">
        <f>COUNTIF(AC14:AC410,"&lt;0")</f>
        <v/>
      </c>
      <c r="AD4" t="inlineStr"/>
      <c r="AE4">
        <f>COUNTIF(AE14:AE410,"&lt;0")</f>
        <v/>
      </c>
      <c r="AF4">
        <f>COUNTIF(AF14:AF410,"&lt;0")</f>
        <v/>
      </c>
      <c r="AG4">
        <f>COUNTIF(AG14:AG410,"&lt;0")</f>
        <v/>
      </c>
      <c r="AH4">
        <f>COUNTIF(AH14:AH410,"&lt;0")</f>
        <v/>
      </c>
      <c r="AI4">
        <f>COUNTIF(AI14:AI410,"&lt;0")</f>
        <v/>
      </c>
      <c r="AJ4">
        <f>COUNTIF(AJ14:AJ410,"&lt;0")</f>
        <v/>
      </c>
      <c r="AK4">
        <f>COUNTIF(AK14:AK410,"&lt;0")</f>
        <v/>
      </c>
      <c r="AL4">
        <f>COUNTIF(AL14:AL410,"&lt;0")</f>
        <v/>
      </c>
      <c r="AM4">
        <f>COUNTIF(AM14:AM410,"&lt;0")</f>
        <v/>
      </c>
      <c r="AN4">
        <f>COUNTIF(AN14:AN410,"&lt;0")</f>
        <v/>
      </c>
      <c r="AO4">
        <f>COUNTIF(AO14:AO410,"&lt;0")</f>
        <v/>
      </c>
      <c r="AP4">
        <f>COUNTIF(AP14:AP410,"&lt;0")</f>
        <v/>
      </c>
      <c r="AQ4">
        <f>COUNTIF(AQ14:AQ410,"&lt;0")</f>
        <v/>
      </c>
      <c r="AR4">
        <f>COUNTIF(AR14:AR410,"&lt;0")</f>
        <v/>
      </c>
      <c r="AS4">
        <f>COUNTIF(AS14:AS410,"&lt;0")</f>
        <v/>
      </c>
      <c r="AT4">
        <f>COUNTIF(AT14:AT410,"&lt;0")</f>
        <v/>
      </c>
      <c r="AU4" t="inlineStr"/>
      <c r="AV4" t="inlineStr"/>
      <c r="AW4">
        <f>COUNTIF(AW14:AW410,"&lt;0")</f>
        <v/>
      </c>
      <c r="AX4">
        <f>COUNTIF(AX14:AX410,"&lt;0")</f>
        <v/>
      </c>
      <c r="AY4">
        <f>COUNTIF(AY14:AY410,"&lt;0")</f>
        <v/>
      </c>
      <c r="AZ4">
        <f>COUNTIF(AZ14:AZ410,"&lt;0")</f>
        <v/>
      </c>
      <c r="BA4">
        <f>COUNTIF(BA14:BA410,"&lt;0")</f>
        <v/>
      </c>
      <c r="BB4">
        <f>COUNTIF(BB14:BB410,"&lt;0")</f>
        <v/>
      </c>
      <c r="BC4">
        <f>COUNTIF(BC14:BC410,"&lt;0")</f>
        <v/>
      </c>
      <c r="BD4">
        <f>COUNTIF(BD14:BD410,"&lt;0")</f>
        <v/>
      </c>
      <c r="BE4" t="inlineStr"/>
      <c r="BF4" t="inlineStr"/>
      <c r="BG4">
        <f>COUNTIF(BG14:BG410,"&lt;0")</f>
        <v/>
      </c>
      <c r="BH4">
        <f>COUNTIF(BH14:BH410,"&lt;0")</f>
        <v/>
      </c>
      <c r="BI4">
        <f>COUNTIF(BI14:BI410,"&lt;0")</f>
        <v/>
      </c>
      <c r="BJ4">
        <f>COUNTIF(BJ14:BJ410,"&lt;0")</f>
        <v/>
      </c>
      <c r="BK4" t="inlineStr"/>
      <c r="BL4" t="inlineStr"/>
      <c r="BM4">
        <f>COUNTIF(BM14:BM410,"&lt;0")</f>
        <v/>
      </c>
      <c r="BN4">
        <f>COUNTIF(BN14:BN410,"&lt;0")</f>
        <v/>
      </c>
      <c r="BO4">
        <f>COUNTIF(BO14:BO410,"&lt;0")</f>
        <v/>
      </c>
      <c r="BP4">
        <f>COUNTIF(BP14:BP410,"&lt;0")</f>
        <v/>
      </c>
      <c r="BQ4">
        <f>COUNTIF(BQ14:BQ410,"&lt;0")</f>
        <v/>
      </c>
      <c r="BR4">
        <f>COUNTIF(BR14:BR410,"&lt;0")</f>
        <v/>
      </c>
      <c r="BS4">
        <f>COUNTIF(BS14:BS410,"&lt;0")</f>
        <v/>
      </c>
      <c r="BT4">
        <f>COUNTIF(BT14:BT410,"&lt;0")</f>
        <v/>
      </c>
      <c r="BU4">
        <f>COUNTIF(BU14:BU410,"&lt;0")</f>
        <v/>
      </c>
      <c r="BV4">
        <f>COUNTIF(BV14:BV410,"&lt;0")</f>
        <v/>
      </c>
      <c r="BW4">
        <f>COUNTIF(BW14:BW410,"&lt;0")</f>
        <v/>
      </c>
      <c r="BX4">
        <f>COUNTIF(BX14:BX410,"&lt;0")</f>
        <v/>
      </c>
      <c r="BY4">
        <f>COUNTIF(BY14:BY410,"&lt;0")</f>
        <v/>
      </c>
      <c r="BZ4">
        <f>COUNTIF(BZ14:BZ410,"&lt;0")</f>
        <v/>
      </c>
      <c r="CA4">
        <f>COUNTIF(CA14:CA410,"&lt;0")</f>
        <v/>
      </c>
      <c r="CB4">
        <f>COUNTIF(CB14:CB410,"&lt;0")</f>
        <v/>
      </c>
      <c r="CC4">
        <f>COUNTIF(CC14:CC410,"&lt;0")</f>
        <v/>
      </c>
      <c r="CD4">
        <f>COUNTIF(CD14:CD410,"&lt;0")</f>
        <v/>
      </c>
      <c r="CE4">
        <f>COUNTIF(CE14:CE410,"&lt;0")</f>
        <v/>
      </c>
      <c r="CF4">
        <f>COUNTIF(CF14:CF410,"&lt;0")</f>
        <v/>
      </c>
      <c r="CG4">
        <f>COUNTIF(CG14:CG410,"&lt;0")</f>
        <v/>
      </c>
      <c r="CH4">
        <f>COUNTIF(CH14:CH410,"&lt;0")</f>
        <v/>
      </c>
      <c r="CI4">
        <f>COUNTIF(CI14:CI410,"&lt;0")</f>
        <v/>
      </c>
      <c r="CJ4">
        <f>COUNTIF(CJ14:CJ410,"&lt;0")</f>
        <v/>
      </c>
      <c r="CK4">
        <f>COUNTIF(CK14:CK410,"&lt;0")</f>
        <v/>
      </c>
      <c r="CL4">
        <f>COUNTIF(CL14:CL410,"&lt;0")</f>
        <v/>
      </c>
      <c r="CM4">
        <f>COUNTIF(CM14:CM410,"&lt;0")</f>
        <v/>
      </c>
      <c r="CN4">
        <f>COUNTIF(CN14:CN410,"&lt;0")</f>
        <v/>
      </c>
      <c r="CO4">
        <f>COUNTIF(CO14:CO410,"&lt;0")</f>
        <v/>
      </c>
      <c r="CP4">
        <f>COUNTIF(CP14:CP410,"&lt;0")</f>
        <v/>
      </c>
      <c r="CQ4">
        <f>COUNTIF(CQ14:CQ410,"&lt;0")</f>
        <v/>
      </c>
      <c r="CR4">
        <f>COUNTIF(CR14:CR410,"&lt;0")</f>
        <v/>
      </c>
      <c r="CS4">
        <f>COUNTIF(CS14:CS410,"&lt;0")</f>
        <v/>
      </c>
      <c r="CT4">
        <f>COUNTIF(CT14:CT410,"&lt;0")</f>
        <v/>
      </c>
      <c r="CU4">
        <f>COUNTIF(CU14:CU410,"&lt;0")</f>
        <v/>
      </c>
      <c r="CV4">
        <f>COUNTIF(CV14:CV410,"&lt;0")</f>
        <v/>
      </c>
      <c r="CW4">
        <f>COUNTIF(CW14:CW410,"&lt;0")</f>
        <v/>
      </c>
      <c r="CX4">
        <f>COUNTIF(CX14:CX410,"&lt;0")</f>
        <v/>
      </c>
      <c r="CY4">
        <f>COUNTIF(CY14:CY410,"&lt;0")</f>
        <v/>
      </c>
      <c r="CZ4">
        <f>COUNTIF(CZ14:CZ410,"&lt;0")</f>
        <v/>
      </c>
      <c r="DA4">
        <f>COUNTIF(DA14:DA410,"&lt;0")</f>
        <v/>
      </c>
      <c r="DB4">
        <f>COUNTIF(DB14:DB410,"&lt;0")</f>
        <v/>
      </c>
      <c r="DC4">
        <f>COUNTIF(DC14:DC410,"&lt;0")</f>
        <v/>
      </c>
      <c r="DD4">
        <f>COUNTIF(DD14:DD410,"&lt;0")</f>
        <v/>
      </c>
      <c r="DE4">
        <f>COUNTIF(DE14:DE410,"&lt;0")</f>
        <v/>
      </c>
      <c r="DF4">
        <f>COUNTIF(DF14:DF410,"&lt;0")</f>
        <v/>
      </c>
      <c r="DG4">
        <f>COUNTIF(DG14:DG410,"&lt;0")</f>
        <v/>
      </c>
      <c r="DH4">
        <f>COUNTIF(DH14:DH410,"&lt;0")</f>
        <v/>
      </c>
      <c r="DI4">
        <f>COUNTIF(DI14:DI410,"&lt;0")</f>
        <v/>
      </c>
      <c r="DJ4">
        <f>COUNTIF(DJ14:DJ410,"&lt;0")</f>
        <v/>
      </c>
      <c r="DK4">
        <f>COUNTIF(DK14:DK410,"&lt;0")</f>
        <v/>
      </c>
      <c r="DL4">
        <f>COUNTIF(DL14:DL410,"&lt;0")</f>
        <v/>
      </c>
      <c r="DM4">
        <f>COUNTIF(DM14:DM410,"&lt;0")</f>
        <v/>
      </c>
      <c r="DN4">
        <f>COUNTIF(DN14:DN410,"&lt;0")</f>
        <v/>
      </c>
      <c r="DO4">
        <f>COUNTIF(DO14:DO410,"&lt;0")</f>
        <v/>
      </c>
      <c r="DP4">
        <f>COUNTIF(DP14:DP410,"&lt;0")</f>
        <v/>
      </c>
      <c r="DQ4">
        <f>COUNTIF(DQ14:DQ410,"&lt;0")</f>
        <v/>
      </c>
      <c r="DR4">
        <f>COUNTIF(DR14:DR410,"&lt;0")</f>
        <v/>
      </c>
      <c r="DS4">
        <f>COUNTIF(DS14:DS410,"&lt;0")</f>
        <v/>
      </c>
      <c r="DT4">
        <f>COUNTIF(DT14:DT410,"&lt;0")</f>
        <v/>
      </c>
      <c r="DU4">
        <f>COUNTIF(DU14:DU410,"&lt;0")</f>
        <v/>
      </c>
      <c r="DV4">
        <f>COUNTIF(DV14:DV410,"&lt;0")</f>
        <v/>
      </c>
      <c r="DW4">
        <f>COUNTIF(DW14:DW410,"&lt;0")</f>
        <v/>
      </c>
      <c r="DX4">
        <f>COUNTIF(DX14:DX410,"&lt;0")</f>
        <v/>
      </c>
      <c r="DY4">
        <f>COUNTIF(DY14:DY410,"&lt;0")</f>
        <v/>
      </c>
      <c r="DZ4">
        <f>COUNTIF(DZ14:DZ410,"&lt;0")</f>
        <v/>
      </c>
    </row>
    <row r="5">
      <c r="A5" t="inlineStr">
        <is>
          <t>Average</t>
        </is>
      </c>
      <c r="B5">
        <f>AVERAGE(B14:B410)</f>
        <v/>
      </c>
      <c r="C5">
        <f>AVERAGE(C14:C410)</f>
        <v/>
      </c>
      <c r="D5">
        <f>AVERAGE(D14:D410)</f>
        <v/>
      </c>
      <c r="E5">
        <f>AVERAGE(E14:E410)</f>
        <v/>
      </c>
      <c r="F5">
        <f>AVERAGE(F14:F410)</f>
        <v/>
      </c>
      <c r="G5">
        <f>AVERAGE(G14:G410)</f>
        <v/>
      </c>
      <c r="H5">
        <f>AVERAGE(H14:H410)</f>
        <v/>
      </c>
      <c r="I5">
        <f>AVERAGE(I14:I410)</f>
        <v/>
      </c>
      <c r="J5">
        <f>AVERAGE(J14:J410)</f>
        <v/>
      </c>
      <c r="K5">
        <f>AVERAGE(K14:K410)</f>
        <v/>
      </c>
      <c r="L5">
        <f>AVERAGE(L14:L410)</f>
        <v/>
      </c>
      <c r="M5" t="inlineStr"/>
      <c r="N5">
        <f>AVERAGE(N14:N410)</f>
        <v/>
      </c>
      <c r="O5">
        <f>AVERAGE(O14:O410)</f>
        <v/>
      </c>
      <c r="P5">
        <f>AVERAGE(P14:P410)</f>
        <v/>
      </c>
      <c r="Q5">
        <f>AVERAGE(Q14:Q410)</f>
        <v/>
      </c>
      <c r="R5">
        <f>AVERAGE(R14:R410)</f>
        <v/>
      </c>
      <c r="S5">
        <f>AVERAGE(S14:S410)</f>
        <v/>
      </c>
      <c r="T5">
        <f>AVERAGE(T14:T410)</f>
        <v/>
      </c>
      <c r="U5">
        <f>AVERAGE(U14:U410)</f>
        <v/>
      </c>
      <c r="V5">
        <f>AVERAGE(V14:V410)</f>
        <v/>
      </c>
      <c r="W5" t="inlineStr"/>
      <c r="X5" t="inlineStr"/>
      <c r="Y5">
        <f>AVERAGE(Y14:Y410)</f>
        <v/>
      </c>
      <c r="Z5">
        <f>AVERAGE(Z14:Z410)</f>
        <v/>
      </c>
      <c r="AA5">
        <f>AVERAGE(AA14:AA410)</f>
        <v/>
      </c>
      <c r="AB5">
        <f>AVERAGE(AB14:AB410)</f>
        <v/>
      </c>
      <c r="AC5">
        <f>AVERAGE(AC14:AC410)</f>
        <v/>
      </c>
      <c r="AD5" t="inlineStr"/>
      <c r="AE5">
        <f>AVERAGE(AE14:AE410)</f>
        <v/>
      </c>
      <c r="AF5">
        <f>AVERAGE(AF14:AF410)</f>
        <v/>
      </c>
      <c r="AG5">
        <f>AVERAGE(AG14:AG410)</f>
        <v/>
      </c>
      <c r="AH5">
        <f>AVERAGE(AH14:AH410)</f>
        <v/>
      </c>
      <c r="AI5">
        <f>AVERAGE(AI14:AI410)</f>
        <v/>
      </c>
      <c r="AJ5">
        <f>AVERAGE(AJ14:AJ410)</f>
        <v/>
      </c>
      <c r="AK5">
        <f>AVERAGE(AK14:AK410)</f>
        <v/>
      </c>
      <c r="AL5">
        <f>AVERAGE(AL14:AL410)</f>
        <v/>
      </c>
      <c r="AM5">
        <f>AVERAGE(AM14:AM410)</f>
        <v/>
      </c>
      <c r="AN5">
        <f>AVERAGE(AN14:AN410)</f>
        <v/>
      </c>
      <c r="AO5">
        <f>AVERAGE(AO14:AO410)</f>
        <v/>
      </c>
      <c r="AP5">
        <f>AVERAGE(AP14:AP410)</f>
        <v/>
      </c>
      <c r="AQ5">
        <f>AVERAGE(AQ14:AQ410)</f>
        <v/>
      </c>
      <c r="AR5">
        <f>AVERAGE(AR14:AR410)</f>
        <v/>
      </c>
      <c r="AS5">
        <f>AVERAGE(AS14:AS410)</f>
        <v/>
      </c>
      <c r="AT5">
        <f>AVERAGE(AT14:AT410)</f>
        <v/>
      </c>
      <c r="AU5" t="inlineStr"/>
      <c r="AV5" t="inlineStr"/>
      <c r="AW5">
        <f>AVERAGE(AW14:AW410)</f>
        <v/>
      </c>
      <c r="AX5">
        <f>AVERAGE(AX14:AX410)</f>
        <v/>
      </c>
      <c r="AY5">
        <f>AVERAGE(AY14:AY410)</f>
        <v/>
      </c>
      <c r="AZ5">
        <f>AVERAGE(AZ14:AZ410)</f>
        <v/>
      </c>
      <c r="BA5">
        <f>AVERAGE(BA14:BA410)</f>
        <v/>
      </c>
      <c r="BB5">
        <f>AVERAGE(BB14:BB410)</f>
        <v/>
      </c>
      <c r="BC5">
        <f>AVERAGE(BC14:BC410)</f>
        <v/>
      </c>
      <c r="BD5">
        <f>AVERAGE(BD14:BD410)</f>
        <v/>
      </c>
      <c r="BE5" t="inlineStr"/>
      <c r="BF5" t="inlineStr"/>
      <c r="BG5">
        <f>AVERAGE(BG14:BG410)</f>
        <v/>
      </c>
      <c r="BH5">
        <f>AVERAGE(BH14:BH410)</f>
        <v/>
      </c>
      <c r="BI5">
        <f>AVERAGE(BI14:BI410)</f>
        <v/>
      </c>
      <c r="BJ5">
        <f>AVERAGE(BJ14:BJ410)</f>
        <v/>
      </c>
      <c r="BK5" t="inlineStr"/>
      <c r="BL5" t="inlineStr"/>
      <c r="BM5">
        <f>AVERAGE(BM14:BM410)</f>
        <v/>
      </c>
      <c r="BN5">
        <f>AVERAGE(BN14:BN410)</f>
        <v/>
      </c>
      <c r="BO5">
        <f>AVERAGE(BO14:BO410)</f>
        <v/>
      </c>
      <c r="BP5">
        <f>AVERAGE(BP14:BP410)</f>
        <v/>
      </c>
      <c r="BQ5">
        <f>AVERAGE(BQ14:BQ410)</f>
        <v/>
      </c>
      <c r="BR5">
        <f>AVERAGE(BR14:BR410)</f>
        <v/>
      </c>
      <c r="BS5">
        <f>AVERAGE(BS14:BS410)</f>
        <v/>
      </c>
      <c r="BT5">
        <f>AVERAGE(BT14:BT410)</f>
        <v/>
      </c>
      <c r="BU5">
        <f>AVERAGE(BU14:BU410)</f>
        <v/>
      </c>
      <c r="BV5">
        <f>AVERAGE(BV14:BV410)</f>
        <v/>
      </c>
      <c r="BW5">
        <f>AVERAGE(BW14:BW410)</f>
        <v/>
      </c>
      <c r="BX5">
        <f>AVERAGE(BX14:BX410)</f>
        <v/>
      </c>
      <c r="BY5">
        <f>AVERAGE(BY14:BY410)</f>
        <v/>
      </c>
      <c r="BZ5">
        <f>AVERAGE(BZ14:BZ410)</f>
        <v/>
      </c>
      <c r="CA5">
        <f>AVERAGE(CA14:CA410)</f>
        <v/>
      </c>
      <c r="CB5">
        <f>AVERAGE(CB14:CB410)</f>
        <v/>
      </c>
      <c r="CC5">
        <f>AVERAGE(CC14:CC410)</f>
        <v/>
      </c>
      <c r="CD5">
        <f>AVERAGE(CD14:CD410)</f>
        <v/>
      </c>
      <c r="CE5">
        <f>AVERAGE(CE14:CE410)</f>
        <v/>
      </c>
      <c r="CF5">
        <f>AVERAGE(CF14:CF410)</f>
        <v/>
      </c>
      <c r="CG5">
        <f>AVERAGE(CG14:CG410)</f>
        <v/>
      </c>
      <c r="CH5">
        <f>AVERAGE(CH14:CH410)</f>
        <v/>
      </c>
      <c r="CI5">
        <f>AVERAGE(CI14:CI410)</f>
        <v/>
      </c>
      <c r="CJ5">
        <f>AVERAGE(CJ14:CJ410)</f>
        <v/>
      </c>
      <c r="CK5">
        <f>AVERAGE(CK14:CK410)</f>
        <v/>
      </c>
      <c r="CL5">
        <f>AVERAGE(CL14:CL410)</f>
        <v/>
      </c>
      <c r="CM5">
        <f>AVERAGE(CM14:CM410)</f>
        <v/>
      </c>
      <c r="CN5">
        <f>AVERAGE(CN14:CN410)</f>
        <v/>
      </c>
      <c r="CO5">
        <f>AVERAGE(CO14:CO410)</f>
        <v/>
      </c>
      <c r="CP5">
        <f>AVERAGE(CP14:CP410)</f>
        <v/>
      </c>
      <c r="CQ5">
        <f>AVERAGE(CQ14:CQ410)</f>
        <v/>
      </c>
      <c r="CR5">
        <f>AVERAGE(CR14:CR410)</f>
        <v/>
      </c>
      <c r="CS5">
        <f>AVERAGE(CS14:CS410)</f>
        <v/>
      </c>
      <c r="CT5">
        <f>AVERAGE(CT14:CT410)</f>
        <v/>
      </c>
      <c r="CU5">
        <f>AVERAGE(CU14:CU410)</f>
        <v/>
      </c>
      <c r="CV5">
        <f>AVERAGE(CV14:CV410)</f>
        <v/>
      </c>
      <c r="CW5">
        <f>AVERAGE(CW14:CW410)</f>
        <v/>
      </c>
      <c r="CX5">
        <f>AVERAGE(CX14:CX410)</f>
        <v/>
      </c>
      <c r="CY5">
        <f>AVERAGE(CY14:CY410)</f>
        <v/>
      </c>
      <c r="CZ5">
        <f>AVERAGE(CZ14:CZ410)</f>
        <v/>
      </c>
      <c r="DA5">
        <f>AVERAGE(DA14:DA410)</f>
        <v/>
      </c>
      <c r="DB5">
        <f>AVERAGE(DB14:DB410)</f>
        <v/>
      </c>
      <c r="DC5">
        <f>AVERAGE(DC14:DC410)</f>
        <v/>
      </c>
      <c r="DD5">
        <f>AVERAGE(DD14:DD410)</f>
        <v/>
      </c>
      <c r="DE5">
        <f>AVERAGE(DE14:DE410)</f>
        <v/>
      </c>
      <c r="DF5">
        <f>AVERAGE(DF14:DF410)</f>
        <v/>
      </c>
      <c r="DG5">
        <f>AVERAGE(DG14:DG410)</f>
        <v/>
      </c>
      <c r="DH5">
        <f>AVERAGE(DH14:DH410)</f>
        <v/>
      </c>
      <c r="DI5">
        <f>AVERAGE(DI14:DI410)</f>
        <v/>
      </c>
      <c r="DJ5">
        <f>AVERAGE(DJ14:DJ410)</f>
        <v/>
      </c>
      <c r="DK5">
        <f>AVERAGE(DK14:DK410)</f>
        <v/>
      </c>
      <c r="DL5">
        <f>AVERAGE(DL14:DL410)</f>
        <v/>
      </c>
      <c r="DM5">
        <f>AVERAGE(DM14:DM410)</f>
        <v/>
      </c>
      <c r="DN5">
        <f>AVERAGE(DN14:DN410)</f>
        <v/>
      </c>
      <c r="DO5">
        <f>AVERAGE(DO14:DO410)</f>
        <v/>
      </c>
      <c r="DP5">
        <f>AVERAGE(DP14:DP410)</f>
        <v/>
      </c>
      <c r="DQ5">
        <f>AVERAGE(DQ14:DQ410)</f>
        <v/>
      </c>
      <c r="DR5">
        <f>AVERAGE(DR14:DR410)</f>
        <v/>
      </c>
      <c r="DS5">
        <f>AVERAGE(DS14:DS410)</f>
        <v/>
      </c>
      <c r="DT5">
        <f>AVERAGE(DT14:DT410)</f>
        <v/>
      </c>
      <c r="DU5">
        <f>AVERAGE(DU14:DU410)</f>
        <v/>
      </c>
      <c r="DV5">
        <f>AVERAGE(DV14:DV410)</f>
        <v/>
      </c>
      <c r="DW5">
        <f>AVERAGE(DW14:DW410)</f>
        <v/>
      </c>
      <c r="DX5">
        <f>AVERAGE(DX14:DX410)</f>
        <v/>
      </c>
      <c r="DY5">
        <f>AVERAGE(DY14:DY410)</f>
        <v/>
      </c>
      <c r="DZ5">
        <f>AVERAGE(DZ14:DZ410)</f>
        <v/>
      </c>
    </row>
    <row r="6">
      <c r="A6" t="inlineStr">
        <is>
          <t>Max</t>
        </is>
      </c>
      <c r="B6">
        <f>MAX(B14:B410)</f>
        <v/>
      </c>
      <c r="C6">
        <f>MAX(C14:C410)</f>
        <v/>
      </c>
      <c r="D6">
        <f>MAX(D14:D410)</f>
        <v/>
      </c>
      <c r="E6">
        <f>MAX(E14:E410)</f>
        <v/>
      </c>
      <c r="F6">
        <f>MAX(F14:F410)</f>
        <v/>
      </c>
      <c r="G6">
        <f>MAX(G14:G410)</f>
        <v/>
      </c>
      <c r="H6">
        <f>MAX(H14:H410)</f>
        <v/>
      </c>
      <c r="I6">
        <f>MAX(I14:I410)</f>
        <v/>
      </c>
      <c r="J6">
        <f>MAX(J14:J410)</f>
        <v/>
      </c>
      <c r="K6">
        <f>MAX(K14:K410)</f>
        <v/>
      </c>
      <c r="L6">
        <f>MAX(L14:L410)</f>
        <v/>
      </c>
      <c r="M6" t="inlineStr"/>
      <c r="N6">
        <f>MAX(N14:N410)</f>
        <v/>
      </c>
      <c r="O6">
        <f>MAX(O14:O410)</f>
        <v/>
      </c>
      <c r="P6">
        <f>MAX(P14:P410)</f>
        <v/>
      </c>
      <c r="Q6">
        <f>MAX(Q14:Q410)</f>
        <v/>
      </c>
      <c r="R6">
        <f>MAX(R14:R410)</f>
        <v/>
      </c>
      <c r="S6">
        <f>MAX(S14:S410)</f>
        <v/>
      </c>
      <c r="T6">
        <f>MAX(T14:T410)</f>
        <v/>
      </c>
      <c r="U6">
        <f>MAX(U14:U410)</f>
        <v/>
      </c>
      <c r="V6">
        <f>MAX(V14:V410)</f>
        <v/>
      </c>
      <c r="W6" t="inlineStr"/>
      <c r="X6" t="inlineStr"/>
      <c r="Y6">
        <f>MAX(Y14:Y410)</f>
        <v/>
      </c>
      <c r="Z6">
        <f>MAX(Z14:Z410)</f>
        <v/>
      </c>
      <c r="AA6">
        <f>MAX(AA14:AA410)</f>
        <v/>
      </c>
      <c r="AB6">
        <f>MAX(AB14:AB410)</f>
        <v/>
      </c>
      <c r="AC6">
        <f>MAX(AC14:AC410)</f>
        <v/>
      </c>
      <c r="AD6" t="inlineStr"/>
      <c r="AE6">
        <f>MAX(AE14:AE410)</f>
        <v/>
      </c>
      <c r="AF6">
        <f>MAX(AF14:AF410)</f>
        <v/>
      </c>
      <c r="AG6">
        <f>MAX(AG14:AG410)</f>
        <v/>
      </c>
      <c r="AH6">
        <f>MAX(AH14:AH410)</f>
        <v/>
      </c>
      <c r="AI6">
        <f>MAX(AI14:AI410)</f>
        <v/>
      </c>
      <c r="AJ6">
        <f>MAX(AJ14:AJ410)</f>
        <v/>
      </c>
      <c r="AK6">
        <f>MAX(AK14:AK410)</f>
        <v/>
      </c>
      <c r="AL6">
        <f>MAX(AL14:AL410)</f>
        <v/>
      </c>
      <c r="AM6">
        <f>MAX(AM14:AM410)</f>
        <v/>
      </c>
      <c r="AN6">
        <f>MAX(AN14:AN410)</f>
        <v/>
      </c>
      <c r="AO6">
        <f>MAX(AO14:AO410)</f>
        <v/>
      </c>
      <c r="AP6">
        <f>MAX(AP14:AP410)</f>
        <v/>
      </c>
      <c r="AQ6">
        <f>MAX(AQ14:AQ410)</f>
        <v/>
      </c>
      <c r="AR6">
        <f>MAX(AR14:AR410)</f>
        <v/>
      </c>
      <c r="AS6">
        <f>MAX(AS14:AS410)</f>
        <v/>
      </c>
      <c r="AT6">
        <f>MAX(AT14:AT410)</f>
        <v/>
      </c>
      <c r="AU6" t="inlineStr"/>
      <c r="AV6" t="inlineStr"/>
      <c r="AW6">
        <f>MAX(AW14:AW410)</f>
        <v/>
      </c>
      <c r="AX6">
        <f>MAX(AX14:AX410)</f>
        <v/>
      </c>
      <c r="AY6">
        <f>MAX(AY14:AY410)</f>
        <v/>
      </c>
      <c r="AZ6">
        <f>MAX(AZ14:AZ410)</f>
        <v/>
      </c>
      <c r="BA6">
        <f>MAX(BA14:BA410)</f>
        <v/>
      </c>
      <c r="BB6">
        <f>MAX(BB14:BB410)</f>
        <v/>
      </c>
      <c r="BC6">
        <f>MAX(BC14:BC410)</f>
        <v/>
      </c>
      <c r="BD6">
        <f>MAX(BD14:BD410)</f>
        <v/>
      </c>
      <c r="BE6" t="inlineStr"/>
      <c r="BF6" t="inlineStr"/>
      <c r="BG6">
        <f>MAX(BG14:BG410)</f>
        <v/>
      </c>
      <c r="BH6">
        <f>MAX(BH14:BH410)</f>
        <v/>
      </c>
      <c r="BI6">
        <f>MAX(BI14:BI410)</f>
        <v/>
      </c>
      <c r="BJ6">
        <f>MAX(BJ14:BJ410)</f>
        <v/>
      </c>
      <c r="BK6" t="inlineStr"/>
      <c r="BL6" t="inlineStr"/>
      <c r="BM6">
        <f>MAX(BM14:BM410)</f>
        <v/>
      </c>
      <c r="BN6">
        <f>MAX(BN14:BN410)</f>
        <v/>
      </c>
      <c r="BO6">
        <f>MAX(BO14:BO410)</f>
        <v/>
      </c>
      <c r="BP6">
        <f>MAX(BP14:BP410)</f>
        <v/>
      </c>
      <c r="BQ6">
        <f>MAX(BQ14:BQ410)</f>
        <v/>
      </c>
      <c r="BR6">
        <f>MAX(BR14:BR410)</f>
        <v/>
      </c>
      <c r="BS6">
        <f>MAX(BS14:BS410)</f>
        <v/>
      </c>
      <c r="BT6">
        <f>MAX(BT14:BT410)</f>
        <v/>
      </c>
      <c r="BU6">
        <f>MAX(BU14:BU410)</f>
        <v/>
      </c>
      <c r="BV6">
        <f>MAX(BV14:BV410)</f>
        <v/>
      </c>
      <c r="BW6">
        <f>MAX(BW14:BW410)</f>
        <v/>
      </c>
      <c r="BX6">
        <f>MAX(BX14:BX410)</f>
        <v/>
      </c>
      <c r="BY6">
        <f>MAX(BY14:BY410)</f>
        <v/>
      </c>
      <c r="BZ6">
        <f>MAX(BZ14:BZ410)</f>
        <v/>
      </c>
      <c r="CA6">
        <f>MAX(CA14:CA410)</f>
        <v/>
      </c>
      <c r="CB6">
        <f>MAX(CB14:CB410)</f>
        <v/>
      </c>
      <c r="CC6">
        <f>MAX(CC14:CC410)</f>
        <v/>
      </c>
      <c r="CD6">
        <f>MAX(CD14:CD410)</f>
        <v/>
      </c>
      <c r="CE6">
        <f>MAX(CE14:CE410)</f>
        <v/>
      </c>
      <c r="CF6">
        <f>MAX(CF14:CF410)</f>
        <v/>
      </c>
      <c r="CG6">
        <f>MAX(CG14:CG410)</f>
        <v/>
      </c>
      <c r="CH6">
        <f>MAX(CH14:CH410)</f>
        <v/>
      </c>
      <c r="CI6">
        <f>MAX(CI14:CI410)</f>
        <v/>
      </c>
      <c r="CJ6">
        <f>MAX(CJ14:CJ410)</f>
        <v/>
      </c>
      <c r="CK6">
        <f>MAX(CK14:CK410)</f>
        <v/>
      </c>
      <c r="CL6">
        <f>MAX(CL14:CL410)</f>
        <v/>
      </c>
      <c r="CM6">
        <f>MAX(CM14:CM410)</f>
        <v/>
      </c>
      <c r="CN6">
        <f>MAX(CN14:CN410)</f>
        <v/>
      </c>
      <c r="CO6">
        <f>MAX(CO14:CO410)</f>
        <v/>
      </c>
      <c r="CP6">
        <f>MAX(CP14:CP410)</f>
        <v/>
      </c>
      <c r="CQ6">
        <f>MAX(CQ14:CQ410)</f>
        <v/>
      </c>
      <c r="CR6">
        <f>MAX(CR14:CR410)</f>
        <v/>
      </c>
      <c r="CS6">
        <f>MAX(CS14:CS410)</f>
        <v/>
      </c>
      <c r="CT6">
        <f>MAX(CT14:CT410)</f>
        <v/>
      </c>
      <c r="CU6">
        <f>MAX(CU14:CU410)</f>
        <v/>
      </c>
      <c r="CV6">
        <f>MAX(CV14:CV410)</f>
        <v/>
      </c>
      <c r="CW6">
        <f>MAX(CW14:CW410)</f>
        <v/>
      </c>
      <c r="CX6">
        <f>MAX(CX14:CX410)</f>
        <v/>
      </c>
      <c r="CY6">
        <f>MAX(CY14:CY410)</f>
        <v/>
      </c>
      <c r="CZ6">
        <f>MAX(CZ14:CZ410)</f>
        <v/>
      </c>
      <c r="DA6">
        <f>MAX(DA14:DA410)</f>
        <v/>
      </c>
      <c r="DB6">
        <f>MAX(DB14:DB410)</f>
        <v/>
      </c>
      <c r="DC6">
        <f>MAX(DC14:DC410)</f>
        <v/>
      </c>
      <c r="DD6">
        <f>MAX(DD14:DD410)</f>
        <v/>
      </c>
      <c r="DE6">
        <f>MAX(DE14:DE410)</f>
        <v/>
      </c>
      <c r="DF6">
        <f>MAX(DF14:DF410)</f>
        <v/>
      </c>
      <c r="DG6">
        <f>MAX(DG14:DG410)</f>
        <v/>
      </c>
      <c r="DH6">
        <f>MAX(DH14:DH410)</f>
        <v/>
      </c>
      <c r="DI6">
        <f>MAX(DI14:DI410)</f>
        <v/>
      </c>
      <c r="DJ6">
        <f>MAX(DJ14:DJ410)</f>
        <v/>
      </c>
      <c r="DK6">
        <f>MAX(DK14:DK410)</f>
        <v/>
      </c>
      <c r="DL6">
        <f>MAX(DL14:DL410)</f>
        <v/>
      </c>
      <c r="DM6">
        <f>MAX(DM14:DM410)</f>
        <v/>
      </c>
      <c r="DN6">
        <f>MAX(DN14:DN410)</f>
        <v/>
      </c>
      <c r="DO6">
        <f>MAX(DO14:DO410)</f>
        <v/>
      </c>
      <c r="DP6">
        <f>MAX(DP14:DP410)</f>
        <v/>
      </c>
      <c r="DQ6">
        <f>MAX(DQ14:DQ410)</f>
        <v/>
      </c>
      <c r="DR6">
        <f>MAX(DR14:DR410)</f>
        <v/>
      </c>
      <c r="DS6">
        <f>MAX(DS14:DS410)</f>
        <v/>
      </c>
      <c r="DT6">
        <f>MAX(DT14:DT410)</f>
        <v/>
      </c>
      <c r="DU6">
        <f>MAX(DU14:DU410)</f>
        <v/>
      </c>
      <c r="DV6">
        <f>MAX(DV14:DV410)</f>
        <v/>
      </c>
      <c r="DW6">
        <f>MAX(DW14:DW410)</f>
        <v/>
      </c>
      <c r="DX6">
        <f>MAX(DX14:DX410)</f>
        <v/>
      </c>
      <c r="DY6">
        <f>MAX(DY14:DY410)</f>
        <v/>
      </c>
      <c r="DZ6">
        <f>MAX(DZ14:DZ410)</f>
        <v/>
      </c>
    </row>
    <row r="7">
      <c r="A7" t="inlineStr">
        <is>
          <t>Min</t>
        </is>
      </c>
      <c r="B7">
        <f>MIN(B14:B410)</f>
        <v/>
      </c>
      <c r="C7">
        <f>MIN(C14:C410)</f>
        <v/>
      </c>
      <c r="D7">
        <f>MIN(D14:D410)</f>
        <v/>
      </c>
      <c r="E7">
        <f>MIN(E14:E410)</f>
        <v/>
      </c>
      <c r="F7">
        <f>MIN(F14:F410)</f>
        <v/>
      </c>
      <c r="G7">
        <f>MIN(G14:G410)</f>
        <v/>
      </c>
      <c r="H7">
        <f>MIN(H14:H410)</f>
        <v/>
      </c>
      <c r="I7">
        <f>MIN(I14:I410)</f>
        <v/>
      </c>
      <c r="J7">
        <f>MIN(J14:J410)</f>
        <v/>
      </c>
      <c r="K7">
        <f>MIN(K14:K410)</f>
        <v/>
      </c>
      <c r="L7">
        <f>MIN(L14:L410)</f>
        <v/>
      </c>
      <c r="M7" t="inlineStr"/>
      <c r="N7">
        <f>MIN(N14:N410)</f>
        <v/>
      </c>
      <c r="O7">
        <f>MIN(O14:O410)</f>
        <v/>
      </c>
      <c r="P7">
        <f>MIN(P14:P410)</f>
        <v/>
      </c>
      <c r="Q7">
        <f>MIN(Q14:Q410)</f>
        <v/>
      </c>
      <c r="R7">
        <f>MIN(R14:R410)</f>
        <v/>
      </c>
      <c r="S7">
        <f>MIN(S14:S410)</f>
        <v/>
      </c>
      <c r="T7">
        <f>MIN(T14:T410)</f>
        <v/>
      </c>
      <c r="U7">
        <f>MIN(U14:U410)</f>
        <v/>
      </c>
      <c r="V7">
        <f>MIN(V14:V410)</f>
        <v/>
      </c>
      <c r="W7" t="inlineStr"/>
      <c r="X7" t="inlineStr"/>
      <c r="Y7">
        <f>MIN(Y14:Y410)</f>
        <v/>
      </c>
      <c r="Z7">
        <f>MIN(Z14:Z410)</f>
        <v/>
      </c>
      <c r="AA7">
        <f>MIN(AA14:AA410)</f>
        <v/>
      </c>
      <c r="AB7">
        <f>MIN(AB14:AB410)</f>
        <v/>
      </c>
      <c r="AC7">
        <f>MIN(AC14:AC410)</f>
        <v/>
      </c>
      <c r="AD7" t="inlineStr"/>
      <c r="AE7">
        <f>MIN(AE14:AE410)</f>
        <v/>
      </c>
      <c r="AF7">
        <f>MIN(AF14:AF410)</f>
        <v/>
      </c>
      <c r="AG7">
        <f>MIN(AG14:AG410)</f>
        <v/>
      </c>
      <c r="AH7">
        <f>MIN(AH14:AH410)</f>
        <v/>
      </c>
      <c r="AI7">
        <f>MIN(AI14:AI410)</f>
        <v/>
      </c>
      <c r="AJ7">
        <f>MIN(AJ14:AJ410)</f>
        <v/>
      </c>
      <c r="AK7">
        <f>MIN(AK14:AK410)</f>
        <v/>
      </c>
      <c r="AL7">
        <f>MIN(AL14:AL410)</f>
        <v/>
      </c>
      <c r="AM7">
        <f>MIN(AM14:AM410)</f>
        <v/>
      </c>
      <c r="AN7">
        <f>MIN(AN14:AN410)</f>
        <v/>
      </c>
      <c r="AO7">
        <f>MIN(AO14:AO410)</f>
        <v/>
      </c>
      <c r="AP7">
        <f>MIN(AP14:AP410)</f>
        <v/>
      </c>
      <c r="AQ7">
        <f>MIN(AQ14:AQ410)</f>
        <v/>
      </c>
      <c r="AR7">
        <f>MIN(AR14:AR410)</f>
        <v/>
      </c>
      <c r="AS7">
        <f>MIN(AS14:AS410)</f>
        <v/>
      </c>
      <c r="AT7">
        <f>MIN(AT14:AT410)</f>
        <v/>
      </c>
      <c r="AU7" t="inlineStr"/>
      <c r="AV7" t="inlineStr"/>
      <c r="AW7">
        <f>MIN(AW14:AW410)</f>
        <v/>
      </c>
      <c r="AX7">
        <f>MIN(AX14:AX410)</f>
        <v/>
      </c>
      <c r="AY7">
        <f>MIN(AY14:AY410)</f>
        <v/>
      </c>
      <c r="AZ7">
        <f>MIN(AZ14:AZ410)</f>
        <v/>
      </c>
      <c r="BA7">
        <f>MIN(BA14:BA410)</f>
        <v/>
      </c>
      <c r="BB7">
        <f>MIN(BB14:BB410)</f>
        <v/>
      </c>
      <c r="BC7">
        <f>MIN(BC14:BC410)</f>
        <v/>
      </c>
      <c r="BD7">
        <f>MIN(BD14:BD410)</f>
        <v/>
      </c>
      <c r="BE7" t="inlineStr"/>
      <c r="BF7" t="inlineStr"/>
      <c r="BG7">
        <f>MIN(BG14:BG410)</f>
        <v/>
      </c>
      <c r="BH7">
        <f>MIN(BH14:BH410)</f>
        <v/>
      </c>
      <c r="BI7">
        <f>MIN(BI14:BI410)</f>
        <v/>
      </c>
      <c r="BJ7">
        <f>MIN(BJ14:BJ410)</f>
        <v/>
      </c>
      <c r="BK7" t="inlineStr"/>
      <c r="BL7" t="inlineStr"/>
      <c r="BM7">
        <f>MIN(BM14:BM410)</f>
        <v/>
      </c>
      <c r="BN7">
        <f>MIN(BN14:BN410)</f>
        <v/>
      </c>
      <c r="BO7">
        <f>MIN(BO14:BO410)</f>
        <v/>
      </c>
      <c r="BP7">
        <f>MIN(BP14:BP410)</f>
        <v/>
      </c>
      <c r="BQ7">
        <f>MIN(BQ14:BQ410)</f>
        <v/>
      </c>
      <c r="BR7">
        <f>MIN(BR14:BR410)</f>
        <v/>
      </c>
      <c r="BS7">
        <f>MIN(BS14:BS410)</f>
        <v/>
      </c>
      <c r="BT7">
        <f>MIN(BT14:BT410)</f>
        <v/>
      </c>
      <c r="BU7">
        <f>MIN(BU14:BU410)</f>
        <v/>
      </c>
      <c r="BV7">
        <f>MIN(BV14:BV410)</f>
        <v/>
      </c>
      <c r="BW7">
        <f>MIN(BW14:BW410)</f>
        <v/>
      </c>
      <c r="BX7">
        <f>MIN(BX14:BX410)</f>
        <v/>
      </c>
      <c r="BY7">
        <f>MIN(BY14:BY410)</f>
        <v/>
      </c>
      <c r="BZ7">
        <f>MIN(BZ14:BZ410)</f>
        <v/>
      </c>
      <c r="CA7">
        <f>MIN(CA14:CA410)</f>
        <v/>
      </c>
      <c r="CB7">
        <f>MIN(CB14:CB410)</f>
        <v/>
      </c>
      <c r="CC7">
        <f>MIN(CC14:CC410)</f>
        <v/>
      </c>
      <c r="CD7">
        <f>MIN(CD14:CD410)</f>
        <v/>
      </c>
      <c r="CE7">
        <f>MIN(CE14:CE410)</f>
        <v/>
      </c>
      <c r="CF7">
        <f>MIN(CF14:CF410)</f>
        <v/>
      </c>
      <c r="CG7">
        <f>MIN(CG14:CG410)</f>
        <v/>
      </c>
      <c r="CH7">
        <f>MIN(CH14:CH410)</f>
        <v/>
      </c>
      <c r="CI7">
        <f>MIN(CI14:CI410)</f>
        <v/>
      </c>
      <c r="CJ7">
        <f>MIN(CJ14:CJ410)</f>
        <v/>
      </c>
      <c r="CK7">
        <f>MIN(CK14:CK410)</f>
        <v/>
      </c>
      <c r="CL7">
        <f>MIN(CL14:CL410)</f>
        <v/>
      </c>
      <c r="CM7">
        <f>MIN(CM14:CM410)</f>
        <v/>
      </c>
      <c r="CN7">
        <f>MIN(CN14:CN410)</f>
        <v/>
      </c>
      <c r="CO7">
        <f>MIN(CO14:CO410)</f>
        <v/>
      </c>
      <c r="CP7">
        <f>MIN(CP14:CP410)</f>
        <v/>
      </c>
      <c r="CQ7">
        <f>MIN(CQ14:CQ410)</f>
        <v/>
      </c>
      <c r="CR7">
        <f>MIN(CR14:CR410)</f>
        <v/>
      </c>
      <c r="CS7">
        <f>MIN(CS14:CS410)</f>
        <v/>
      </c>
      <c r="CT7">
        <f>MIN(CT14:CT410)</f>
        <v/>
      </c>
      <c r="CU7">
        <f>MIN(CU14:CU410)</f>
        <v/>
      </c>
      <c r="CV7">
        <f>MIN(CV14:CV410)</f>
        <v/>
      </c>
      <c r="CW7">
        <f>MIN(CW14:CW410)</f>
        <v/>
      </c>
      <c r="CX7">
        <f>MIN(CX14:CX410)</f>
        <v/>
      </c>
      <c r="CY7">
        <f>MIN(CY14:CY410)</f>
        <v/>
      </c>
      <c r="CZ7">
        <f>MIN(CZ14:CZ410)</f>
        <v/>
      </c>
      <c r="DA7">
        <f>MIN(DA14:DA410)</f>
        <v/>
      </c>
      <c r="DB7">
        <f>MIN(DB14:DB410)</f>
        <v/>
      </c>
      <c r="DC7">
        <f>MIN(DC14:DC410)</f>
        <v/>
      </c>
      <c r="DD7">
        <f>MIN(DD14:DD410)</f>
        <v/>
      </c>
      <c r="DE7">
        <f>MIN(DE14:DE410)</f>
        <v/>
      </c>
      <c r="DF7">
        <f>MIN(DF14:DF410)</f>
        <v/>
      </c>
      <c r="DG7">
        <f>MIN(DG14:DG410)</f>
        <v/>
      </c>
      <c r="DH7">
        <f>MIN(DH14:DH410)</f>
        <v/>
      </c>
      <c r="DI7">
        <f>MIN(DI14:DI410)</f>
        <v/>
      </c>
      <c r="DJ7">
        <f>MIN(DJ14:DJ410)</f>
        <v/>
      </c>
      <c r="DK7">
        <f>MIN(DK14:DK410)</f>
        <v/>
      </c>
      <c r="DL7">
        <f>MIN(DL14:DL410)</f>
        <v/>
      </c>
      <c r="DM7">
        <f>MIN(DM14:DM410)</f>
        <v/>
      </c>
      <c r="DN7">
        <f>MIN(DN14:DN410)</f>
        <v/>
      </c>
      <c r="DO7">
        <f>MIN(DO14:DO410)</f>
        <v/>
      </c>
      <c r="DP7">
        <f>MIN(DP14:DP410)</f>
        <v/>
      </c>
      <c r="DQ7">
        <f>MIN(DQ14:DQ410)</f>
        <v/>
      </c>
      <c r="DR7">
        <f>MIN(DR14:DR410)</f>
        <v/>
      </c>
      <c r="DS7">
        <f>MIN(DS14:DS410)</f>
        <v/>
      </c>
      <c r="DT7">
        <f>MIN(DT14:DT410)</f>
        <v/>
      </c>
      <c r="DU7">
        <f>MIN(DU14:DU410)</f>
        <v/>
      </c>
      <c r="DV7">
        <f>MIN(DV14:DV410)</f>
        <v/>
      </c>
      <c r="DW7">
        <f>MIN(DW14:DW410)</f>
        <v/>
      </c>
      <c r="DX7">
        <f>MIN(DX14:DX410)</f>
        <v/>
      </c>
      <c r="DY7">
        <f>MIN(DY14:DY410)</f>
        <v/>
      </c>
      <c r="DZ7">
        <f>MIN(DZ14:DZ410)</f>
        <v/>
      </c>
    </row>
    <row r="8">
      <c r="A8" t="inlineStr">
        <is>
          <t>Count</t>
        </is>
      </c>
      <c r="B8">
        <f>COUNT(B14:B410)</f>
        <v/>
      </c>
      <c r="C8">
        <f>COUNT(C14:C410)</f>
        <v/>
      </c>
      <c r="D8">
        <f>COUNT(D14:D410)</f>
        <v/>
      </c>
      <c r="E8">
        <f>COUNT(E14:E410)</f>
        <v/>
      </c>
      <c r="F8">
        <f>COUNT(F14:F410)</f>
        <v/>
      </c>
      <c r="G8">
        <f>COUNT(G14:G410)</f>
        <v/>
      </c>
      <c r="H8">
        <f>COUNT(H14:H410)</f>
        <v/>
      </c>
      <c r="I8">
        <f>COUNT(I14:I410)</f>
        <v/>
      </c>
      <c r="J8">
        <f>COUNT(J14:J410)</f>
        <v/>
      </c>
      <c r="K8">
        <f>COUNT(K14:K410)</f>
        <v/>
      </c>
      <c r="L8">
        <f>COUNT(L14:L410)</f>
        <v/>
      </c>
      <c r="M8" t="inlineStr"/>
      <c r="N8">
        <f>COUNT(N14:N410)</f>
        <v/>
      </c>
      <c r="O8">
        <f>COUNT(O14:O410)</f>
        <v/>
      </c>
      <c r="P8">
        <f>COUNT(P14:P410)</f>
        <v/>
      </c>
      <c r="Q8">
        <f>COUNT(Q14:Q410)</f>
        <v/>
      </c>
      <c r="R8">
        <f>COUNT(R14:R410)</f>
        <v/>
      </c>
      <c r="S8">
        <f>COUNT(S14:S410)</f>
        <v/>
      </c>
      <c r="T8">
        <f>COUNT(T14:T410)</f>
        <v/>
      </c>
      <c r="U8">
        <f>COUNT(U14:U410)</f>
        <v/>
      </c>
      <c r="V8">
        <f>COUNT(V14:V410)</f>
        <v/>
      </c>
      <c r="W8" t="inlineStr"/>
      <c r="X8" t="inlineStr"/>
      <c r="Y8">
        <f>COUNT(Y14:Y410)</f>
        <v/>
      </c>
      <c r="Z8">
        <f>COUNT(Z14:Z410)</f>
        <v/>
      </c>
      <c r="AA8">
        <f>COUNT(AA14:AA410)</f>
        <v/>
      </c>
      <c r="AB8">
        <f>COUNT(AB14:AB410)</f>
        <v/>
      </c>
      <c r="AC8">
        <f>COUNT(AC14:AC410)</f>
        <v/>
      </c>
      <c r="AD8" t="inlineStr"/>
      <c r="AE8">
        <f>COUNT(AE14:AE410)</f>
        <v/>
      </c>
      <c r="AF8">
        <f>COUNT(AF14:AF410)</f>
        <v/>
      </c>
      <c r="AG8">
        <f>COUNT(AG14:AG410)</f>
        <v/>
      </c>
      <c r="AH8">
        <f>COUNT(AH14:AH410)</f>
        <v/>
      </c>
      <c r="AI8">
        <f>COUNT(AI14:AI410)</f>
        <v/>
      </c>
      <c r="AJ8">
        <f>COUNT(AJ14:AJ410)</f>
        <v/>
      </c>
      <c r="AK8">
        <f>COUNT(AK14:AK410)</f>
        <v/>
      </c>
      <c r="AL8">
        <f>COUNT(AL14:AL410)</f>
        <v/>
      </c>
      <c r="AM8">
        <f>COUNT(AM14:AM410)</f>
        <v/>
      </c>
      <c r="AN8">
        <f>COUNT(AN14:AN410)</f>
        <v/>
      </c>
      <c r="AO8">
        <f>COUNT(AO14:AO410)</f>
        <v/>
      </c>
      <c r="AP8">
        <f>COUNT(AP14:AP410)</f>
        <v/>
      </c>
      <c r="AQ8">
        <f>COUNT(AQ14:AQ410)</f>
        <v/>
      </c>
      <c r="AR8">
        <f>COUNT(AR14:AR410)</f>
        <v/>
      </c>
      <c r="AS8">
        <f>COUNT(AS14:AS410)</f>
        <v/>
      </c>
      <c r="AT8">
        <f>COUNT(AT14:AT410)</f>
        <v/>
      </c>
      <c r="AU8" t="inlineStr"/>
      <c r="AV8" t="inlineStr"/>
      <c r="AW8">
        <f>COUNT(AW14:AW410)</f>
        <v/>
      </c>
      <c r="AX8">
        <f>COUNT(AX14:AX410)</f>
        <v/>
      </c>
      <c r="AY8">
        <f>COUNT(AY14:AY410)</f>
        <v/>
      </c>
      <c r="AZ8">
        <f>COUNT(AZ14:AZ410)</f>
        <v/>
      </c>
      <c r="BA8">
        <f>COUNT(BA14:BA410)</f>
        <v/>
      </c>
      <c r="BB8">
        <f>COUNT(BB14:BB410)</f>
        <v/>
      </c>
      <c r="BC8">
        <f>COUNT(BC14:BC410)</f>
        <v/>
      </c>
      <c r="BD8">
        <f>COUNT(BD14:BD410)</f>
        <v/>
      </c>
      <c r="BE8" t="inlineStr"/>
      <c r="BF8" t="inlineStr"/>
      <c r="BG8">
        <f>COUNT(BG14:BG410)</f>
        <v/>
      </c>
      <c r="BH8">
        <f>COUNT(BH14:BH410)</f>
        <v/>
      </c>
      <c r="BI8">
        <f>COUNT(BI14:BI410)</f>
        <v/>
      </c>
      <c r="BJ8">
        <f>COUNT(BJ14:BJ410)</f>
        <v/>
      </c>
      <c r="BK8" t="inlineStr"/>
      <c r="BL8" t="inlineStr"/>
      <c r="BM8">
        <f>COUNT(BM14:BM410)</f>
        <v/>
      </c>
      <c r="BN8">
        <f>COUNT(BN14:BN410)</f>
        <v/>
      </c>
      <c r="BO8">
        <f>COUNT(BO14:BO410)</f>
        <v/>
      </c>
      <c r="BP8">
        <f>COUNT(BP14:BP410)</f>
        <v/>
      </c>
      <c r="BQ8">
        <f>COUNT(BQ14:BQ410)</f>
        <v/>
      </c>
      <c r="BR8">
        <f>COUNT(BR14:BR410)</f>
        <v/>
      </c>
      <c r="BS8">
        <f>COUNT(BS14:BS410)</f>
        <v/>
      </c>
      <c r="BT8">
        <f>COUNT(BT14:BT410)</f>
        <v/>
      </c>
      <c r="BU8">
        <f>COUNT(BU14:BU410)</f>
        <v/>
      </c>
      <c r="BV8">
        <f>COUNT(BV14:BV410)</f>
        <v/>
      </c>
      <c r="BW8">
        <f>COUNT(BW14:BW410)</f>
        <v/>
      </c>
      <c r="BX8">
        <f>COUNT(BX14:BX410)</f>
        <v/>
      </c>
      <c r="BY8">
        <f>COUNT(BY14:BY410)</f>
        <v/>
      </c>
      <c r="BZ8">
        <f>COUNT(BZ14:BZ410)</f>
        <v/>
      </c>
      <c r="CA8">
        <f>COUNT(CA14:CA410)</f>
        <v/>
      </c>
      <c r="CB8">
        <f>COUNT(CB14:CB410)</f>
        <v/>
      </c>
      <c r="CC8">
        <f>COUNT(CC14:CC410)</f>
        <v/>
      </c>
      <c r="CD8">
        <f>COUNT(CD14:CD410)</f>
        <v/>
      </c>
      <c r="CE8">
        <f>COUNT(CE14:CE410)</f>
        <v/>
      </c>
      <c r="CF8">
        <f>COUNT(CF14:CF410)</f>
        <v/>
      </c>
      <c r="CG8">
        <f>COUNT(CG14:CG410)</f>
        <v/>
      </c>
      <c r="CH8">
        <f>COUNT(CH14:CH410)</f>
        <v/>
      </c>
      <c r="CI8">
        <f>COUNT(CI14:CI410)</f>
        <v/>
      </c>
      <c r="CJ8">
        <f>COUNT(CJ14:CJ410)</f>
        <v/>
      </c>
      <c r="CK8">
        <f>COUNT(CK14:CK410)</f>
        <v/>
      </c>
      <c r="CL8">
        <f>COUNT(CL14:CL410)</f>
        <v/>
      </c>
      <c r="CM8">
        <f>COUNT(CM14:CM410)</f>
        <v/>
      </c>
      <c r="CN8">
        <f>COUNT(CN14:CN410)</f>
        <v/>
      </c>
      <c r="CO8">
        <f>COUNT(CO14:CO410)</f>
        <v/>
      </c>
      <c r="CP8">
        <f>COUNT(CP14:CP410)</f>
        <v/>
      </c>
      <c r="CQ8">
        <f>COUNT(CQ14:CQ410)</f>
        <v/>
      </c>
      <c r="CR8">
        <f>COUNT(CR14:CR410)</f>
        <v/>
      </c>
      <c r="CS8">
        <f>COUNT(CS14:CS410)</f>
        <v/>
      </c>
      <c r="CT8">
        <f>COUNT(CT14:CT410)</f>
        <v/>
      </c>
      <c r="CU8">
        <f>COUNT(CU14:CU410)</f>
        <v/>
      </c>
      <c r="CV8">
        <f>COUNT(CV14:CV410)</f>
        <v/>
      </c>
      <c r="CW8">
        <f>COUNT(CW14:CW410)</f>
        <v/>
      </c>
      <c r="CX8">
        <f>COUNT(CX14:CX410)</f>
        <v/>
      </c>
      <c r="CY8">
        <f>COUNT(CY14:CY410)</f>
        <v/>
      </c>
      <c r="CZ8">
        <f>COUNT(CZ14:CZ410)</f>
        <v/>
      </c>
      <c r="DA8">
        <f>COUNT(DA14:DA410)</f>
        <v/>
      </c>
      <c r="DB8">
        <f>COUNT(DB14:DB410)</f>
        <v/>
      </c>
      <c r="DC8">
        <f>COUNT(DC14:DC410)</f>
        <v/>
      </c>
      <c r="DD8">
        <f>COUNT(DD14:DD410)</f>
        <v/>
      </c>
      <c r="DE8">
        <f>COUNT(DE14:DE410)</f>
        <v/>
      </c>
      <c r="DF8">
        <f>COUNT(DF14:DF410)</f>
        <v/>
      </c>
      <c r="DG8">
        <f>COUNT(DG14:DG410)</f>
        <v/>
      </c>
      <c r="DH8">
        <f>COUNT(DH14:DH410)</f>
        <v/>
      </c>
      <c r="DI8">
        <f>COUNT(DI14:DI410)</f>
        <v/>
      </c>
      <c r="DJ8">
        <f>COUNT(DJ14:DJ410)</f>
        <v/>
      </c>
      <c r="DK8">
        <f>COUNT(DK14:DK410)</f>
        <v/>
      </c>
      <c r="DL8">
        <f>COUNT(DL14:DL410)</f>
        <v/>
      </c>
      <c r="DM8">
        <f>COUNT(DM14:DM410)</f>
        <v/>
      </c>
      <c r="DN8">
        <f>COUNT(DN14:DN410)</f>
        <v/>
      </c>
      <c r="DO8">
        <f>COUNT(DO14:DO410)</f>
        <v/>
      </c>
      <c r="DP8">
        <f>COUNT(DP14:DP410)</f>
        <v/>
      </c>
      <c r="DQ8">
        <f>COUNT(DQ14:DQ410)</f>
        <v/>
      </c>
      <c r="DR8">
        <f>COUNT(DR14:DR410)</f>
        <v/>
      </c>
      <c r="DS8">
        <f>COUNT(DS14:DS410)</f>
        <v/>
      </c>
      <c r="DT8">
        <f>COUNT(DT14:DT410)</f>
        <v/>
      </c>
      <c r="DU8">
        <f>COUNT(DU14:DU410)</f>
        <v/>
      </c>
      <c r="DV8">
        <f>COUNT(DV14:DV410)</f>
        <v/>
      </c>
      <c r="DW8">
        <f>COUNT(DW14:DW410)</f>
        <v/>
      </c>
      <c r="DX8">
        <f>COUNT(DX14:DX410)</f>
        <v/>
      </c>
      <c r="DY8">
        <f>COUNT(DY14:DY410)</f>
        <v/>
      </c>
      <c r="DZ8">
        <f>COUNT(DZ14:DZ410)</f>
        <v/>
      </c>
    </row>
    <row r="9">
      <c r="A9" t="inlineStr">
        <is>
          <t>Std</t>
        </is>
      </c>
      <c r="B9">
        <f>STDEV(B14:B410)</f>
        <v/>
      </c>
      <c r="C9">
        <f>STDEV(C14:C410)</f>
        <v/>
      </c>
      <c r="D9">
        <f>STDEV(D14:D410)</f>
        <v/>
      </c>
      <c r="E9">
        <f>STDEV(E14:E410)</f>
        <v/>
      </c>
      <c r="F9">
        <f>STDEV(F14:F410)</f>
        <v/>
      </c>
      <c r="G9">
        <f>STDEV(G14:G410)</f>
        <v/>
      </c>
      <c r="H9">
        <f>STDEV(H14:H410)</f>
        <v/>
      </c>
      <c r="I9">
        <f>STDEV(I14:I410)</f>
        <v/>
      </c>
      <c r="J9">
        <f>STDEV(J14:J410)</f>
        <v/>
      </c>
      <c r="K9">
        <f>STDEV(K14:K410)</f>
        <v/>
      </c>
      <c r="L9">
        <f>STDEV(L14:L410)</f>
        <v/>
      </c>
      <c r="M9" t="inlineStr"/>
      <c r="N9">
        <f>STDEV(N14:N410)</f>
        <v/>
      </c>
      <c r="O9">
        <f>STDEV(O14:O410)</f>
        <v/>
      </c>
      <c r="P9">
        <f>STDEV(P14:P410)</f>
        <v/>
      </c>
      <c r="Q9">
        <f>STDEV(Q14:Q410)</f>
        <v/>
      </c>
      <c r="R9">
        <f>STDEV(R14:R410)</f>
        <v/>
      </c>
      <c r="S9">
        <f>STDEV(S14:S410)</f>
        <v/>
      </c>
      <c r="T9">
        <f>STDEV(T14:T410)</f>
        <v/>
      </c>
      <c r="U9">
        <f>STDEV(U14:U410)</f>
        <v/>
      </c>
      <c r="V9">
        <f>STDEV(V14:V410)</f>
        <v/>
      </c>
      <c r="W9" t="inlineStr"/>
      <c r="X9" t="inlineStr"/>
      <c r="Y9">
        <f>STDEV(Y14:Y410)</f>
        <v/>
      </c>
      <c r="Z9">
        <f>STDEV(Z14:Z410)</f>
        <v/>
      </c>
      <c r="AA9">
        <f>STDEV(AA14:AA410)</f>
        <v/>
      </c>
      <c r="AB9">
        <f>STDEV(AB14:AB410)</f>
        <v/>
      </c>
      <c r="AC9">
        <f>STDEV(AC14:AC410)</f>
        <v/>
      </c>
      <c r="AD9" t="inlineStr"/>
      <c r="AE9">
        <f>STDEV(AE14:AE410)</f>
        <v/>
      </c>
      <c r="AF9">
        <f>STDEV(AF14:AF410)</f>
        <v/>
      </c>
      <c r="AG9">
        <f>STDEV(AG14:AG410)</f>
        <v/>
      </c>
      <c r="AH9">
        <f>STDEV(AH14:AH410)</f>
        <v/>
      </c>
      <c r="AI9">
        <f>STDEV(AI14:AI410)</f>
        <v/>
      </c>
      <c r="AJ9">
        <f>STDEV(AJ14:AJ410)</f>
        <v/>
      </c>
      <c r="AK9">
        <f>STDEV(AK14:AK410)</f>
        <v/>
      </c>
      <c r="AL9">
        <f>STDEV(AL14:AL410)</f>
        <v/>
      </c>
      <c r="AM9">
        <f>STDEV(AM14:AM410)</f>
        <v/>
      </c>
      <c r="AN9">
        <f>STDEV(AN14:AN410)</f>
        <v/>
      </c>
      <c r="AO9">
        <f>STDEV(AO14:AO410)</f>
        <v/>
      </c>
      <c r="AP9">
        <f>STDEV(AP14:AP410)</f>
        <v/>
      </c>
      <c r="AQ9">
        <f>STDEV(AQ14:AQ410)</f>
        <v/>
      </c>
      <c r="AR9">
        <f>STDEV(AR14:AR410)</f>
        <v/>
      </c>
      <c r="AS9">
        <f>STDEV(AS14:AS410)</f>
        <v/>
      </c>
      <c r="AT9">
        <f>STDEV(AT14:AT410)</f>
        <v/>
      </c>
      <c r="AU9" t="inlineStr"/>
      <c r="AV9" t="inlineStr"/>
      <c r="AW9">
        <f>STDEV(AW14:AW410)</f>
        <v/>
      </c>
      <c r="AX9">
        <f>STDEV(AX14:AX410)</f>
        <v/>
      </c>
      <c r="AY9">
        <f>STDEV(AY14:AY410)</f>
        <v/>
      </c>
      <c r="AZ9">
        <f>STDEV(AZ14:AZ410)</f>
        <v/>
      </c>
      <c r="BA9">
        <f>STDEV(BA14:BA410)</f>
        <v/>
      </c>
      <c r="BB9">
        <f>STDEV(BB14:BB410)</f>
        <v/>
      </c>
      <c r="BC9">
        <f>STDEV(BC14:BC410)</f>
        <v/>
      </c>
      <c r="BD9">
        <f>STDEV(BD14:BD410)</f>
        <v/>
      </c>
      <c r="BE9" t="inlineStr"/>
      <c r="BF9" t="inlineStr"/>
      <c r="BG9">
        <f>STDEV(BG14:BG410)</f>
        <v/>
      </c>
      <c r="BH9">
        <f>STDEV(BH14:BH410)</f>
        <v/>
      </c>
      <c r="BI9">
        <f>STDEV(BI14:BI410)</f>
        <v/>
      </c>
      <c r="BJ9">
        <f>STDEV(BJ14:BJ410)</f>
        <v/>
      </c>
      <c r="BK9" t="inlineStr"/>
      <c r="BL9" t="inlineStr"/>
      <c r="BM9">
        <f>STDEV(BM14:BM410)</f>
        <v/>
      </c>
      <c r="BN9">
        <f>STDEV(BN14:BN410)</f>
        <v/>
      </c>
      <c r="BO9">
        <f>STDEV(BO14:BO410)</f>
        <v/>
      </c>
      <c r="BP9">
        <f>STDEV(BP14:BP410)</f>
        <v/>
      </c>
      <c r="BQ9">
        <f>STDEV(BQ14:BQ410)</f>
        <v/>
      </c>
      <c r="BR9">
        <f>STDEV(BR14:BR410)</f>
        <v/>
      </c>
      <c r="BS9">
        <f>STDEV(BS14:BS410)</f>
        <v/>
      </c>
      <c r="BT9">
        <f>STDEV(BT14:BT410)</f>
        <v/>
      </c>
      <c r="BU9">
        <f>STDEV(BU14:BU410)</f>
        <v/>
      </c>
      <c r="BV9">
        <f>STDEV(BV14:BV410)</f>
        <v/>
      </c>
      <c r="BW9">
        <f>STDEV(BW14:BW410)</f>
        <v/>
      </c>
      <c r="BX9">
        <f>STDEV(BX14:BX410)</f>
        <v/>
      </c>
      <c r="BY9">
        <f>STDEV(BY14:BY410)</f>
        <v/>
      </c>
      <c r="BZ9">
        <f>STDEV(BZ14:BZ410)</f>
        <v/>
      </c>
      <c r="CA9">
        <f>STDEV(CA14:CA410)</f>
        <v/>
      </c>
      <c r="CB9">
        <f>STDEV(CB14:CB410)</f>
        <v/>
      </c>
      <c r="CC9">
        <f>STDEV(CC14:CC410)</f>
        <v/>
      </c>
      <c r="CD9">
        <f>STDEV(CD14:CD410)</f>
        <v/>
      </c>
      <c r="CE9">
        <f>STDEV(CE14:CE410)</f>
        <v/>
      </c>
      <c r="CF9">
        <f>STDEV(CF14:CF410)</f>
        <v/>
      </c>
      <c r="CG9">
        <f>STDEV(CG14:CG410)</f>
        <v/>
      </c>
      <c r="CH9">
        <f>STDEV(CH14:CH410)</f>
        <v/>
      </c>
      <c r="CI9">
        <f>STDEV(CI14:CI410)</f>
        <v/>
      </c>
      <c r="CJ9">
        <f>STDEV(CJ14:CJ410)</f>
        <v/>
      </c>
      <c r="CK9">
        <f>STDEV(CK14:CK410)</f>
        <v/>
      </c>
      <c r="CL9">
        <f>STDEV(CL14:CL410)</f>
        <v/>
      </c>
      <c r="CM9">
        <f>STDEV(CM14:CM410)</f>
        <v/>
      </c>
      <c r="CN9">
        <f>STDEV(CN14:CN410)</f>
        <v/>
      </c>
      <c r="CO9">
        <f>STDEV(CO14:CO410)</f>
        <v/>
      </c>
      <c r="CP9">
        <f>STDEV(CP14:CP410)</f>
        <v/>
      </c>
      <c r="CQ9">
        <f>STDEV(CQ14:CQ410)</f>
        <v/>
      </c>
      <c r="CR9">
        <f>STDEV(CR14:CR410)</f>
        <v/>
      </c>
      <c r="CS9">
        <f>STDEV(CS14:CS410)</f>
        <v/>
      </c>
      <c r="CT9">
        <f>STDEV(CT14:CT410)</f>
        <v/>
      </c>
      <c r="CU9">
        <f>STDEV(CU14:CU410)</f>
        <v/>
      </c>
      <c r="CV9">
        <f>STDEV(CV14:CV410)</f>
        <v/>
      </c>
      <c r="CW9">
        <f>STDEV(CW14:CW410)</f>
        <v/>
      </c>
      <c r="CX9">
        <f>STDEV(CX14:CX410)</f>
        <v/>
      </c>
      <c r="CY9">
        <f>STDEV(CY14:CY410)</f>
        <v/>
      </c>
      <c r="CZ9">
        <f>STDEV(CZ14:CZ410)</f>
        <v/>
      </c>
      <c r="DA9">
        <f>STDEV(DA14:DA410)</f>
        <v/>
      </c>
      <c r="DB9">
        <f>STDEV(DB14:DB410)</f>
        <v/>
      </c>
      <c r="DC9">
        <f>STDEV(DC14:DC410)</f>
        <v/>
      </c>
      <c r="DD9">
        <f>STDEV(DD14:DD410)</f>
        <v/>
      </c>
      <c r="DE9">
        <f>STDEV(DE14:DE410)</f>
        <v/>
      </c>
      <c r="DF9">
        <f>STDEV(DF14:DF410)</f>
        <v/>
      </c>
      <c r="DG9">
        <f>STDEV(DG14:DG410)</f>
        <v/>
      </c>
      <c r="DH9">
        <f>STDEV(DH14:DH410)</f>
        <v/>
      </c>
      <c r="DI9">
        <f>STDEV(DI14:DI410)</f>
        <v/>
      </c>
      <c r="DJ9">
        <f>STDEV(DJ14:DJ410)</f>
        <v/>
      </c>
      <c r="DK9">
        <f>STDEV(DK14:DK410)</f>
        <v/>
      </c>
      <c r="DL9">
        <f>STDEV(DL14:DL410)</f>
        <v/>
      </c>
      <c r="DM9">
        <f>STDEV(DM14:DM410)</f>
        <v/>
      </c>
      <c r="DN9">
        <f>STDEV(DN14:DN410)</f>
        <v/>
      </c>
      <c r="DO9">
        <f>STDEV(DO14:DO410)</f>
        <v/>
      </c>
      <c r="DP9">
        <f>STDEV(DP14:DP410)</f>
        <v/>
      </c>
      <c r="DQ9">
        <f>STDEV(DQ14:DQ410)</f>
        <v/>
      </c>
      <c r="DR9">
        <f>STDEV(DR14:DR410)</f>
        <v/>
      </c>
      <c r="DS9">
        <f>STDEV(DS14:DS410)</f>
        <v/>
      </c>
      <c r="DT9">
        <f>STDEV(DT14:DT410)</f>
        <v/>
      </c>
      <c r="DU9">
        <f>STDEV(DU14:DU410)</f>
        <v/>
      </c>
      <c r="DV9">
        <f>STDEV(DV14:DV410)</f>
        <v/>
      </c>
      <c r="DW9">
        <f>STDEV(DW14:DW410)</f>
        <v/>
      </c>
      <c r="DX9">
        <f>STDEV(DX14:DX410)</f>
        <v/>
      </c>
      <c r="DY9">
        <f>STDEV(DY14:DY410)</f>
        <v/>
      </c>
      <c r="DZ9">
        <f>STDEV(DZ14:DZ410)</f>
        <v/>
      </c>
    </row>
    <row r="10">
      <c r="A10" t="inlineStr">
        <is>
          <t>Sum</t>
        </is>
      </c>
      <c r="B10">
        <f>SUM(B14:B410)</f>
        <v/>
      </c>
      <c r="C10">
        <f>SUM(C14:C410)</f>
        <v/>
      </c>
      <c r="D10">
        <f>SUM(D14:D410)</f>
        <v/>
      </c>
      <c r="E10">
        <f>SUM(E14:E410)</f>
        <v/>
      </c>
      <c r="F10">
        <f>SUM(F14:F410)</f>
        <v/>
      </c>
      <c r="G10">
        <f>SUM(G14:G410)</f>
        <v/>
      </c>
      <c r="H10">
        <f>SUM(H14:H410)</f>
        <v/>
      </c>
      <c r="I10">
        <f>SUM(I14:I410)</f>
        <v/>
      </c>
      <c r="J10">
        <f>SUM(J14:J410)</f>
        <v/>
      </c>
      <c r="K10">
        <f>SUM(K14:K410)</f>
        <v/>
      </c>
      <c r="L10">
        <f>SUM(L14:L410)</f>
        <v/>
      </c>
      <c r="M10" t="inlineStr"/>
      <c r="N10">
        <f>SUM(N14:N410)</f>
        <v/>
      </c>
      <c r="O10">
        <f>SUM(O14:O410)</f>
        <v/>
      </c>
      <c r="P10">
        <f>SUM(P14:P410)</f>
        <v/>
      </c>
      <c r="Q10">
        <f>SUM(Q14:Q410)</f>
        <v/>
      </c>
      <c r="R10">
        <f>SUM(R14:R410)</f>
        <v/>
      </c>
      <c r="S10">
        <f>SUM(S14:S410)</f>
        <v/>
      </c>
      <c r="T10">
        <f>SUM(T14:T410)</f>
        <v/>
      </c>
      <c r="U10">
        <f>SUM(U14:U410)</f>
        <v/>
      </c>
      <c r="V10">
        <f>SUM(V14:V410)</f>
        <v/>
      </c>
      <c r="W10" t="inlineStr"/>
      <c r="X10" t="inlineStr"/>
      <c r="Y10">
        <f>SUM(Y14:Y410)</f>
        <v/>
      </c>
      <c r="Z10">
        <f>SUM(Z14:Z410)</f>
        <v/>
      </c>
      <c r="AA10">
        <f>SUM(AA14:AA410)</f>
        <v/>
      </c>
      <c r="AB10">
        <f>SUM(AB14:AB410)</f>
        <v/>
      </c>
      <c r="AC10">
        <f>SUM(AC14:AC410)</f>
        <v/>
      </c>
      <c r="AD10" t="inlineStr"/>
      <c r="AE10">
        <f>SUM(AE14:AE410)</f>
        <v/>
      </c>
      <c r="AF10">
        <f>SUM(AF14:AF410)</f>
        <v/>
      </c>
      <c r="AG10">
        <f>SUM(AG14:AG410)</f>
        <v/>
      </c>
      <c r="AH10">
        <f>SUM(AH14:AH410)</f>
        <v/>
      </c>
      <c r="AI10">
        <f>SUM(AI14:AI410)</f>
        <v/>
      </c>
      <c r="AJ10">
        <f>SUM(AJ14:AJ410)</f>
        <v/>
      </c>
      <c r="AK10">
        <f>SUM(AK14:AK410)</f>
        <v/>
      </c>
      <c r="AL10">
        <f>SUM(AL14:AL410)</f>
        <v/>
      </c>
      <c r="AM10">
        <f>SUM(AM14:AM410)</f>
        <v/>
      </c>
      <c r="AN10">
        <f>SUM(AN14:AN410)</f>
        <v/>
      </c>
      <c r="AO10">
        <f>SUM(AO14:AO410)</f>
        <v/>
      </c>
      <c r="AP10">
        <f>SUM(AP14:AP410)</f>
        <v/>
      </c>
      <c r="AQ10">
        <f>SUM(AQ14:AQ410)</f>
        <v/>
      </c>
      <c r="AR10">
        <f>SUM(AR14:AR410)</f>
        <v/>
      </c>
      <c r="AS10">
        <f>SUM(AS14:AS410)</f>
        <v/>
      </c>
      <c r="AT10">
        <f>SUM(AT14:AT410)</f>
        <v/>
      </c>
      <c r="AU10" t="inlineStr"/>
      <c r="AV10" t="inlineStr"/>
      <c r="AW10">
        <f>SUM(AW14:AW410)</f>
        <v/>
      </c>
      <c r="AX10">
        <f>SUM(AX14:AX410)</f>
        <v/>
      </c>
      <c r="AY10">
        <f>SUM(AY14:AY410)</f>
        <v/>
      </c>
      <c r="AZ10">
        <f>SUM(AZ14:AZ410)</f>
        <v/>
      </c>
      <c r="BA10">
        <f>SUM(BA14:BA410)</f>
        <v/>
      </c>
      <c r="BB10">
        <f>SUM(BB14:BB410)</f>
        <v/>
      </c>
      <c r="BC10">
        <f>SUM(BC14:BC410)</f>
        <v/>
      </c>
      <c r="BD10">
        <f>SUM(BD14:BD410)</f>
        <v/>
      </c>
      <c r="BE10" t="inlineStr"/>
      <c r="BF10" t="inlineStr"/>
      <c r="BG10">
        <f>SUM(BG14:BG410)</f>
        <v/>
      </c>
      <c r="BH10">
        <f>SUM(BH14:BH410)</f>
        <v/>
      </c>
      <c r="BI10">
        <f>SUM(BI14:BI410)</f>
        <v/>
      </c>
      <c r="BJ10">
        <f>SUM(BJ14:BJ410)</f>
        <v/>
      </c>
      <c r="BK10" t="inlineStr"/>
      <c r="BL10" t="inlineStr"/>
      <c r="BM10">
        <f>SUM(BM14:BM410)</f>
        <v/>
      </c>
      <c r="BN10">
        <f>SUM(BN14:BN410)</f>
        <v/>
      </c>
      <c r="BO10">
        <f>SUM(BO14:BO410)</f>
        <v/>
      </c>
      <c r="BP10">
        <f>SUM(BP14:BP410)</f>
        <v/>
      </c>
      <c r="BQ10">
        <f>SUM(BQ14:BQ410)</f>
        <v/>
      </c>
      <c r="BR10">
        <f>SUM(BR14:BR410)</f>
        <v/>
      </c>
      <c r="BS10">
        <f>SUM(BS14:BS410)</f>
        <v/>
      </c>
      <c r="BT10">
        <f>SUM(BT14:BT410)</f>
        <v/>
      </c>
      <c r="BU10">
        <f>SUM(BU14:BU410)</f>
        <v/>
      </c>
      <c r="BV10">
        <f>SUM(BV14:BV410)</f>
        <v/>
      </c>
      <c r="BW10">
        <f>SUM(BW14:BW410)</f>
        <v/>
      </c>
      <c r="BX10">
        <f>SUM(BX14:BX410)</f>
        <v/>
      </c>
      <c r="BY10">
        <f>SUM(BY14:BY410)</f>
        <v/>
      </c>
      <c r="BZ10">
        <f>SUM(BZ14:BZ410)</f>
        <v/>
      </c>
      <c r="CA10">
        <f>SUM(CA14:CA410)</f>
        <v/>
      </c>
      <c r="CB10">
        <f>SUM(CB14:CB410)</f>
        <v/>
      </c>
      <c r="CC10">
        <f>SUM(CC14:CC410)</f>
        <v/>
      </c>
      <c r="CD10">
        <f>SUM(CD14:CD410)</f>
        <v/>
      </c>
      <c r="CE10">
        <f>SUM(CE14:CE410)</f>
        <v/>
      </c>
      <c r="CF10">
        <f>SUM(CF14:CF410)</f>
        <v/>
      </c>
      <c r="CG10">
        <f>SUM(CG14:CG410)</f>
        <v/>
      </c>
      <c r="CH10">
        <f>SUM(CH14:CH410)</f>
        <v/>
      </c>
      <c r="CI10">
        <f>SUM(CI14:CI410)</f>
        <v/>
      </c>
      <c r="CJ10">
        <f>SUM(CJ14:CJ410)</f>
        <v/>
      </c>
      <c r="CK10">
        <f>SUM(CK14:CK410)</f>
        <v/>
      </c>
      <c r="CL10">
        <f>SUM(CL14:CL410)</f>
        <v/>
      </c>
      <c r="CM10">
        <f>SUM(CM14:CM410)</f>
        <v/>
      </c>
      <c r="CN10">
        <f>SUM(CN14:CN410)</f>
        <v/>
      </c>
      <c r="CO10">
        <f>SUM(CO14:CO410)</f>
        <v/>
      </c>
      <c r="CP10">
        <f>SUM(CP14:CP410)</f>
        <v/>
      </c>
      <c r="CQ10">
        <f>SUM(CQ14:CQ410)</f>
        <v/>
      </c>
      <c r="CR10">
        <f>SUM(CR14:CR410)</f>
        <v/>
      </c>
      <c r="CS10">
        <f>SUM(CS14:CS410)</f>
        <v/>
      </c>
      <c r="CT10">
        <f>SUM(CT14:CT410)</f>
        <v/>
      </c>
      <c r="CU10">
        <f>SUM(CU14:CU410)</f>
        <v/>
      </c>
      <c r="CV10">
        <f>SUM(CV14:CV410)</f>
        <v/>
      </c>
      <c r="CW10">
        <f>SUM(CW14:CW410)</f>
        <v/>
      </c>
      <c r="CX10">
        <f>SUM(CX14:CX410)</f>
        <v/>
      </c>
      <c r="CY10">
        <f>SUM(CY14:CY410)</f>
        <v/>
      </c>
      <c r="CZ10">
        <f>SUM(CZ14:CZ410)</f>
        <v/>
      </c>
      <c r="DA10">
        <f>SUM(DA14:DA410)</f>
        <v/>
      </c>
      <c r="DB10">
        <f>SUM(DB14:DB410)</f>
        <v/>
      </c>
      <c r="DC10">
        <f>SUM(DC14:DC410)</f>
        <v/>
      </c>
      <c r="DD10">
        <f>SUM(DD14:DD410)</f>
        <v/>
      </c>
      <c r="DE10">
        <f>SUM(DE14:DE410)</f>
        <v/>
      </c>
      <c r="DF10">
        <f>SUM(DF14:DF410)</f>
        <v/>
      </c>
      <c r="DG10">
        <f>SUM(DG14:DG410)</f>
        <v/>
      </c>
      <c r="DH10">
        <f>SUM(DH14:DH410)</f>
        <v/>
      </c>
      <c r="DI10">
        <f>SUM(DI14:DI410)</f>
        <v/>
      </c>
      <c r="DJ10">
        <f>SUM(DJ14:DJ410)</f>
        <v/>
      </c>
      <c r="DK10">
        <f>SUM(DK14:DK410)</f>
        <v/>
      </c>
      <c r="DL10">
        <f>SUM(DL14:DL410)</f>
        <v/>
      </c>
      <c r="DM10">
        <f>SUM(DM14:DM410)</f>
        <v/>
      </c>
      <c r="DN10">
        <f>SUM(DN14:DN410)</f>
        <v/>
      </c>
      <c r="DO10">
        <f>SUM(DO14:DO410)</f>
        <v/>
      </c>
      <c r="DP10">
        <f>SUM(DP14:DP410)</f>
        <v/>
      </c>
      <c r="DQ10">
        <f>SUM(DQ14:DQ410)</f>
        <v/>
      </c>
      <c r="DR10">
        <f>SUM(DR14:DR410)</f>
        <v/>
      </c>
      <c r="DS10">
        <f>SUM(DS14:DS410)</f>
        <v/>
      </c>
      <c r="DT10">
        <f>SUM(DT14:DT410)</f>
        <v/>
      </c>
      <c r="DU10">
        <f>SUM(DU14:DU410)</f>
        <v/>
      </c>
      <c r="DV10">
        <f>SUM(DV14:DV410)</f>
        <v/>
      </c>
      <c r="DW10">
        <f>SUM(DW14:DW410)</f>
        <v/>
      </c>
      <c r="DX10">
        <f>SUM(DX14:DX410)</f>
        <v/>
      </c>
      <c r="DY10">
        <f>SUM(DY14:DY410)</f>
        <v/>
      </c>
      <c r="DZ10">
        <f>SUM(DZ14:DZ410)</f>
        <v/>
      </c>
    </row>
    <row r="11"/>
    <row r="12"/>
    <row r="13">
      <c r="A13" t="inlineStr">
        <is>
          <t>日期</t>
        </is>
      </c>
      <c r="B13" t="inlineStr">
        <is>
          <t>Access Flex Bear High Yield ProFund Investor Class（AFBIX）</t>
        </is>
      </c>
      <c r="C13" t="inlineStr">
        <is>
          <t>Access Flex Bear High Yield Fund Service Class（AFBSX）</t>
        </is>
      </c>
      <c r="D13" t="inlineStr">
        <is>
          <t>Biotechnology UltraSector ProFund， Investor（BIPIX）</t>
        </is>
      </c>
      <c r="E13" t="inlineStr">
        <is>
          <t>Biotechnology Ultra Sector Pro Fund， Service（BIPSX）</t>
        </is>
      </c>
      <c r="F13" t="inlineStr">
        <is>
          <t>Short Bitcoin ProFund - Investor Class（BITIX）</t>
        </is>
      </c>
      <c r="G13" t="inlineStr">
        <is>
          <t>Banks UltraSector ProFund， Investor Class（BKPIX）</t>
        </is>
      </c>
      <c r="H13" t="inlineStr">
        <is>
          <t>Banks UltraSector ProFund， Service Class（BKPSX）</t>
        </is>
      </c>
      <c r="I13" t="inlineStr">
        <is>
          <t>Bull ProFund Investor Class（BLPIX）</t>
        </is>
      </c>
      <c r="J13" t="inlineStr">
        <is>
          <t>Bull ProFund Service（BLPSX）</t>
        </is>
      </c>
      <c r="K13" t="inlineStr">
        <is>
          <t>Materials UltraSector ProFund - Investor Class（BMPIX）</t>
        </is>
      </c>
      <c r="L13" t="inlineStr">
        <is>
          <t>Materials UltraSector ProFund - Service Class（BMPSX）</t>
        </is>
      </c>
      <c r="M13" t="inlineStr">
        <is>
          <t>Bear ProFund Investor Class（BRPIX）</t>
        </is>
      </c>
      <c r="N13" t="inlineStr">
        <is>
          <t>Bear ProFund Service（BRPSX）</t>
        </is>
      </c>
      <c r="O13" t="inlineStr">
        <is>
          <t>Bitcoin ProFund - Investor Class（BTCFX）</t>
        </is>
      </c>
      <c r="P13" t="inlineStr">
        <is>
          <t>Consumer Staples UltraSector ProFund - Investor Class（CNPIX）</t>
        </is>
      </c>
      <c r="Q13" t="inlineStr">
        <is>
          <t>Consumer Staples UltraSector ProFund - Service Class（CNPSX）</t>
        </is>
      </c>
      <c r="R13" t="inlineStr">
        <is>
          <t>Consumer Discretionary UltraSector ProFund - Investor Class（CYPIX）</t>
        </is>
      </c>
      <c r="S13" t="inlineStr">
        <is>
          <t>Consumer Discretionary UltraSector ProFund - Service Class（CYPSX）</t>
        </is>
      </c>
      <c r="T13" t="inlineStr">
        <is>
          <t>Energy UltraSector ProFund - Investor Class（ENPIX）</t>
        </is>
      </c>
      <c r="U13" t="inlineStr">
        <is>
          <t>Energy UltraSector ProFund - Service Class（ENPSX）</t>
        </is>
      </c>
      <c r="V13" t="inlineStr">
        <is>
          <t>Ether ProFund Investor Class（ETHFX）</t>
        </is>
      </c>
      <c r="W13" t="inlineStr">
        <is>
          <t>Falling U.S. Dollar ProFund Investor Class（FDPIX）</t>
        </is>
      </c>
      <c r="X13" t="inlineStr">
        <is>
          <t>Falling U.S. Dollar ProFund Service Class（FDPSX）</t>
        </is>
      </c>
      <c r="Y13" t="inlineStr">
        <is>
          <t>Financials UltraSector ProFund Investor（FNPIX）</t>
        </is>
      </c>
      <c r="Z13" t="inlineStr">
        <is>
          <t>Financials UltraSector ProFund Service Class（FNPSX）</t>
        </is>
      </c>
      <c r="AA13" t="inlineStr">
        <is>
          <t>Access Flex High Yield ProFund Investor Class（FYAIX）</t>
        </is>
      </c>
      <c r="AB13" t="inlineStr">
        <is>
          <t>Access Flex High Yield ProFund Service Class（FYASX）</t>
        </is>
      </c>
      <c r="AC13" t="inlineStr">
        <is>
          <t>US Government Plus Profund， Investor（GVPIX）</t>
        </is>
      </c>
      <c r="AD13" t="inlineStr">
        <is>
          <t>US Government Plus Profund， Service（GVPSX）</t>
        </is>
      </c>
      <c r="AE13" t="inlineStr">
        <is>
          <t>Health Care UltraSector ProFund Investor（HCPIX）</t>
        </is>
      </c>
      <c r="AF13" t="inlineStr">
        <is>
          <t>Health Care UltraSector ProFund， Service Class（HCPSX）</t>
        </is>
      </c>
      <c r="AG13" t="inlineStr">
        <is>
          <t>Industrials Ultra Sector ProFund Investor Class（IDPIX）</t>
        </is>
      </c>
      <c r="AH13" t="inlineStr">
        <is>
          <t>Industrials Ultra Sector ProFund Service Class（IDPSX）</t>
        </is>
      </c>
      <c r="AI13" t="inlineStr">
        <is>
          <t>Internet UltraSector ProFund， Investor Class（INPIX）</t>
        </is>
      </c>
      <c r="AJ13" t="inlineStr">
        <is>
          <t>Internet UltraSector ProFund， Service Class（INPSX）</t>
        </is>
      </c>
      <c r="AK13" t="inlineStr">
        <is>
          <t>Large Cap Growth ProFund Investor（LGPIX）</t>
        </is>
      </c>
      <c r="AL13" t="inlineStr">
        <is>
          <t>Large Cap Growth ProFund Service（LGPSX）</t>
        </is>
      </c>
      <c r="AM13" t="inlineStr">
        <is>
          <t>Large Cap Value ProFund Investor（LVPIX）</t>
        </is>
      </c>
      <c r="AN13" t="inlineStr">
        <is>
          <t>Large Cap Value ProFund Service（LVPSX）</t>
        </is>
      </c>
      <c r="AO13" t="inlineStr">
        <is>
          <t>Mid-Cap ProFund， Investor Class（MDPIX）</t>
        </is>
      </c>
      <c r="AP13" t="inlineStr">
        <is>
          <t>Mid-Cap ProFund， Service Class（MDPSX）</t>
        </is>
      </c>
      <c r="AQ13" t="inlineStr">
        <is>
          <t>Mid-Cap Growth ProFund， Investor Class（MGPIX）</t>
        </is>
      </c>
      <c r="AR13" t="inlineStr">
        <is>
          <t>Mid-Cap Growth ProFund， Service Class（MGPSX）</t>
        </is>
      </c>
      <c r="AS13" t="inlineStr">
        <is>
          <t>Mid-Cap Value ProFund， Investor Class（MLPIX）</t>
        </is>
      </c>
      <c r="AT13" t="inlineStr">
        <is>
          <t>Mid-Cap Value ProFund， Service Class（MLPSX）</t>
        </is>
      </c>
      <c r="AU13" t="inlineStr">
        <is>
          <t>货币基金（MPIXX）</t>
        </is>
      </c>
      <c r="AV13" t="inlineStr">
        <is>
          <t>货币基金（MPSXX）</t>
        </is>
      </c>
      <c r="AW13" t="inlineStr">
        <is>
          <t>Oil &amp; Gas Equipment &amp; Services UltraSector ProFund - Investor Class（OEPIX）</t>
        </is>
      </c>
      <c r="AX13" t="inlineStr">
        <is>
          <t>Oil &amp; Gas Equipment &amp; Services UltraSector ProFund - Service Class（OEPSX）</t>
        </is>
      </c>
      <c r="AY13" t="inlineStr">
        <is>
          <t>NASDAQ-100 ProFund Investor Class（OTPIX）</t>
        </is>
      </c>
      <c r="AZ13" t="inlineStr">
        <is>
          <t>NASDAQ-100 ProFund Service Class（OTPSX）</t>
        </is>
      </c>
      <c r="BA13" t="inlineStr">
        <is>
          <t>Pharmaceuticals UltraSector ProFund Investor（PHPIX）</t>
        </is>
      </c>
      <c r="BB13" t="inlineStr">
        <is>
          <t>Pharmaceuticals UltraSector ProFund， Service Class（PHPSX）</t>
        </is>
      </c>
      <c r="BC13" t="inlineStr">
        <is>
          <t>Precious Metals Ultra Sector Profund Investor（PMPIX）</t>
        </is>
      </c>
      <c r="BD13" t="inlineStr">
        <is>
          <t>Precious Metals Ultra Sector Profund Service（PMPSX）</t>
        </is>
      </c>
      <c r="BE13" t="inlineStr">
        <is>
          <t>Rising U.S. Dollar ProFund Investor Class（RDPIX）</t>
        </is>
      </c>
      <c r="BF13" t="inlineStr">
        <is>
          <t>Rising U.S. Dollar ProFund Service Class（RDPSX）</t>
        </is>
      </c>
      <c r="BG13" t="inlineStr">
        <is>
          <t>ProFunds Real Estate UltraSector ProFund Investor（REPIX）</t>
        </is>
      </c>
      <c r="BH13" t="inlineStr">
        <is>
          <t>ProFunds Real  Estate UltraSector ProFund Service Cl（REPSX）</t>
        </is>
      </c>
      <c r="BI13" t="inlineStr">
        <is>
          <t>Rising Rates Opportunity Profunds， Investor（RRPIX）</t>
        </is>
      </c>
      <c r="BJ13" t="inlineStr">
        <is>
          <t>Rising Rates Opportunity Profunds， Service（RRPSX）</t>
        </is>
      </c>
      <c r="BK13" t="inlineStr">
        <is>
          <t>Rising Rates Opportunity 10 ProFund Investor Class（RTPIX）</t>
        </is>
      </c>
      <c r="BL13" t="inlineStr">
        <is>
          <t>Rising Rates Opportunity 10 ProFund Service Class（RTPSX）</t>
        </is>
      </c>
      <c r="BM13" t="inlineStr">
        <is>
          <t>Small-Cap Growth ProFund， Investor Class（SGPIX）</t>
        </is>
      </c>
      <c r="BN13" t="inlineStr">
        <is>
          <t>Small-Cap Growth ProFund， Service Class（SGPSX）</t>
        </is>
      </c>
      <c r="BO13" t="inlineStr">
        <is>
          <t>Short Small Cap Profund， Investor（SHPIX）</t>
        </is>
      </c>
      <c r="BP13" t="inlineStr">
        <is>
          <t>Short Small Cap Profund， Service（SHPSX）</t>
        </is>
      </c>
      <c r="BQ13" t="inlineStr">
        <is>
          <t>Small-Cap ProFund， Investor Class（SLPIX）</t>
        </is>
      </c>
      <c r="BR13" t="inlineStr">
        <is>
          <t>Small-Cap ProFund， Service Class（SLPSX）</t>
        </is>
      </c>
      <c r="BS13" t="inlineStr">
        <is>
          <t>Semiconductor UltraSector ProFund， Investor Class（SMPIX）</t>
        </is>
      </c>
      <c r="BT13" t="inlineStr">
        <is>
          <t>Semiconductor UltraSector ProFund， Service Class（SMPSX）</t>
        </is>
      </c>
      <c r="BU13" t="inlineStr">
        <is>
          <t>Short Energy ProFund - Investor Class（SNPIX）</t>
        </is>
      </c>
      <c r="BV13" t="inlineStr">
        <is>
          <t>Short Energy ProFund - Service Class（SNPSX）</t>
        </is>
      </c>
      <c r="BW13" t="inlineStr">
        <is>
          <t>Short NASDAQ-100 ProFund Investor Class（SOPIX）</t>
        </is>
      </c>
      <c r="BX13" t="inlineStr">
        <is>
          <t>Short NASDAQ-100 ProFund Service Class（SOPSX）</t>
        </is>
      </c>
      <c r="BY13" t="inlineStr">
        <is>
          <t>Short Precious Metals ProFund Investor Class（SPPIX）</t>
        </is>
      </c>
      <c r="BZ13" t="inlineStr">
        <is>
          <t>Short Precious Metals ProFund Service Class（SPPSX）</t>
        </is>
      </c>
      <c r="CA13" t="inlineStr">
        <is>
          <t>ProFunds Short Real Estate ProFund Investor Class（SRPIX）</t>
        </is>
      </c>
      <c r="CB13" t="inlineStr">
        <is>
          <t>ProFunds Short Real Estate ProFund Service Class（SRPSX）</t>
        </is>
      </c>
      <c r="CC13" t="inlineStr">
        <is>
          <t>Small-Cap Value ProFund， Investor Class（SVPIX）</t>
        </is>
      </c>
      <c r="CD13" t="inlineStr">
        <is>
          <t>Small-Cap Value ProFund， Service Class（SVPSX）</t>
        </is>
      </c>
      <c r="CE13" t="inlineStr">
        <is>
          <t>Technology UltraSector ProFund， Investor Class（TEPIX）</t>
        </is>
      </c>
      <c r="CF13" t="inlineStr">
        <is>
          <t>Technology UltraSector ProFund， Service Class（TEPSX）</t>
        </is>
      </c>
      <c r="CG13" t="inlineStr">
        <is>
          <t>Ultra Small-Cap ProFund， Investor（UAPIX）</t>
        </is>
      </c>
      <c r="CH13" t="inlineStr">
        <is>
          <t>ProFunds Ultra Small-Cap ProFund Service Class（UAPSX）</t>
        </is>
      </c>
      <c r="CI13" t="inlineStr">
        <is>
          <t>UltraLatin America ProFund - Investor Cl（UBPIX）</t>
        </is>
      </c>
      <c r="CJ13" t="inlineStr">
        <is>
          <t>UltraLatin America ProFund - Service Cl（UBPSX）</t>
        </is>
      </c>
      <c r="CK13" t="inlineStr">
        <is>
          <t>ProFunds Ultra Short Small-Cap ProFund Investor Class（UCPIX）</t>
        </is>
      </c>
      <c r="CL13" t="inlineStr">
        <is>
          <t>Ultra Short Small-Cap ProFund Service Class（UCPSX）</t>
        </is>
      </c>
      <c r="CM13" t="inlineStr">
        <is>
          <t>Ultra Dow 30 Profund Investor Class（UDPIX）</t>
        </is>
      </c>
      <c r="CN13" t="inlineStr">
        <is>
          <t>Ultra Dow 30 Profund Service Class（UDPSX）</t>
        </is>
      </c>
      <c r="CO13" t="inlineStr">
        <is>
          <t>Europe 30 ProFund Investor Class（UEPIX）</t>
        </is>
      </c>
      <c r="CP13" t="inlineStr">
        <is>
          <t>Europe 30 ProFund（UEPSX）</t>
        </is>
      </c>
      <c r="CQ13" t="inlineStr">
        <is>
          <t>UltraShort Latin America ProFund - Investor Cl（UFPIX）</t>
        </is>
      </c>
      <c r="CR13" t="inlineStr">
        <is>
          <t>UltraShort Latin America ProFund -Service Cl（UFPSX）</t>
        </is>
      </c>
      <c r="CS13" t="inlineStr">
        <is>
          <t>Ultra China ProFund Investor Class（UGPIX）</t>
        </is>
      </c>
      <c r="CT13" t="inlineStr">
        <is>
          <t>Ultra China ProFund Service Class（UGPSX）</t>
        </is>
      </c>
      <c r="CU13" t="inlineStr">
        <is>
          <t>Ultra Short China ProFund Investor Class（UHPIX）</t>
        </is>
      </c>
      <c r="CV13" t="inlineStr">
        <is>
          <t>Ultra Short China ProFund Service Class（UHPSX）</t>
        </is>
      </c>
      <c r="CW13" t="inlineStr">
        <is>
          <t>ProFunds Ultra Short Mid-Cap ProFund Investor Class（UIPIX）</t>
        </is>
      </c>
      <c r="CX13" t="inlineStr">
        <is>
          <t>ProFunds Ultra Short Mid-Cap ProFund Service Class（UIPSX）</t>
        </is>
      </c>
      <c r="CY13" t="inlineStr">
        <is>
          <t>Ultra Japan ProFund， Investor Class（UJPIX）</t>
        </is>
      </c>
      <c r="CZ13" t="inlineStr">
        <is>
          <t>Ultra Japan ProFund， Service Class（UJPSX）</t>
        </is>
      </c>
      <c r="DA13" t="inlineStr">
        <is>
          <t>Ultra Short Japan ProFunds Investor Class（UKPIX）</t>
        </is>
      </c>
      <c r="DB13" t="inlineStr">
        <is>
          <t>Ultra Short Japan ProFunds Service Class（UKPSX）</t>
        </is>
      </c>
      <c r="DC13" t="inlineStr">
        <is>
          <t>UltraBull ProFund Investor Shares（ULPIX）</t>
        </is>
      </c>
      <c r="DD13" t="inlineStr">
        <is>
          <t>UltraBull ProFund Service（ULPSX）</t>
        </is>
      </c>
      <c r="DE13" t="inlineStr">
        <is>
          <t>Ultra Mid-Cap ProFund， Investor（UMPIX）</t>
        </is>
      </c>
      <c r="DF13" t="inlineStr">
        <is>
          <t>ProFunds Ultra Mid-Cap ProFund Service Class（UMPSX）</t>
        </is>
      </c>
      <c r="DG13" t="inlineStr">
        <is>
          <t>UltraInternational ProFund Investor Class（UNPIX）</t>
        </is>
      </c>
      <c r="DH13" t="inlineStr">
        <is>
          <t>UltraInternational ProFund Service Class（UNPSX）</t>
        </is>
      </c>
      <c r="DI13" t="inlineStr">
        <is>
          <t>Ultra NASDAQ-100 ProFunds Investor Class（UOPIX）</t>
        </is>
      </c>
      <c r="DJ13" t="inlineStr">
        <is>
          <t>Ultra NASDAQ-100 ProFund Service Class（UOPSX）</t>
        </is>
      </c>
      <c r="DK13" t="inlineStr">
        <is>
          <t>Ultra Bear ProFund Investor Shares（URPIX）</t>
        </is>
      </c>
      <c r="DL13" t="inlineStr">
        <is>
          <t>UltraBear ProFund Service Shs（URPSX）</t>
        </is>
      </c>
      <c r="DM13" t="inlineStr">
        <is>
          <t>Ultra Short NASDAQ-100 ProFund Investor Shares（USPIX）</t>
        </is>
      </c>
      <c r="DN13" t="inlineStr">
        <is>
          <t>UltraShort NASDAQ-100 ProFund Service Class（USPSX）</t>
        </is>
      </c>
      <c r="DO13" t="inlineStr">
        <is>
          <t>Utilities UltraSector ProFund， Investor Class（UTPIX）</t>
        </is>
      </c>
      <c r="DP13" t="inlineStr">
        <is>
          <t>Utilities Ultra Sector ProFund， Service（UTPSX）</t>
        </is>
      </c>
      <c r="DQ13" t="inlineStr">
        <is>
          <t>UltraEmerging Markets ProFund Investor Class（UUPIX）</t>
        </is>
      </c>
      <c r="DR13" t="inlineStr">
        <is>
          <t>UltraEmerging Markets ProFund Service Class（UUPSX）</t>
        </is>
      </c>
      <c r="DS13" t="inlineStr">
        <is>
          <t>UltraShort Emerging Markets Investor Class（UVPIX）</t>
        </is>
      </c>
      <c r="DT13" t="inlineStr">
        <is>
          <t>UltraShort Emerging Markets Service Class（UVPSX）</t>
        </is>
      </c>
      <c r="DU13" t="inlineStr">
        <is>
          <t>ProFunds Ultra Short Dow 30 ProFund Investor Class（UWPIX）</t>
        </is>
      </c>
      <c r="DV13" t="inlineStr">
        <is>
          <t>ProFunds Ultra Short Dow 30 ProFund-Service Class（UWPSX）</t>
        </is>
      </c>
      <c r="DW13" t="inlineStr">
        <is>
          <t>UltraShort International ProFund Investor Class（UXPIX）</t>
        </is>
      </c>
      <c r="DX13" t="inlineStr">
        <is>
          <t>UltraShort International ProFund Service Class（UXPSX）</t>
        </is>
      </c>
      <c r="DY13" t="inlineStr">
        <is>
          <t>Communication Services UltraSector ProFund Investor Class（WCPIX）</t>
        </is>
      </c>
      <c r="DZ13" t="inlineStr">
        <is>
          <t>Communication Services UltraSector ProFund Service Class（WCPSX）</t>
        </is>
      </c>
    </row>
    <row r="14">
      <c r="A14" t="inlineStr">
        <is>
          <t>08/04/2026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t="inlineStr">
        <is>
          <t>08/03/2026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2.838618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-0.225169</v>
      </c>
      <c r="AF15" t="n">
        <v>-0.233174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1.40325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7.665549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-3.67893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</row>
    <row r="16">
      <c r="A16" t="inlineStr">
        <is>
          <t>07/31/2026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2.574232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t="inlineStr">
        <is>
          <t>07/30/2026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-3.675843</v>
      </c>
      <c r="L17" t="inlineStr"/>
      <c r="M17" t="inlineStr"/>
      <c r="N17" t="inlineStr"/>
      <c r="O17" t="inlineStr"/>
      <c r="P17" t="inlineStr"/>
      <c r="Q17" t="inlineStr"/>
      <c r="R17" t="n">
        <v>4.934688</v>
      </c>
      <c r="S17" t="n">
        <v>4.931405</v>
      </c>
      <c r="T17" t="n">
        <v>1.519706</v>
      </c>
      <c r="U17" t="n">
        <v>1.527172</v>
      </c>
      <c r="V17" t="inlineStr"/>
      <c r="W17" t="inlineStr"/>
      <c r="X17" t="inlineStr"/>
      <c r="Y17" t="n">
        <v>-0.179104</v>
      </c>
      <c r="Z17" t="n">
        <v>-0.201056</v>
      </c>
      <c r="AA17" t="inlineStr"/>
      <c r="AB17" t="inlineStr"/>
      <c r="AC17" t="inlineStr"/>
      <c r="AD17" t="inlineStr"/>
      <c r="AE17" t="n">
        <v>-0.849204</v>
      </c>
      <c r="AF17" t="n">
        <v>-0.848701</v>
      </c>
      <c r="AG17" t="inlineStr"/>
      <c r="AH17" t="inlineStr"/>
      <c r="AI17" t="inlineStr"/>
      <c r="AJ17" t="inlineStr"/>
      <c r="AK17" t="n">
        <v>1.434745</v>
      </c>
      <c r="AL17" t="n">
        <v>1.438028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0.592541</v>
      </c>
      <c r="AZ17" t="n">
        <v>0.573921</v>
      </c>
      <c r="BA17" t="inlineStr"/>
      <c r="BB17" t="inlineStr"/>
      <c r="BC17" t="inlineStr"/>
      <c r="BD17" t="n">
        <v>0.696272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0.9650030000000001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-0.363554</v>
      </c>
      <c r="CG17" t="inlineStr"/>
      <c r="CH17" t="inlineStr"/>
      <c r="CI17" t="inlineStr"/>
      <c r="CJ17" t="inlineStr"/>
      <c r="CK17" t="inlineStr"/>
      <c r="CL17" t="inlineStr"/>
      <c r="CM17" t="n">
        <v>1.041965</v>
      </c>
      <c r="CN17" t="n">
        <v>1.0325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n">
        <v>1.39237</v>
      </c>
      <c r="DD17" t="n">
        <v>1.390434</v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t="inlineStr">
        <is>
          <t>07/29/2026</t>
        </is>
      </c>
      <c r="B18" t="inlineStr"/>
      <c r="C18" t="inlineStr"/>
      <c r="D18" t="n">
        <v>3.644752</v>
      </c>
      <c r="E18" t="inlineStr"/>
      <c r="F18" t="n">
        <v>-1.939058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0.825055</v>
      </c>
      <c r="U18" t="n">
        <v>0.819836</v>
      </c>
      <c r="V18" t="n">
        <v>1.876676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0.5473479999999999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-2.752074</v>
      </c>
      <c r="CR18" t="inlineStr"/>
      <c r="CS18" t="inlineStr"/>
      <c r="CT18" t="n">
        <v>2.376494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t="inlineStr">
        <is>
          <t>07/28/2026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-2.228792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</row>
    <row r="20">
      <c r="A20" t="inlineStr">
        <is>
          <t>07/27/2026</t>
        </is>
      </c>
      <c r="B20" t="inlineStr"/>
      <c r="C20" t="inlineStr"/>
      <c r="D20" t="inlineStr"/>
      <c r="E20" t="inlineStr"/>
      <c r="F20" t="inlineStr"/>
      <c r="G20" t="n">
        <v>0.482939</v>
      </c>
      <c r="H20" t="n">
        <v>0.47916</v>
      </c>
      <c r="I20" t="inlineStr"/>
      <c r="J20" t="inlineStr"/>
      <c r="K20" t="n">
        <v>2.647403</v>
      </c>
      <c r="L20" t="inlineStr"/>
      <c r="M20" t="inlineStr"/>
      <c r="N20" t="inlineStr"/>
      <c r="O20" t="inlineStr"/>
      <c r="P20" t="n">
        <v>2.867428</v>
      </c>
      <c r="Q20" t="n">
        <v>2.865371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0.846074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0.749103</v>
      </c>
      <c r="BE20" t="inlineStr"/>
      <c r="BF20" t="inlineStr"/>
      <c r="BG20" t="n">
        <v>0.704225</v>
      </c>
      <c r="BH20" t="inlineStr"/>
      <c r="BI20" t="inlineStr"/>
      <c r="BJ20" t="inlineStr"/>
      <c r="BK20" t="inlineStr"/>
      <c r="BL20" t="inlineStr"/>
      <c r="BM20" t="inlineStr"/>
      <c r="BN20" t="inlineStr"/>
      <c r="BO20" t="n">
        <v>0.70951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-0.373134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-0.233801</v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</row>
    <row r="21">
      <c r="A21" t="inlineStr">
        <is>
          <t>07/24/2026</t>
        </is>
      </c>
      <c r="B21" t="inlineStr"/>
      <c r="C21" t="inlineStr"/>
      <c r="D21" t="inlineStr"/>
      <c r="E21" t="inlineStr"/>
      <c r="F21" t="inlineStr"/>
      <c r="G21" t="n">
        <v>1.029391</v>
      </c>
      <c r="H21" t="n">
        <v>1.025492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-0.389372</v>
      </c>
      <c r="AM21" t="inlineStr"/>
      <c r="AN21" t="inlineStr"/>
      <c r="AO21" t="inlineStr"/>
      <c r="AP21" t="inlineStr"/>
      <c r="AQ21" t="inlineStr"/>
      <c r="AR21" t="inlineStr"/>
      <c r="AS21" t="n">
        <v>0.20824</v>
      </c>
      <c r="AT21" t="inlineStr"/>
      <c r="AU21" t="inlineStr"/>
      <c r="AV21" t="inlineStr"/>
      <c r="AW21" t="inlineStr"/>
      <c r="AX21" t="inlineStr"/>
      <c r="AY21" t="n">
        <v>-0.33078</v>
      </c>
      <c r="AZ21" t="n">
        <v>-0.343958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-0.6209750000000001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-1.403032</v>
      </c>
      <c r="CG21" t="inlineStr"/>
      <c r="CH21" t="inlineStr"/>
      <c r="CI21" t="inlineStr"/>
      <c r="CJ21" t="inlineStr"/>
      <c r="CK21" t="inlineStr"/>
      <c r="CL21" t="n">
        <v>-1.198157</v>
      </c>
      <c r="CM21" t="inlineStr"/>
      <c r="CN21" t="inlineStr"/>
      <c r="CO21" t="inlineStr"/>
      <c r="CP21" t="inlineStr"/>
      <c r="CQ21" t="n">
        <v>0.330824</v>
      </c>
      <c r="CR21" t="n">
        <v>0.322088</v>
      </c>
      <c r="CS21" t="inlineStr"/>
      <c r="CT21" t="inlineStr"/>
      <c r="CU21" t="inlineStr"/>
      <c r="CV21" t="inlineStr"/>
      <c r="CW21" t="inlineStr"/>
      <c r="CX21" t="inlineStr"/>
      <c r="CY21" t="n">
        <v>-1.038215</v>
      </c>
      <c r="CZ21" t="inlineStr"/>
      <c r="DA21" t="inlineStr"/>
      <c r="DB21" t="inlineStr"/>
      <c r="DC21" t="inlineStr"/>
      <c r="DD21" t="inlineStr"/>
      <c r="DE21" t="inlineStr"/>
      <c r="DF21" t="inlineStr"/>
      <c r="DG21" t="n">
        <v>1.012146</v>
      </c>
      <c r="DH21" t="inlineStr"/>
      <c r="DI21" t="inlineStr"/>
      <c r="DJ21" t="inlineStr"/>
      <c r="DK21" t="inlineStr"/>
      <c r="DL21" t="n">
        <v>0.180832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1.917098</v>
      </c>
    </row>
    <row r="22">
      <c r="A22" t="inlineStr">
        <is>
          <t>07/23/2026</t>
        </is>
      </c>
      <c r="B22" t="inlineStr"/>
      <c r="C22" t="inlineStr"/>
      <c r="D22" t="inlineStr"/>
      <c r="E22" t="inlineStr"/>
      <c r="F22" t="inlineStr"/>
      <c r="G22" t="n">
        <v>0.460282</v>
      </c>
      <c r="H22" t="n">
        <v>0.455015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-0.674764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0.091172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-4.382761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0.365524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-3.051719</v>
      </c>
      <c r="CZ22" t="n">
        <v>-3.052349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2.317291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</row>
    <row r="23">
      <c r="A23" t="inlineStr">
        <is>
          <t>07/22/2026</t>
        </is>
      </c>
      <c r="B23" t="n">
        <v>0.367377</v>
      </c>
      <c r="C23" t="n">
        <v>0.359389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-1.452263</v>
      </c>
      <c r="M23" t="inlineStr"/>
      <c r="N23" t="n">
        <v>1.195219</v>
      </c>
      <c r="O23" t="inlineStr"/>
      <c r="P23" t="inlineStr"/>
      <c r="Q23" t="inlineStr"/>
      <c r="R23" t="inlineStr"/>
      <c r="S23" t="inlineStr"/>
      <c r="T23" t="n">
        <v>0.54672</v>
      </c>
      <c r="U23" t="n">
        <v>0.5310780000000001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-0.370271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-1.324578</v>
      </c>
      <c r="BT23" t="n">
        <v>-1.333333</v>
      </c>
      <c r="BU23" t="inlineStr"/>
      <c r="BV23" t="inlineStr"/>
      <c r="BW23" t="inlineStr"/>
      <c r="BX23" t="inlineStr"/>
      <c r="BY23" t="inlineStr"/>
      <c r="BZ23" t="inlineStr"/>
      <c r="CA23" t="n">
        <v>0.141643</v>
      </c>
      <c r="CB23" t="n">
        <v>0.169779</v>
      </c>
      <c r="CC23" t="inlineStr"/>
      <c r="CD23" t="n">
        <v>-0.232462</v>
      </c>
      <c r="CE23" t="inlineStr"/>
      <c r="CF23" t="inlineStr"/>
      <c r="CG23" t="inlineStr"/>
      <c r="CH23" t="inlineStr"/>
      <c r="CI23" t="n">
        <v>-2.11342</v>
      </c>
      <c r="CJ23" t="n">
        <v>-2.082559</v>
      </c>
      <c r="CK23" t="inlineStr"/>
      <c r="CL23" t="inlineStr"/>
      <c r="CM23" t="inlineStr"/>
      <c r="CN23" t="inlineStr"/>
      <c r="CO23" t="n">
        <v>-0.776197</v>
      </c>
      <c r="CP23" t="n">
        <v>-0.757274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-3.041944</v>
      </c>
      <c r="CZ23" t="n">
        <v>-3.036344</v>
      </c>
      <c r="DA23" t="inlineStr"/>
      <c r="DB23" t="inlineStr"/>
      <c r="DC23" t="inlineStr"/>
      <c r="DD23" t="inlineStr"/>
      <c r="DE23" t="inlineStr"/>
      <c r="DF23" t="n">
        <v>-0.7375080000000001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</row>
    <row r="24">
      <c r="A24" t="inlineStr">
        <is>
          <t>07/21/2026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0.065703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-0.377869</v>
      </c>
      <c r="CE24" t="inlineStr"/>
      <c r="CF24" t="inlineStr"/>
      <c r="CG24" t="inlineStr"/>
      <c r="CH24" t="inlineStr"/>
      <c r="CI24" t="n">
        <v>3.349108</v>
      </c>
      <c r="CJ24" t="n">
        <v>3.30388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0.365813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</row>
    <row r="25">
      <c r="A25" t="inlineStr">
        <is>
          <t>07/20/2026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0.8767</v>
      </c>
      <c r="J25" t="n">
        <v>0.8761330000000001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1.331558</v>
      </c>
      <c r="W25" t="inlineStr"/>
      <c r="X25" t="inlineStr"/>
      <c r="Y25" t="inlineStr"/>
      <c r="Z25" t="inlineStr"/>
      <c r="AA25" t="n">
        <v>-0.064454</v>
      </c>
      <c r="AB25" t="n">
        <v>-0.032103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0.40803</v>
      </c>
      <c r="AN25" t="n">
        <v>0.3986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4.572044</v>
      </c>
      <c r="AX25" t="n">
        <v>4.567758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6.289077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2.944197</v>
      </c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</row>
    <row r="26">
      <c r="A26" t="inlineStr">
        <is>
          <t>07/17/2026</t>
        </is>
      </c>
      <c r="B26" t="inlineStr"/>
      <c r="C26" t="inlineStr"/>
      <c r="D26" t="inlineStr"/>
      <c r="E26" t="inlineStr"/>
      <c r="F26" t="n">
        <v>-1.43457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0.1321</v>
      </c>
      <c r="O26" t="inlineStr"/>
      <c r="P26" t="inlineStr"/>
      <c r="Q26" t="inlineStr"/>
      <c r="R26" t="inlineStr"/>
      <c r="S26" t="inlineStr"/>
      <c r="T26" t="n">
        <v>0.636614</v>
      </c>
      <c r="U26" t="n">
        <v>0.612745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-1.773705</v>
      </c>
      <c r="AF26" t="n">
        <v>-1.772747</v>
      </c>
      <c r="AG26" t="n">
        <v>-1.183432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-0.558405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3.638617</v>
      </c>
      <c r="BE26" t="inlineStr"/>
      <c r="BF26" t="inlineStr"/>
      <c r="BG26" t="inlineStr"/>
      <c r="BH26" t="inlineStr"/>
      <c r="BI26" t="n">
        <v>0.861667</v>
      </c>
      <c r="BJ26" t="n">
        <v>0.850851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-0.075423</v>
      </c>
      <c r="CZ26" t="n">
        <v>-0.079567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0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</row>
    <row r="27">
      <c r="A27" t="inlineStr">
        <is>
          <t>07/16/2026</t>
        </is>
      </c>
      <c r="B27" t="n">
        <v>0.221239</v>
      </c>
      <c r="C27" t="n">
        <v>0.180261</v>
      </c>
      <c r="D27" t="inlineStr"/>
      <c r="E27" t="inlineStr"/>
      <c r="F27" t="inlineStr"/>
      <c r="G27" t="n">
        <v>-1.943701</v>
      </c>
      <c r="H27" t="n">
        <v>-1.944715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-1.045253</v>
      </c>
      <c r="Q27" t="n">
        <v>-1.041072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-0.417962</v>
      </c>
      <c r="BB27" t="n">
        <v>-0.433279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-2.683535</v>
      </c>
      <c r="BU27" t="inlineStr"/>
      <c r="BV27" t="inlineStr"/>
      <c r="BW27" t="inlineStr"/>
      <c r="BX27" t="inlineStr"/>
      <c r="BY27" t="n">
        <v>0.555556</v>
      </c>
      <c r="BZ27" t="inlineStr"/>
      <c r="CA27" t="n">
        <v>0.143266</v>
      </c>
      <c r="CB27" t="n">
        <v>0.171821</v>
      </c>
      <c r="CC27" t="inlineStr"/>
      <c r="CD27" t="n">
        <v>-0.175067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-0.029228</v>
      </c>
      <c r="CU27" t="inlineStr"/>
      <c r="CV27" t="inlineStr"/>
      <c r="CW27" t="inlineStr"/>
      <c r="CX27" t="inlineStr"/>
      <c r="CY27" t="inlineStr"/>
      <c r="CZ27" t="n">
        <v>-2.664188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3.058387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</row>
    <row r="28">
      <c r="A28" t="inlineStr">
        <is>
          <t>07/15/2026</t>
        </is>
      </c>
      <c r="B28" t="n">
        <v>0.110742</v>
      </c>
      <c r="C28" t="n">
        <v>0.135379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4.189622</v>
      </c>
      <c r="Q28" t="n">
        <v>4.174714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-1.688596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-1.625747</v>
      </c>
      <c r="AZ28" t="n">
        <v>-1.61678</v>
      </c>
      <c r="BA28" t="inlineStr"/>
      <c r="BB28" t="inlineStr"/>
      <c r="BC28" t="inlineStr"/>
      <c r="BD28" t="inlineStr"/>
      <c r="BE28" t="inlineStr"/>
      <c r="BF28" t="inlineStr"/>
      <c r="BG28" t="n">
        <v>3.104213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-2.103787</v>
      </c>
      <c r="CB28" t="n">
        <v>-2.348993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5.135659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n">
        <v>1.633606</v>
      </c>
      <c r="DX28" t="n">
        <v>1.649746</v>
      </c>
      <c r="DY28" t="inlineStr"/>
      <c r="DZ28" t="inlineStr"/>
    </row>
    <row r="29">
      <c r="A29" t="inlineStr">
        <is>
          <t>07/14/2026</t>
        </is>
      </c>
      <c r="B29" t="inlineStr"/>
      <c r="C29" t="inlineStr"/>
      <c r="D29" t="n">
        <v>0.737416</v>
      </c>
      <c r="E29" t="inlineStr"/>
      <c r="F29" t="n">
        <v>-0.563777</v>
      </c>
      <c r="G29" t="inlineStr"/>
      <c r="H29" t="inlineStr"/>
      <c r="I29" t="n">
        <v>0.376982</v>
      </c>
      <c r="J29" t="n">
        <v>0.372467</v>
      </c>
      <c r="K29" t="n">
        <v>-0.454328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-1.297108</v>
      </c>
      <c r="U29" t="n">
        <v>-1.310861</v>
      </c>
      <c r="V29" t="inlineStr"/>
      <c r="W29" t="inlineStr"/>
      <c r="X29" t="inlineStr"/>
      <c r="Y29" t="inlineStr"/>
      <c r="Z29" t="inlineStr"/>
      <c r="AA29" t="n">
        <v>0.161082</v>
      </c>
      <c r="AB29" t="n">
        <v>0.160462</v>
      </c>
      <c r="AC29" t="inlineStr"/>
      <c r="AD29" t="inlineStr"/>
      <c r="AE29" t="n">
        <v>0.094975</v>
      </c>
      <c r="AF29" t="n">
        <v>0.098706</v>
      </c>
      <c r="AG29" t="inlineStr"/>
      <c r="AH29" t="inlineStr"/>
      <c r="AI29" t="inlineStr"/>
      <c r="AJ29" t="inlineStr"/>
      <c r="AK29" t="inlineStr"/>
      <c r="AL29" t="n">
        <v>0.551268</v>
      </c>
      <c r="AM29" t="n">
        <v>0.187449</v>
      </c>
      <c r="AN29" t="n">
        <v>0.194175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-1.639708</v>
      </c>
      <c r="AX29" t="n">
        <v>-1.643554</v>
      </c>
      <c r="AY29" t="n">
        <v>-0.281224</v>
      </c>
      <c r="AZ29" t="n">
        <v>-0.304944</v>
      </c>
      <c r="BA29" t="inlineStr"/>
      <c r="BB29" t="inlineStr"/>
      <c r="BC29" t="inlineStr"/>
      <c r="BD29" t="inlineStr"/>
      <c r="BE29" t="inlineStr"/>
      <c r="BF29" t="inlineStr"/>
      <c r="BG29" t="n">
        <v>0.222222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-2.068735</v>
      </c>
      <c r="BT29" t="inlineStr"/>
      <c r="BU29" t="inlineStr"/>
      <c r="BV29" t="inlineStr"/>
      <c r="BW29" t="inlineStr"/>
      <c r="BX29" t="inlineStr"/>
      <c r="BY29" t="n">
        <v>0.5797099999999999</v>
      </c>
      <c r="BZ29" t="inlineStr"/>
      <c r="CA29" t="inlineStr"/>
      <c r="CB29" t="inlineStr"/>
      <c r="CC29" t="inlineStr"/>
      <c r="CD29" t="inlineStr"/>
      <c r="CE29" t="inlineStr"/>
      <c r="CF29" t="n">
        <v>-1.609828</v>
      </c>
      <c r="CG29" t="inlineStr"/>
      <c r="CH29" t="inlineStr"/>
      <c r="CI29" t="n">
        <v>-0.504323</v>
      </c>
      <c r="CJ29" t="n">
        <v>-0.494297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1.176471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</row>
    <row r="30">
      <c r="A30" t="inlineStr">
        <is>
          <t>07/13/2026</t>
        </is>
      </c>
      <c r="B30" t="inlineStr"/>
      <c r="C30" t="inlineStr"/>
      <c r="D30" t="inlineStr"/>
      <c r="E30" t="inlineStr"/>
      <c r="F30" t="inlineStr"/>
      <c r="G30" t="n">
        <v>0.820507</v>
      </c>
      <c r="H30" t="n">
        <v>0.813297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5.840456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0.978921</v>
      </c>
      <c r="BB30" t="n">
        <v>0.965761</v>
      </c>
      <c r="BC30" t="n">
        <v>1.820012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4.960059</v>
      </c>
      <c r="BU30" t="inlineStr"/>
      <c r="BV30" t="inlineStr"/>
      <c r="BW30" t="inlineStr"/>
      <c r="BX30" t="inlineStr"/>
      <c r="BY30" t="n">
        <v>-1.146132</v>
      </c>
      <c r="BZ30" t="inlineStr"/>
      <c r="CA30" t="inlineStr"/>
      <c r="CB30" t="inlineStr"/>
      <c r="CC30" t="inlineStr"/>
      <c r="CD30" t="n">
        <v>0.702531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2.405152</v>
      </c>
      <c r="CZ30" t="n">
        <v>2.392629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n">
        <v>-2.165725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</row>
    <row r="31">
      <c r="A31" t="inlineStr">
        <is>
          <t>07/10/2026</t>
        </is>
      </c>
      <c r="B31" t="n">
        <v>0.258112</v>
      </c>
      <c r="C31" t="n">
        <v>0.225327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0.7459209999999999</v>
      </c>
      <c r="BJ31" t="n">
        <v>0.726271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-0.5602240000000001</v>
      </c>
      <c r="CB31" t="n">
        <v>-0.503356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n">
        <v>-2.145215</v>
      </c>
      <c r="DH31" t="n">
        <v>-2.167915</v>
      </c>
      <c r="DI31" t="inlineStr"/>
      <c r="DJ31" t="inlineStr"/>
      <c r="DK31" t="inlineStr"/>
      <c r="DL31" t="inlineStr"/>
      <c r="DM31" t="inlineStr"/>
      <c r="DN31" t="n">
        <v>3.812317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</row>
    <row r="32">
      <c r="A32" t="inlineStr">
        <is>
          <t>07/09/2026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0.421286</v>
      </c>
      <c r="J32" t="n">
        <v>0.431998</v>
      </c>
      <c r="K32" t="n">
        <v>1.79578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-0.064371</v>
      </c>
      <c r="AB32" t="n">
        <v>-0.06410299999999999</v>
      </c>
      <c r="AC32" t="inlineStr"/>
      <c r="AD32" t="inlineStr"/>
      <c r="AE32" t="n">
        <v>-1.237953</v>
      </c>
      <c r="AF32" t="n">
        <v>-1.234698</v>
      </c>
      <c r="AG32" t="inlineStr"/>
      <c r="AH32" t="inlineStr"/>
      <c r="AI32" t="inlineStr"/>
      <c r="AJ32" t="inlineStr"/>
      <c r="AK32" t="inlineStr"/>
      <c r="AL32" t="inlineStr"/>
      <c r="AM32" t="n">
        <v>0.228069</v>
      </c>
      <c r="AN32" t="n">
        <v>0.232829</v>
      </c>
      <c r="AO32" t="inlineStr"/>
      <c r="AP32" t="inlineStr"/>
      <c r="AQ32" t="inlineStr"/>
      <c r="AR32" t="inlineStr"/>
      <c r="AS32" t="n">
        <v>0.490714</v>
      </c>
      <c r="AT32" t="inlineStr"/>
      <c r="AU32" t="inlineStr"/>
      <c r="AV32" t="inlineStr"/>
      <c r="AW32" t="n">
        <v>2.414894</v>
      </c>
      <c r="AX32" t="n">
        <v>2.410182</v>
      </c>
      <c r="AY32" t="inlineStr"/>
      <c r="AZ32" t="inlineStr"/>
      <c r="BA32" t="inlineStr"/>
      <c r="BB32" t="inlineStr"/>
      <c r="BC32" t="inlineStr"/>
      <c r="BD32" t="n">
        <v>-0.853271</v>
      </c>
      <c r="BE32" t="inlineStr"/>
      <c r="BF32" t="inlineStr"/>
      <c r="BG32" t="n">
        <v>0.784226</v>
      </c>
      <c r="BH32" t="inlineStr"/>
      <c r="BI32" t="inlineStr"/>
      <c r="BJ32" t="inlineStr"/>
      <c r="BK32" t="inlineStr"/>
      <c r="BL32" t="inlineStr"/>
      <c r="BM32" t="inlineStr"/>
      <c r="BN32" t="inlineStr"/>
      <c r="BO32" t="n">
        <v>0.68586</v>
      </c>
      <c r="BP32" t="inlineStr"/>
      <c r="BQ32" t="inlineStr"/>
      <c r="BR32" t="inlineStr"/>
      <c r="BS32" t="n">
        <v>2.307606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1.011561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-0.701403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</row>
    <row r="33">
      <c r="A33" t="inlineStr">
        <is>
          <t>07/08/2026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0.815916</v>
      </c>
      <c r="J33" t="n">
        <v>0.810933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-2.195609</v>
      </c>
      <c r="U33" t="n">
        <v>-2.196855</v>
      </c>
      <c r="V33" t="n">
        <v>0.362582</v>
      </c>
      <c r="W33" t="inlineStr"/>
      <c r="X33" t="inlineStr"/>
      <c r="Y33" t="inlineStr"/>
      <c r="Z33" t="inlineStr"/>
      <c r="AA33" t="n">
        <v>0.096649</v>
      </c>
      <c r="AB33" t="n">
        <v>0.096246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0.458228</v>
      </c>
      <c r="AN33" t="n">
        <v>0.458045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-1.699977</v>
      </c>
      <c r="AX33" t="n">
        <v>-1.703638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n">
        <v>0.612471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</row>
    <row r="34">
      <c r="A34" t="inlineStr">
        <is>
          <t>07/07/2026</t>
        </is>
      </c>
      <c r="B34" t="inlineStr"/>
      <c r="C34" t="inlineStr"/>
      <c r="D34" t="inlineStr"/>
      <c r="E34" t="inlineStr"/>
      <c r="F34" t="inlineStr"/>
      <c r="G34" t="n">
        <v>-0.474588</v>
      </c>
      <c r="H34" t="n">
        <v>-0.468539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-2.750353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4.265493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0.059595</v>
      </c>
      <c r="CZ34" t="n">
        <v>0.058668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n">
        <v>-0.560748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</row>
    <row r="35">
      <c r="A35" t="inlineStr">
        <is>
          <t>07/06/2026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-0.765306</v>
      </c>
      <c r="S35" t="n">
        <v>-0.771208</v>
      </c>
      <c r="T35" t="inlineStr"/>
      <c r="U35" t="inlineStr"/>
      <c r="V35" t="n">
        <v>-0.140845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2.329839</v>
      </c>
      <c r="AF35" t="n">
        <v>2.314032</v>
      </c>
      <c r="AG35" t="inlineStr"/>
      <c r="AH35" t="n">
        <v>-2.529256</v>
      </c>
      <c r="AI35" t="inlineStr"/>
      <c r="AJ35" t="inlineStr"/>
      <c r="AK35" t="inlineStr"/>
      <c r="AL35" t="n">
        <v>-0.775537</v>
      </c>
      <c r="AM35" t="inlineStr"/>
      <c r="AN35" t="inlineStr"/>
      <c r="AO35" t="inlineStr"/>
      <c r="AP35" t="inlineStr"/>
      <c r="AQ35" t="n">
        <v>-1.695311</v>
      </c>
      <c r="AR35" t="inlineStr"/>
      <c r="AS35" t="n">
        <v>-0.643761</v>
      </c>
      <c r="AT35" t="inlineStr"/>
      <c r="AU35" t="inlineStr"/>
      <c r="AV35" t="inlineStr"/>
      <c r="AW35" t="inlineStr"/>
      <c r="AX35" t="inlineStr"/>
      <c r="AY35" t="n">
        <v>-1.795421</v>
      </c>
      <c r="AZ35" t="n">
        <v>-1.778356</v>
      </c>
      <c r="BA35" t="inlineStr"/>
      <c r="BB35" t="inlineStr"/>
      <c r="BC35" t="inlineStr"/>
      <c r="BD35" t="inlineStr"/>
      <c r="BE35" t="inlineStr"/>
      <c r="BF35" t="inlineStr"/>
      <c r="BG35" t="n">
        <v>2.146211</v>
      </c>
      <c r="BH35" t="inlineStr"/>
      <c r="BI35" t="inlineStr"/>
      <c r="BJ35" t="inlineStr"/>
      <c r="BK35" t="inlineStr"/>
      <c r="BL35" t="inlineStr"/>
      <c r="BM35" t="n">
        <v>-1.118426</v>
      </c>
      <c r="BN35" t="n">
        <v>-1.125776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3.189916</v>
      </c>
      <c r="CA35" t="inlineStr"/>
      <c r="CB35" t="inlineStr"/>
      <c r="CC35" t="n">
        <v>-0.750055</v>
      </c>
      <c r="CD35" t="inlineStr"/>
      <c r="CE35" t="inlineStr"/>
      <c r="CF35" t="n">
        <v>-3.573694</v>
      </c>
      <c r="CG35" t="n">
        <v>-1.818696</v>
      </c>
      <c r="CH35" t="n">
        <v>-1.827582</v>
      </c>
      <c r="CI35" t="inlineStr"/>
      <c r="CJ35" t="inlineStr"/>
      <c r="CK35" t="inlineStr"/>
      <c r="CL35" t="n">
        <v>1.801363</v>
      </c>
      <c r="CM35" t="n">
        <v>-0.534218</v>
      </c>
      <c r="CN35" t="n">
        <v>-0.54225</v>
      </c>
      <c r="CO35" t="inlineStr"/>
      <c r="CP35" t="inlineStr"/>
      <c r="CQ35" t="n">
        <v>1.095935</v>
      </c>
      <c r="CR35" t="n">
        <v>1.083045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7.580478</v>
      </c>
      <c r="DC35" t="inlineStr"/>
      <c r="DD35" t="n">
        <v>-0.931414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0.411523</v>
      </c>
      <c r="DV35" t="inlineStr"/>
      <c r="DW35" t="inlineStr"/>
      <c r="DX35" t="inlineStr"/>
      <c r="DY35" t="n">
        <v>1.093721</v>
      </c>
      <c r="DZ35" t="inlineStr"/>
    </row>
    <row r="36">
      <c r="A36" t="inlineStr">
        <is>
          <t>07/02/2026</t>
        </is>
      </c>
      <c r="B36" t="inlineStr"/>
      <c r="C36" t="inlineStr"/>
      <c r="D36" t="n">
        <v>0.09148199999999999</v>
      </c>
      <c r="E36" t="inlineStr"/>
      <c r="F36" t="n">
        <v>-3.578595</v>
      </c>
      <c r="G36" t="inlineStr"/>
      <c r="H36" t="inlineStr"/>
      <c r="I36" t="inlineStr"/>
      <c r="J36" t="inlineStr"/>
      <c r="K36" t="n">
        <v>-0.229288</v>
      </c>
      <c r="L36" t="inlineStr"/>
      <c r="M36" t="inlineStr"/>
      <c r="N36" t="inlineStr"/>
      <c r="O36" t="inlineStr"/>
      <c r="P36" t="n">
        <v>-1.727996</v>
      </c>
      <c r="Q36" t="n">
        <v>-1.743516</v>
      </c>
      <c r="R36" t="inlineStr"/>
      <c r="S36" t="inlineStr"/>
      <c r="T36" t="n">
        <v>-0.328947</v>
      </c>
      <c r="U36" t="n">
        <v>-0.344432</v>
      </c>
      <c r="V36" t="inlineStr"/>
      <c r="W36" t="inlineStr"/>
      <c r="X36" t="inlineStr"/>
      <c r="Y36" t="n">
        <v>1.294432</v>
      </c>
      <c r="Z36" t="n">
        <v>1.270417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1.09767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1.267723</v>
      </c>
      <c r="AZ36" t="n">
        <v>1.251647</v>
      </c>
      <c r="BA36" t="n">
        <v>2.940881</v>
      </c>
      <c r="BB36" t="n">
        <v>2.933419</v>
      </c>
      <c r="BC36" t="inlineStr"/>
      <c r="BD36" t="inlineStr"/>
      <c r="BE36" t="inlineStr"/>
      <c r="BF36" t="inlineStr"/>
      <c r="BG36" t="n">
        <v>-1.475771</v>
      </c>
      <c r="BH36" t="n">
        <v>-1.503221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0.30581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2.57099</v>
      </c>
      <c r="CJ36" t="n">
        <v>2.550607</v>
      </c>
      <c r="CK36" t="inlineStr"/>
      <c r="CL36" t="inlineStr"/>
      <c r="CM36" t="n">
        <v>0.592977</v>
      </c>
      <c r="CN36" t="n">
        <v>0.590909</v>
      </c>
      <c r="CO36" t="n">
        <v>0.260078</v>
      </c>
      <c r="CP36" t="n">
        <v>0.240192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-5.588235</v>
      </c>
      <c r="DC36" t="n">
        <v>1.468252</v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0.740881</v>
      </c>
      <c r="DZ36" t="inlineStr"/>
    </row>
    <row r="37">
      <c r="A37" t="inlineStr">
        <is>
          <t>07/01/2026</t>
        </is>
      </c>
      <c r="B37" t="inlineStr"/>
      <c r="C37" t="inlineStr"/>
      <c r="D37" t="inlineStr"/>
      <c r="E37" t="inlineStr"/>
      <c r="F37" t="inlineStr"/>
      <c r="G37" t="n">
        <v>-0.216274</v>
      </c>
      <c r="H37" t="n">
        <v>-0.220637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3.101769</v>
      </c>
      <c r="Q37" t="n">
        <v>3.105036</v>
      </c>
      <c r="R37" t="inlineStr"/>
      <c r="S37" t="inlineStr"/>
      <c r="T37" t="inlineStr"/>
      <c r="U37" t="inlineStr"/>
      <c r="V37" t="n">
        <v>5.234375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-0.022485</v>
      </c>
      <c r="AT37" t="inlineStr"/>
      <c r="AU37" t="inlineStr"/>
      <c r="AV37" t="inlineStr"/>
      <c r="AW37" t="inlineStr"/>
      <c r="AX37" t="inlineStr"/>
      <c r="AY37" t="inlineStr"/>
      <c r="AZ37" t="inlineStr"/>
      <c r="BA37" t="n">
        <v>2.080006</v>
      </c>
      <c r="BB37" t="n">
        <v>2.064854</v>
      </c>
      <c r="BC37" t="n">
        <v>5.732202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-5.669095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n">
        <v>-3.95246</v>
      </c>
      <c r="DA37" t="inlineStr"/>
      <c r="DB37" t="inlineStr"/>
      <c r="DC37" t="inlineStr"/>
      <c r="DD37" t="inlineStr"/>
      <c r="DE37" t="inlineStr"/>
      <c r="DF37" t="inlineStr"/>
      <c r="DG37" t="n">
        <v>2.66352</v>
      </c>
      <c r="DH37" t="inlineStr"/>
      <c r="DI37" t="inlineStr"/>
      <c r="DJ37" t="inlineStr"/>
      <c r="DK37" t="inlineStr"/>
      <c r="DL37" t="inlineStr"/>
      <c r="DM37" t="inlineStr"/>
      <c r="DN37" t="n">
        <v>3.317073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</row>
    <row r="38">
      <c r="A38" t="inlineStr">
        <is>
          <t>06/30/2026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0.266312</v>
      </c>
      <c r="O38" t="inlineStr"/>
      <c r="P38" t="inlineStr"/>
      <c r="Q38" t="inlineStr"/>
      <c r="R38" t="inlineStr"/>
      <c r="S38" t="inlineStr"/>
      <c r="T38" t="n">
        <v>-1.02753</v>
      </c>
      <c r="U38" t="n">
        <v>-1.035197</v>
      </c>
      <c r="V38" t="n">
        <v>2.481986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n">
        <v>-0.357688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</row>
    <row r="39">
      <c r="A39" t="inlineStr">
        <is>
          <t>06/29/2026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0.786605</v>
      </c>
      <c r="J39" t="n">
        <v>0.784906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-0.064109</v>
      </c>
      <c r="AB39" t="n">
        <v>-0.06381299999999999</v>
      </c>
      <c r="AC39" t="inlineStr"/>
      <c r="AD39" t="inlineStr"/>
      <c r="AE39" t="n">
        <v>-1.952862</v>
      </c>
      <c r="AF39" t="n">
        <v>-1.955964</v>
      </c>
      <c r="AG39" t="inlineStr"/>
      <c r="AH39" t="inlineStr"/>
      <c r="AI39" t="inlineStr"/>
      <c r="AJ39" t="inlineStr"/>
      <c r="AK39" t="inlineStr"/>
      <c r="AL39" t="inlineStr"/>
      <c r="AM39" t="n">
        <v>-0.024726</v>
      </c>
      <c r="AN39" t="n">
        <v>-0.029441</v>
      </c>
      <c r="AO39" t="inlineStr"/>
      <c r="AP39" t="n">
        <v>0.664366</v>
      </c>
      <c r="AQ39" t="inlineStr"/>
      <c r="AR39" t="n">
        <v>1.291391</v>
      </c>
      <c r="AS39" t="n">
        <v>0.089559</v>
      </c>
      <c r="AT39" t="n">
        <v>0.07745199999999999</v>
      </c>
      <c r="AU39" t="inlineStr"/>
      <c r="AV39" t="inlineStr"/>
      <c r="AW39" t="n">
        <v>0.022745</v>
      </c>
      <c r="AX39" t="n">
        <v>0.017565</v>
      </c>
      <c r="AY39" t="inlineStr"/>
      <c r="AZ39" t="inlineStr"/>
      <c r="BA39" t="inlineStr"/>
      <c r="BB39" t="inlineStr"/>
      <c r="BC39" t="inlineStr"/>
      <c r="BD39" t="n">
        <v>1.772539</v>
      </c>
      <c r="BE39" t="inlineStr"/>
      <c r="BF39" t="inlineStr"/>
      <c r="BG39" t="inlineStr"/>
      <c r="BH39" t="inlineStr"/>
      <c r="BI39" t="n">
        <v>1.429956</v>
      </c>
      <c r="BJ39" t="n">
        <v>1.431919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4.894266</v>
      </c>
      <c r="BT39" t="inlineStr"/>
      <c r="BU39" t="inlineStr"/>
      <c r="BV39" t="inlineStr"/>
      <c r="BW39" t="inlineStr"/>
      <c r="BX39" t="inlineStr"/>
      <c r="BY39" t="inlineStr"/>
      <c r="BZ39" t="n">
        <v>0.149701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1.405309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</row>
    <row r="40">
      <c r="A40" t="inlineStr">
        <is>
          <t>06/26/2026</t>
        </is>
      </c>
      <c r="B40" t="inlineStr"/>
      <c r="C40" t="inlineStr"/>
      <c r="D40" t="inlineStr"/>
      <c r="E40" t="n">
        <v>2.684287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0.173461</v>
      </c>
      <c r="Z40" t="n">
        <v>0.136799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1.169743</v>
      </c>
      <c r="AI40" t="inlineStr"/>
      <c r="AJ40" t="inlineStr"/>
      <c r="AK40" t="inlineStr"/>
      <c r="AL40" t="n">
        <v>1.986301</v>
      </c>
      <c r="AM40" t="inlineStr"/>
      <c r="AN40" t="inlineStr"/>
      <c r="AO40" t="inlineStr"/>
      <c r="AP40" t="inlineStr"/>
      <c r="AQ40" t="n">
        <v>0.57009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2.250588</v>
      </c>
      <c r="AZ40" t="n">
        <v>2.232538</v>
      </c>
      <c r="BA40" t="n">
        <v>0.593066</v>
      </c>
      <c r="BB40" t="n">
        <v>0.591585</v>
      </c>
      <c r="BC40" t="inlineStr"/>
      <c r="BD40" t="inlineStr"/>
      <c r="BE40" t="inlineStr"/>
      <c r="BF40" t="inlineStr"/>
      <c r="BG40" t="inlineStr"/>
      <c r="BH40" t="n">
        <v>-1.12307</v>
      </c>
      <c r="BI40" t="inlineStr"/>
      <c r="BJ40" t="inlineStr"/>
      <c r="BK40" t="inlineStr"/>
      <c r="BL40" t="inlineStr"/>
      <c r="BM40" t="n">
        <v>0.056665</v>
      </c>
      <c r="BN40" t="n">
        <v>0.048544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-0.500798</v>
      </c>
      <c r="CD40" t="inlineStr"/>
      <c r="CE40" t="inlineStr"/>
      <c r="CF40" t="n">
        <v>3.304012</v>
      </c>
      <c r="CG40" t="n">
        <v>-0.112824</v>
      </c>
      <c r="CH40" t="n">
        <v>-0.119933</v>
      </c>
      <c r="CI40" t="inlineStr"/>
      <c r="CJ40" t="inlineStr"/>
      <c r="CK40" t="inlineStr"/>
      <c r="CL40" t="inlineStr"/>
      <c r="CM40" t="n">
        <v>1.252408</v>
      </c>
      <c r="CN40" t="n">
        <v>1.240402</v>
      </c>
      <c r="CO40" t="n">
        <v>1.08885</v>
      </c>
      <c r="CP40" t="n">
        <v>1.045436</v>
      </c>
      <c r="CQ40" t="n">
        <v>0.562811</v>
      </c>
      <c r="CR40" t="n">
        <v>0.5385799999999999</v>
      </c>
      <c r="CS40" t="inlineStr"/>
      <c r="CT40" t="inlineStr"/>
      <c r="CU40" t="inlineStr"/>
      <c r="CV40" t="inlineStr"/>
      <c r="CW40" t="inlineStr"/>
      <c r="CX40" t="inlineStr"/>
      <c r="CY40" t="n">
        <v>3.235157</v>
      </c>
      <c r="CZ40" t="n">
        <v>3.243616</v>
      </c>
      <c r="DA40" t="inlineStr"/>
      <c r="DB40" t="inlineStr"/>
      <c r="DC40" t="n">
        <v>2.450786</v>
      </c>
      <c r="DD40" t="n">
        <v>2.441983</v>
      </c>
      <c r="DE40" t="inlineStr"/>
      <c r="DF40" t="inlineStr"/>
      <c r="DG40" t="inlineStr"/>
      <c r="DH40" t="inlineStr"/>
      <c r="DI40" t="inlineStr"/>
      <c r="DJ40" t="inlineStr"/>
      <c r="DK40" t="inlineStr"/>
      <c r="DL40" t="n">
        <v>-2.317291</v>
      </c>
      <c r="DM40" t="inlineStr"/>
      <c r="DN40" t="n">
        <v>-4.549675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2.345965</v>
      </c>
    </row>
    <row r="41">
      <c r="A41" t="inlineStr">
        <is>
          <t>06/25/2026</t>
        </is>
      </c>
      <c r="B41" t="inlineStr"/>
      <c r="C41" t="inlineStr"/>
      <c r="D41" t="n">
        <v>3.91853</v>
      </c>
      <c r="E41" t="n">
        <v>3.904741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0.130719</v>
      </c>
      <c r="O41" t="inlineStr"/>
      <c r="P41" t="inlineStr"/>
      <c r="Q41" t="inlineStr"/>
      <c r="R41" t="n">
        <v>1.864769</v>
      </c>
      <c r="S41" t="n">
        <v>1.871026</v>
      </c>
      <c r="T41" t="n">
        <v>-0.566465</v>
      </c>
      <c r="U41" t="n">
        <v>-0.560161</v>
      </c>
      <c r="V41" t="inlineStr"/>
      <c r="W41" t="inlineStr"/>
      <c r="X41" t="inlineStr"/>
      <c r="Y41" t="n">
        <v>0.545019</v>
      </c>
      <c r="Z41" t="n">
        <v>0.550206</v>
      </c>
      <c r="AA41" t="inlineStr"/>
      <c r="AB41" t="inlineStr"/>
      <c r="AC41" t="inlineStr"/>
      <c r="AD41" t="inlineStr"/>
      <c r="AE41" t="n">
        <v>4.75391</v>
      </c>
      <c r="AF41" t="n">
        <v>4.756563</v>
      </c>
      <c r="AG41" t="inlineStr"/>
      <c r="AH41" t="n">
        <v>-2.310818</v>
      </c>
      <c r="AI41" t="inlineStr"/>
      <c r="AJ41" t="inlineStr"/>
      <c r="AK41" t="n">
        <v>-0.344947</v>
      </c>
      <c r="AL41" t="n">
        <v>-0.341297</v>
      </c>
      <c r="AM41" t="inlineStr"/>
      <c r="AN41" t="inlineStr"/>
      <c r="AO41" t="inlineStr"/>
      <c r="AP41" t="inlineStr"/>
      <c r="AQ41" t="n">
        <v>-0.52051</v>
      </c>
      <c r="AR41" t="inlineStr"/>
      <c r="AS41" t="inlineStr"/>
      <c r="AT41" t="inlineStr"/>
      <c r="AU41" t="inlineStr"/>
      <c r="AV41" t="inlineStr"/>
      <c r="AW41" t="inlineStr"/>
      <c r="AX41" t="inlineStr"/>
      <c r="AY41" t="n">
        <v>-1.112772</v>
      </c>
      <c r="AZ41" t="n">
        <v>-1.093135</v>
      </c>
      <c r="BA41" t="inlineStr"/>
      <c r="BB41" t="inlineStr"/>
      <c r="BC41" t="inlineStr"/>
      <c r="BD41" t="inlineStr"/>
      <c r="BE41" t="inlineStr"/>
      <c r="BF41" t="inlineStr"/>
      <c r="BG41" t="n">
        <v>2.248241</v>
      </c>
      <c r="BH41" t="n">
        <v>2.248804</v>
      </c>
      <c r="BI41" t="inlineStr"/>
      <c r="BJ41" t="inlineStr"/>
      <c r="BK41" t="inlineStr"/>
      <c r="BL41" t="inlineStr"/>
      <c r="BM41" t="n">
        <v>0.835655</v>
      </c>
      <c r="BN41" t="n">
        <v>0.83211</v>
      </c>
      <c r="BO41" t="inlineStr"/>
      <c r="BP41" t="inlineStr"/>
      <c r="BQ41" t="inlineStr"/>
      <c r="BR41" t="inlineStr"/>
      <c r="BS41" t="n">
        <v>-5.639379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1.033952</v>
      </c>
      <c r="CD41" t="n">
        <v>0.25902</v>
      </c>
      <c r="CE41" t="inlineStr"/>
      <c r="CF41" t="n">
        <v>-2.48954</v>
      </c>
      <c r="CG41" t="n">
        <v>0.188395</v>
      </c>
      <c r="CH41" t="n">
        <v>0.192261</v>
      </c>
      <c r="CI41" t="n">
        <v>1.220442</v>
      </c>
      <c r="CJ41" t="n">
        <v>1.166533</v>
      </c>
      <c r="CK41" t="inlineStr"/>
      <c r="CL41" t="inlineStr"/>
      <c r="CM41" t="n">
        <v>-0.249856</v>
      </c>
      <c r="CN41" t="n">
        <v>-0.25922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0.49322</v>
      </c>
      <c r="DB41" t="inlineStr"/>
      <c r="DC41" t="n">
        <v>-0.311051</v>
      </c>
      <c r="DD41" t="n">
        <v>-0.314364</v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0.8634540000000001</v>
      </c>
      <c r="DZ41" t="inlineStr"/>
    </row>
    <row r="42">
      <c r="A42" t="inlineStr">
        <is>
          <t>06/24/2026</t>
        </is>
      </c>
      <c r="B42" t="inlineStr"/>
      <c r="C42" t="inlineStr"/>
      <c r="D42" t="inlineStr"/>
      <c r="E42" t="inlineStr"/>
      <c r="F42" t="inlineStr"/>
      <c r="G42" t="n">
        <v>1.130225</v>
      </c>
      <c r="H42" t="n">
        <v>1.126312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3.258092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0.902406</v>
      </c>
      <c r="AS42" t="n">
        <v>0.875274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2.23903</v>
      </c>
      <c r="BD42" t="inlineStr"/>
      <c r="BE42" t="inlineStr"/>
      <c r="BF42" t="inlineStr"/>
      <c r="BG42" t="inlineStr"/>
      <c r="BH42" t="n">
        <v>0.311975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-1.485966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-1.392891</v>
      </c>
      <c r="CM42" t="inlineStr"/>
      <c r="CN42" t="inlineStr"/>
      <c r="CO42" t="inlineStr"/>
      <c r="CP42" t="inlineStr"/>
      <c r="CQ42" t="inlineStr"/>
      <c r="CR42" t="inlineStr"/>
      <c r="CS42" t="n">
        <v>-6.686047</v>
      </c>
      <c r="CT42" t="inlineStr"/>
      <c r="CU42" t="inlineStr"/>
      <c r="CV42" t="inlineStr"/>
      <c r="CW42" t="inlineStr"/>
      <c r="CX42" t="inlineStr"/>
      <c r="CY42" t="n">
        <v>5.090806</v>
      </c>
      <c r="CZ42" t="n">
        <v>5.09793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n">
        <v>-1.496726</v>
      </c>
      <c r="DO42" t="n">
        <v>0.967597</v>
      </c>
      <c r="DP42" t="n">
        <v>0.971699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</row>
    <row r="43">
      <c r="A43" t="inlineStr">
        <is>
          <t>06/23/2026</t>
        </is>
      </c>
      <c r="B43" t="inlineStr"/>
      <c r="C43" t="inlineStr"/>
      <c r="D43" t="n">
        <v>2.720852</v>
      </c>
      <c r="E43" t="inlineStr"/>
      <c r="F43" t="inlineStr"/>
      <c r="G43" t="n">
        <v>1.498712</v>
      </c>
      <c r="H43" t="n">
        <v>1.504954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0.279298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1.334043</v>
      </c>
      <c r="BB43" t="n">
        <v>1.331208</v>
      </c>
      <c r="BC43" t="n">
        <v>-6.169196</v>
      </c>
      <c r="BD43" t="inlineStr"/>
      <c r="BE43" t="inlineStr"/>
      <c r="BF43" t="inlineStr"/>
      <c r="BG43" t="inlineStr"/>
      <c r="BH43" t="n">
        <v>-0.501433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1.416383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-0.7626309999999999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0.911594</v>
      </c>
      <c r="CZ43" t="n">
        <v>0.896987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0.944287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</row>
    <row r="44">
      <c r="A44" t="inlineStr">
        <is>
          <t>06/22/2026</t>
        </is>
      </c>
      <c r="B44" t="n">
        <v>0.110375</v>
      </c>
      <c r="C44" t="n">
        <v>0.08992799999999999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-4.227405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2.734826</v>
      </c>
      <c r="BB44" t="n">
        <v>2.735361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4.113924</v>
      </c>
      <c r="BZ44" t="inlineStr"/>
      <c r="CA44" t="n">
        <v>-1.388889</v>
      </c>
      <c r="CB44" t="n">
        <v>-1.324503</v>
      </c>
      <c r="CC44" t="inlineStr"/>
      <c r="CD44" t="n">
        <v>0.617209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n">
        <v>4.971252</v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</row>
    <row r="45">
      <c r="A45" t="inlineStr">
        <is>
          <t>06/18/2026</t>
        </is>
      </c>
      <c r="B45" t="n">
        <v>0.073638</v>
      </c>
      <c r="C45" t="n">
        <v>0.044984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1.255309</v>
      </c>
      <c r="AF45" t="n">
        <v>1.258088</v>
      </c>
      <c r="AG45" t="n">
        <v>1.104503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0.597147</v>
      </c>
      <c r="AS45" t="n">
        <v>0.129003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-5.151649</v>
      </c>
      <c r="BE45" t="inlineStr"/>
      <c r="BF45" t="inlineStr"/>
      <c r="BG45" t="inlineStr"/>
      <c r="BH45" t="n">
        <v>1.835773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1.050293</v>
      </c>
      <c r="BT45" t="inlineStr"/>
      <c r="BU45" t="inlineStr"/>
      <c r="BV45" t="inlineStr"/>
      <c r="BW45" t="inlineStr"/>
      <c r="BX45" t="inlineStr"/>
      <c r="BY45" t="inlineStr"/>
      <c r="BZ45" t="n">
        <v>3.063725</v>
      </c>
      <c r="CA45" t="n">
        <v>-1.234568</v>
      </c>
      <c r="CB45" t="n">
        <v>-1.30719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0.425811</v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</row>
    <row r="46">
      <c r="A46" t="inlineStr">
        <is>
          <t>06/17/2026</t>
        </is>
      </c>
      <c r="B46" t="inlineStr"/>
      <c r="C46" t="inlineStr"/>
      <c r="D46" t="inlineStr"/>
      <c r="E46" t="inlineStr"/>
      <c r="F46" t="inlineStr"/>
      <c r="G46" t="n">
        <v>1.029023</v>
      </c>
      <c r="H46" t="n">
        <v>1.013782</v>
      </c>
      <c r="I46" t="n">
        <v>1.06982</v>
      </c>
      <c r="J46" t="n">
        <v>1.073805</v>
      </c>
      <c r="K46" t="inlineStr"/>
      <c r="L46" t="n">
        <v>-0.677813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0.353897</v>
      </c>
      <c r="AB46" t="n">
        <v>0.35311</v>
      </c>
      <c r="AC46" t="inlineStr"/>
      <c r="AD46" t="inlineStr"/>
      <c r="AE46" t="inlineStr"/>
      <c r="AF46" t="inlineStr"/>
      <c r="AG46" t="n">
        <v>1.062574</v>
      </c>
      <c r="AH46" t="inlineStr"/>
      <c r="AI46" t="inlineStr"/>
      <c r="AJ46" t="inlineStr"/>
      <c r="AK46" t="inlineStr"/>
      <c r="AL46" t="inlineStr"/>
      <c r="AM46" t="n">
        <v>0.256942</v>
      </c>
      <c r="AN46" t="n">
        <v>0.256511</v>
      </c>
      <c r="AO46" t="n">
        <v>1.133279</v>
      </c>
      <c r="AP46" t="inlineStr"/>
      <c r="AQ46" t="inlineStr"/>
      <c r="AR46" t="inlineStr"/>
      <c r="AS46" t="inlineStr"/>
      <c r="AT46" t="inlineStr"/>
      <c r="AU46" t="inlineStr"/>
      <c r="AV46" t="inlineStr"/>
      <c r="AW46" t="n">
        <v>-2.469315</v>
      </c>
      <c r="AX46" t="n">
        <v>-2.472874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-0.549713</v>
      </c>
      <c r="BJ46" t="n">
        <v>-0.538876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7.49023</v>
      </c>
      <c r="BT46" t="n">
        <v>7.473248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6.199036</v>
      </c>
      <c r="CZ46" t="n">
        <v>6.208972</v>
      </c>
      <c r="DA46" t="inlineStr"/>
      <c r="DB46" t="inlineStr"/>
      <c r="DC46" t="inlineStr"/>
      <c r="DD46" t="inlineStr"/>
      <c r="DE46" t="inlineStr"/>
      <c r="DF46" t="n">
        <v>2.191781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</row>
    <row r="47">
      <c r="A47" t="inlineStr">
        <is>
          <t>06/16/2026</t>
        </is>
      </c>
      <c r="B47" t="n">
        <v>0.368189</v>
      </c>
      <c r="C47" t="n">
        <v>0.405041</v>
      </c>
      <c r="D47" t="n">
        <v>4.53592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1.112628</v>
      </c>
      <c r="BB47" t="n">
        <v>1.106787</v>
      </c>
      <c r="BC47" t="n">
        <v>-3.909258</v>
      </c>
      <c r="BD47" t="inlineStr"/>
      <c r="BE47" t="inlineStr"/>
      <c r="BF47" t="inlineStr"/>
      <c r="BG47" t="inlineStr"/>
      <c r="BH47" t="n">
        <v>-3.735427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2.538787</v>
      </c>
      <c r="CB47" t="n">
        <v>2.521008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1.48768</v>
      </c>
      <c r="CM47" t="inlineStr"/>
      <c r="CN47" t="inlineStr"/>
      <c r="CO47" t="n">
        <v>-0.418936</v>
      </c>
      <c r="CP47" t="n">
        <v>-0.463858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2.080969</v>
      </c>
      <c r="CZ47" t="n">
        <v>2.080134</v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1.960784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</row>
    <row r="48">
      <c r="A48" t="inlineStr">
        <is>
          <t>06/15/2026</t>
        </is>
      </c>
      <c r="B48" t="inlineStr"/>
      <c r="C48" t="inlineStr"/>
      <c r="D48" t="inlineStr"/>
      <c r="E48" t="n">
        <v>-1.130369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0.536913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2.225131</v>
      </c>
      <c r="Z48" t="n">
        <v>2.257709</v>
      </c>
      <c r="AA48" t="inlineStr"/>
      <c r="AB48" t="inlineStr"/>
      <c r="AC48" t="inlineStr"/>
      <c r="AD48" t="inlineStr"/>
      <c r="AE48" t="n">
        <v>-0.036463</v>
      </c>
      <c r="AF48" t="n">
        <v>-0.04628</v>
      </c>
      <c r="AG48" t="inlineStr"/>
      <c r="AH48" t="n">
        <v>0.985353</v>
      </c>
      <c r="AI48" t="inlineStr"/>
      <c r="AJ48" t="inlineStr"/>
      <c r="AK48" t="inlineStr"/>
      <c r="AL48" t="n">
        <v>-1.137607</v>
      </c>
      <c r="AM48" t="inlineStr"/>
      <c r="AN48" t="inlineStr"/>
      <c r="AO48" t="inlineStr"/>
      <c r="AP48" t="inlineStr"/>
      <c r="AQ48" t="n">
        <v>-0.613974</v>
      </c>
      <c r="AR48" t="inlineStr"/>
      <c r="AS48" t="n">
        <v>0.015064</v>
      </c>
      <c r="AT48" t="inlineStr"/>
      <c r="AU48" t="inlineStr"/>
      <c r="AV48" t="inlineStr"/>
      <c r="AW48" t="inlineStr"/>
      <c r="AX48" t="inlineStr"/>
      <c r="AY48" t="n">
        <v>-1.872599</v>
      </c>
      <c r="AZ48" t="n">
        <v>-1.895136</v>
      </c>
      <c r="BA48" t="inlineStr"/>
      <c r="BB48" t="inlineStr"/>
      <c r="BC48" t="inlineStr"/>
      <c r="BD48" t="inlineStr"/>
      <c r="BE48" t="inlineStr"/>
      <c r="BF48" t="inlineStr"/>
      <c r="BG48" t="n">
        <v>0.28572</v>
      </c>
      <c r="BH48" t="n">
        <v>0.286328</v>
      </c>
      <c r="BI48" t="inlineStr"/>
      <c r="BJ48" t="inlineStr"/>
      <c r="BK48" t="inlineStr"/>
      <c r="BL48" t="inlineStr"/>
      <c r="BM48" t="n">
        <v>-0.610429</v>
      </c>
      <c r="BN48" t="n">
        <v>-0.614733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-0.451751</v>
      </c>
      <c r="CD48" t="inlineStr"/>
      <c r="CE48" t="inlineStr"/>
      <c r="CF48" t="n">
        <v>-4.18146</v>
      </c>
      <c r="CG48" t="n">
        <v>-1.741486</v>
      </c>
      <c r="CH48" t="n">
        <v>-1.739667</v>
      </c>
      <c r="CI48" t="inlineStr"/>
      <c r="CJ48" t="inlineStr"/>
      <c r="CK48" t="inlineStr"/>
      <c r="CL48" t="n">
        <v>1.750237</v>
      </c>
      <c r="CM48" t="n">
        <v>1.239469</v>
      </c>
      <c r="CN48" t="n">
        <v>1.246439</v>
      </c>
      <c r="CO48" t="inlineStr"/>
      <c r="CP48" t="inlineStr"/>
      <c r="CQ48" t="n">
        <v>1.799177</v>
      </c>
      <c r="CR48" t="n">
        <v>1.766343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1.7</v>
      </c>
      <c r="DC48" t="n">
        <v>-1.140929</v>
      </c>
      <c r="DD48" t="n">
        <v>-1.144863</v>
      </c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0.18379</v>
      </c>
      <c r="DZ48" t="n">
        <v>0.19034</v>
      </c>
    </row>
    <row r="49">
      <c r="A49" t="inlineStr">
        <is>
          <t>06/12/2026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1.664417</v>
      </c>
      <c r="J49" t="n">
        <v>1.66113</v>
      </c>
      <c r="K49" t="inlineStr"/>
      <c r="L49" t="inlineStr"/>
      <c r="M49" t="inlineStr"/>
      <c r="N49" t="n">
        <v>-1.585205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9.256449</v>
      </c>
      <c r="W49" t="inlineStr"/>
      <c r="X49" t="inlineStr"/>
      <c r="Y49" t="inlineStr"/>
      <c r="Z49" t="inlineStr"/>
      <c r="AA49" t="n">
        <v>0.12826</v>
      </c>
      <c r="AB49" t="n">
        <v>0.127947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0.328407</v>
      </c>
      <c r="AN49" t="n">
        <v>0.322455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-4.172671</v>
      </c>
      <c r="AX49" t="n">
        <v>-4.179625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6.779289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-0.929839</v>
      </c>
      <c r="CE49" t="inlineStr"/>
      <c r="CF49" t="inlineStr"/>
      <c r="CG49" t="inlineStr"/>
      <c r="CH49" t="inlineStr"/>
      <c r="CI49" t="n">
        <v>-1.340861</v>
      </c>
      <c r="CJ49" t="n">
        <v>-1.339784</v>
      </c>
      <c r="CK49" t="inlineStr"/>
      <c r="CL49" t="inlineStr"/>
      <c r="CM49" t="inlineStr"/>
      <c r="CN49" t="inlineStr"/>
      <c r="CO49" t="inlineStr"/>
      <c r="CP49" t="inlineStr"/>
      <c r="CQ49" t="n">
        <v>1.267323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-2.858872</v>
      </c>
      <c r="DB49" t="inlineStr"/>
      <c r="DC49" t="inlineStr"/>
      <c r="DD49" t="inlineStr"/>
      <c r="DE49" t="inlineStr"/>
      <c r="DF49" t="inlineStr"/>
      <c r="DG49" t="inlineStr"/>
      <c r="DH49" t="n">
        <v>1.315265</v>
      </c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</row>
    <row r="50">
      <c r="A50" t="inlineStr">
        <is>
          <t>06/11/2026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0.508647</v>
      </c>
      <c r="J50" t="n">
        <v>0.500835</v>
      </c>
      <c r="K50" t="n">
        <v>2.822644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n">
        <v>-0.252207</v>
      </c>
      <c r="AF50" t="n">
        <v>-0.251515</v>
      </c>
      <c r="AG50" t="inlineStr"/>
      <c r="AH50" t="inlineStr"/>
      <c r="AI50" t="inlineStr"/>
      <c r="AJ50" t="inlineStr"/>
      <c r="AK50" t="inlineStr"/>
      <c r="AL50" t="inlineStr"/>
      <c r="AM50" t="n">
        <v>0.694444</v>
      </c>
      <c r="AN50" t="n">
        <v>0.688705</v>
      </c>
      <c r="AO50" t="inlineStr"/>
      <c r="AP50" t="inlineStr"/>
      <c r="AQ50" t="inlineStr"/>
      <c r="AR50" t="n">
        <v>0.571173</v>
      </c>
      <c r="AS50" t="n">
        <v>0.871542</v>
      </c>
      <c r="AT50" t="inlineStr"/>
      <c r="AU50" t="inlineStr"/>
      <c r="AV50" t="inlineStr"/>
      <c r="AW50" t="n">
        <v>0.985645</v>
      </c>
      <c r="AX50" t="n">
        <v>0.980467</v>
      </c>
      <c r="AY50" t="inlineStr"/>
      <c r="AZ50" t="inlineStr"/>
      <c r="BA50" t="inlineStr"/>
      <c r="BB50" t="inlineStr"/>
      <c r="BC50" t="inlineStr"/>
      <c r="BD50" t="n">
        <v>5.664865</v>
      </c>
      <c r="BE50" t="inlineStr"/>
      <c r="BF50" t="inlineStr"/>
      <c r="BG50" t="n">
        <v>1.497764</v>
      </c>
      <c r="BH50" t="n">
        <v>1.481481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1.300144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-1.560349</v>
      </c>
      <c r="CM50" t="inlineStr"/>
      <c r="CN50" t="inlineStr"/>
      <c r="CO50" t="inlineStr"/>
      <c r="CP50" t="inlineStr"/>
      <c r="CQ50" t="inlineStr"/>
      <c r="CR50" t="inlineStr"/>
      <c r="CS50" t="n">
        <v>0.564263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</row>
    <row r="51">
      <c r="A51" t="inlineStr">
        <is>
          <t>06/10/2026</t>
        </is>
      </c>
      <c r="B51" t="inlineStr"/>
      <c r="C51" t="inlineStr"/>
      <c r="D51" t="inlineStr"/>
      <c r="E51" t="inlineStr"/>
      <c r="F51" t="inlineStr"/>
      <c r="G51" t="inlineStr"/>
      <c r="H51" t="n">
        <v>1.915395</v>
      </c>
      <c r="I51" t="n">
        <v>1.736431</v>
      </c>
      <c r="J51" t="n">
        <v>1.729196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-2.947691</v>
      </c>
      <c r="U51" t="n">
        <v>-2.950687</v>
      </c>
      <c r="V51" t="n">
        <v>3.018576</v>
      </c>
      <c r="W51" t="inlineStr"/>
      <c r="X51" t="inlineStr"/>
      <c r="Y51" t="inlineStr"/>
      <c r="Z51" t="inlineStr"/>
      <c r="AA51" t="n">
        <v>0.5808449999999999</v>
      </c>
      <c r="AB51" t="n">
        <v>0.578931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2.284264</v>
      </c>
      <c r="AM51" t="n">
        <v>1.10331</v>
      </c>
      <c r="AN51" t="n">
        <v>1.094092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0.928028</v>
      </c>
      <c r="AX51" t="n">
        <v>0.927716</v>
      </c>
      <c r="AY51" t="n">
        <v>3.27335</v>
      </c>
      <c r="AZ51" t="n">
        <v>3.269448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-0.285919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8.303042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n">
        <v>0.76485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n">
        <v>-0.034566</v>
      </c>
      <c r="CU51" t="inlineStr"/>
      <c r="CV51" t="inlineStr"/>
      <c r="CW51" t="inlineStr"/>
      <c r="CX51" t="inlineStr"/>
      <c r="CY51" t="n">
        <v>9.196819</v>
      </c>
      <c r="CZ51" t="n">
        <v>9.208133999999999</v>
      </c>
      <c r="DA51" t="inlineStr"/>
      <c r="DB51" t="inlineStr"/>
      <c r="DC51" t="inlineStr"/>
      <c r="DD51" t="inlineStr"/>
      <c r="DE51" t="inlineStr"/>
      <c r="DF51" t="inlineStr"/>
      <c r="DG51" t="n">
        <v>6.395141</v>
      </c>
      <c r="DH51" t="inlineStr"/>
      <c r="DI51" t="inlineStr"/>
      <c r="DJ51" t="inlineStr"/>
      <c r="DK51" t="inlineStr"/>
      <c r="DL51" t="inlineStr"/>
      <c r="DM51" t="inlineStr"/>
      <c r="DN51" t="n">
        <v>-6.525573</v>
      </c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</row>
    <row r="52">
      <c r="A52" t="inlineStr">
        <is>
          <t>06/09/2026</t>
        </is>
      </c>
      <c r="B52" t="n">
        <v>0.219861</v>
      </c>
      <c r="C52" t="n">
        <v>0.179051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2.403051</v>
      </c>
      <c r="Q52" t="n">
        <v>2.400943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-1.924601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2.068292</v>
      </c>
      <c r="BB52" t="n">
        <v>2.06439</v>
      </c>
      <c r="BC52" t="inlineStr"/>
      <c r="BD52" t="inlineStr"/>
      <c r="BE52" t="inlineStr"/>
      <c r="BF52" t="inlineStr"/>
      <c r="BG52" t="inlineStr"/>
      <c r="BH52" t="n">
        <v>0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-0.031651</v>
      </c>
      <c r="CA52" t="n">
        <v>0</v>
      </c>
      <c r="CB52" t="n">
        <v>0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3.820034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3.210273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</row>
    <row r="53">
      <c r="A53" t="inlineStr">
        <is>
          <t>06/08/2026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0.263158</v>
      </c>
      <c r="O53" t="inlineStr"/>
      <c r="P53" t="inlineStr"/>
      <c r="Q53" t="inlineStr"/>
      <c r="R53" t="inlineStr"/>
      <c r="S53" t="inlineStr"/>
      <c r="T53" t="n">
        <v>-2.380548</v>
      </c>
      <c r="U53" t="n">
        <v>-2.399677</v>
      </c>
      <c r="V53" t="n">
        <v>-1.649175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3.289565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-1.366641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n">
        <v>0.738285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n">
        <v>3.498247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n">
        <v>0</v>
      </c>
      <c r="DX53" t="inlineStr"/>
      <c r="DY53" t="inlineStr"/>
      <c r="DZ53" t="inlineStr"/>
    </row>
    <row r="54">
      <c r="A54" t="inlineStr">
        <is>
          <t>06/05/2026</t>
        </is>
      </c>
      <c r="B54" t="inlineStr"/>
      <c r="C54" t="inlineStr"/>
      <c r="D54" t="inlineStr"/>
      <c r="E54" t="inlineStr"/>
      <c r="F54" t="inlineStr"/>
      <c r="G54" t="inlineStr"/>
      <c r="H54" t="n">
        <v>1.132333</v>
      </c>
      <c r="I54" t="n">
        <v>0.282901</v>
      </c>
      <c r="J54" t="n">
        <v>0.273432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6.72</v>
      </c>
      <c r="W54" t="inlineStr"/>
      <c r="X54" t="inlineStr"/>
      <c r="Y54" t="inlineStr"/>
      <c r="Z54" t="inlineStr"/>
      <c r="AA54" t="n">
        <v>0.129046</v>
      </c>
      <c r="AB54" t="n">
        <v>0.128687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-0.198988</v>
      </c>
      <c r="AN54" t="n">
        <v>-0.207182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5.756796</v>
      </c>
      <c r="AX54" t="n">
        <v>5.747404</v>
      </c>
      <c r="AY54" t="inlineStr"/>
      <c r="AZ54" t="inlineStr"/>
      <c r="BA54" t="n">
        <v>1.472978</v>
      </c>
      <c r="BB54" t="n">
        <v>1.468238</v>
      </c>
      <c r="BC54" t="n">
        <v>-0.921752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6.003398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0.349693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4.867644</v>
      </c>
      <c r="CZ54" t="n">
        <v>4.874899</v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-3.088102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</row>
    <row r="55">
      <c r="A55" t="inlineStr">
        <is>
          <t>06/04/2026</t>
        </is>
      </c>
      <c r="B55" t="n">
        <v>0.514328</v>
      </c>
      <c r="C55" t="n">
        <v>0.493495</v>
      </c>
      <c r="D55" t="inlineStr"/>
      <c r="E55" t="inlineStr"/>
      <c r="F55" t="inlineStr"/>
      <c r="G55" t="inlineStr"/>
      <c r="H55" t="inlineStr"/>
      <c r="I55" t="inlineStr"/>
      <c r="J55" t="inlineStr"/>
      <c r="K55" t="n">
        <v>-2.857143</v>
      </c>
      <c r="L55" t="inlineStr"/>
      <c r="M55" t="inlineStr"/>
      <c r="N55" t="n">
        <v>2.557201</v>
      </c>
      <c r="O55" t="inlineStr"/>
      <c r="P55" t="n">
        <v>2.613516</v>
      </c>
      <c r="Q55" t="n">
        <v>2.598991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0.955005</v>
      </c>
      <c r="AF55" t="n">
        <v>0.955488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-1.060152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n">
        <v>0.984411</v>
      </c>
      <c r="BH55" t="n">
        <v>0.994904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-0.69541</v>
      </c>
      <c r="CB55" t="n">
        <v>-0.661157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6.95532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11.100833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5.414552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</row>
    <row r="56">
      <c r="A56" t="inlineStr">
        <is>
          <t>06/03/2026</t>
        </is>
      </c>
      <c r="B56" t="inlineStr"/>
      <c r="C56" t="inlineStr"/>
      <c r="D56" t="inlineStr"/>
      <c r="E56" t="inlineStr"/>
      <c r="F56" t="inlineStr"/>
      <c r="G56" t="inlineStr"/>
      <c r="H56" t="n">
        <v>2.443403</v>
      </c>
      <c r="I56" t="inlineStr"/>
      <c r="J56" t="inlineStr"/>
      <c r="K56" t="inlineStr"/>
      <c r="L56" t="n">
        <v>0.009124999999999999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-1.468531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0.386546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2.93975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-3.837337</v>
      </c>
      <c r="BT56" t="n">
        <v>-3.8492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-1.391154</v>
      </c>
      <c r="CZ56" t="n">
        <v>-1.387316</v>
      </c>
      <c r="DA56" t="n">
        <v>6.277245</v>
      </c>
      <c r="DB56" t="inlineStr"/>
      <c r="DC56" t="inlineStr"/>
      <c r="DD56" t="inlineStr"/>
      <c r="DE56" t="inlineStr"/>
      <c r="DF56" t="n">
        <v>0.7583800000000001</v>
      </c>
      <c r="DG56" t="n">
        <v>1.52439</v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</row>
    <row r="57">
      <c r="A57" t="inlineStr">
        <is>
          <t>06/02/2026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0.287379</v>
      </c>
      <c r="L57" t="inlineStr"/>
      <c r="M57" t="inlineStr"/>
      <c r="N57" t="n">
        <v>0.8108109999999999</v>
      </c>
      <c r="O57" t="inlineStr"/>
      <c r="P57" t="inlineStr"/>
      <c r="Q57" t="inlineStr"/>
      <c r="R57" t="inlineStr"/>
      <c r="S57" t="inlineStr"/>
      <c r="T57" t="n">
        <v>1.990391</v>
      </c>
      <c r="U57" t="n">
        <v>1.993896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1.039946</v>
      </c>
      <c r="AF57" t="n">
        <v>1.035886</v>
      </c>
      <c r="AG57" t="inlineStr"/>
      <c r="AH57" t="inlineStr"/>
      <c r="AI57" t="n">
        <v>-3.019674</v>
      </c>
      <c r="AJ57" t="n">
        <v>-3.037667</v>
      </c>
      <c r="AK57" t="inlineStr"/>
      <c r="AL57" t="inlineStr"/>
      <c r="AM57" t="inlineStr"/>
      <c r="AN57" t="inlineStr"/>
      <c r="AO57" t="inlineStr"/>
      <c r="AP57" t="n">
        <v>-0.10542</v>
      </c>
      <c r="AQ57" t="inlineStr"/>
      <c r="AR57" t="inlineStr"/>
      <c r="AS57" t="inlineStr"/>
      <c r="AT57" t="n">
        <v>-0.358887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0.023138</v>
      </c>
      <c r="BH57" t="n">
        <v>0.02505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-1.334342</v>
      </c>
      <c r="BR57" t="n">
        <v>-1.327823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-1.515152</v>
      </c>
      <c r="CF57" t="inlineStr"/>
      <c r="CG57" t="inlineStr"/>
      <c r="CH57" t="inlineStr"/>
      <c r="CI57" t="n">
        <v>-4.624073</v>
      </c>
      <c r="CJ57" t="n">
        <v>-4.652028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-0.184672</v>
      </c>
      <c r="DF57" t="inlineStr"/>
      <c r="DG57" t="inlineStr"/>
      <c r="DH57" t="inlineStr"/>
      <c r="DI57" t="n">
        <v>-0.582372</v>
      </c>
      <c r="DJ57" t="n">
        <v>-0.591398</v>
      </c>
      <c r="DK57" t="inlineStr"/>
      <c r="DL57" t="inlineStr"/>
      <c r="DM57" t="inlineStr"/>
      <c r="DN57" t="inlineStr"/>
      <c r="DO57" t="inlineStr"/>
      <c r="DP57" t="inlineStr"/>
      <c r="DQ57" t="n">
        <v>-4.103326</v>
      </c>
      <c r="DR57" t="n">
        <v>-4.096262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</row>
    <row r="58">
      <c r="A58" t="inlineStr">
        <is>
          <t>06/01/2026</t>
        </is>
      </c>
      <c r="B58" t="inlineStr"/>
      <c r="C58" t="inlineStr"/>
      <c r="D58" t="inlineStr"/>
      <c r="E58" t="inlineStr"/>
      <c r="F58" t="n">
        <v>6.069429</v>
      </c>
      <c r="G58" t="inlineStr"/>
      <c r="H58" t="inlineStr"/>
      <c r="I58" t="inlineStr"/>
      <c r="J58" t="inlineStr"/>
      <c r="K58" t="n">
        <v>1.714331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1.500853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0.683397</v>
      </c>
      <c r="AS58" t="n">
        <v>1.033411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-0.214796</v>
      </c>
      <c r="BE58" t="inlineStr"/>
      <c r="BF58" t="inlineStr"/>
      <c r="BG58" t="inlineStr"/>
      <c r="BH58" t="inlineStr"/>
      <c r="BI58" t="n">
        <v>-0.236574</v>
      </c>
      <c r="BJ58" t="n">
        <v>-0.253872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3.584229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1.246631</v>
      </c>
      <c r="DH58" t="n">
        <v>1.205788</v>
      </c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</row>
    <row r="59">
      <c r="A59" t="inlineStr">
        <is>
          <t>05/29/2026</t>
        </is>
      </c>
      <c r="B59" t="inlineStr"/>
      <c r="C59" t="inlineStr"/>
      <c r="D59" t="n">
        <v>-3.481501</v>
      </c>
      <c r="E59" t="n">
        <v>-3.484321</v>
      </c>
      <c r="F59" t="n">
        <v>2.741514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2.612742</v>
      </c>
      <c r="U59" t="n">
        <v>2.609803</v>
      </c>
      <c r="V59" t="inlineStr"/>
      <c r="W59" t="inlineStr"/>
      <c r="X59" t="inlineStr"/>
      <c r="Y59" t="n">
        <v>-0.437284</v>
      </c>
      <c r="Z59" t="n">
        <v>-0.435414</v>
      </c>
      <c r="AA59" t="inlineStr"/>
      <c r="AB59" t="inlineStr"/>
      <c r="AC59" t="inlineStr"/>
      <c r="AD59" t="inlineStr"/>
      <c r="AE59" t="n">
        <v>-1.777318</v>
      </c>
      <c r="AF59" t="n">
        <v>-1.777619</v>
      </c>
      <c r="AG59" t="inlineStr"/>
      <c r="AH59" t="n">
        <v>-0.6946369999999999</v>
      </c>
      <c r="AI59" t="inlineStr"/>
      <c r="AJ59" t="inlineStr"/>
      <c r="AK59" t="inlineStr"/>
      <c r="AL59" t="n">
        <v>0.908108</v>
      </c>
      <c r="AM59" t="inlineStr"/>
      <c r="AN59" t="inlineStr"/>
      <c r="AO59" t="inlineStr"/>
      <c r="AP59" t="inlineStr"/>
      <c r="AQ59" t="n">
        <v>0.110558</v>
      </c>
      <c r="AR59" t="inlineStr"/>
      <c r="AS59" t="n">
        <v>-0.271213</v>
      </c>
      <c r="AT59" t="inlineStr"/>
      <c r="AU59" t="inlineStr"/>
      <c r="AV59" t="inlineStr"/>
      <c r="AW59" t="inlineStr"/>
      <c r="AX59" t="inlineStr"/>
      <c r="AY59" t="n">
        <v>0.5797099999999999</v>
      </c>
      <c r="AZ59" t="n">
        <v>0.571792</v>
      </c>
      <c r="BA59" t="inlineStr"/>
      <c r="BB59" t="inlineStr"/>
      <c r="BC59" t="inlineStr"/>
      <c r="BD59" t="inlineStr"/>
      <c r="BE59" t="inlineStr"/>
      <c r="BF59" t="inlineStr"/>
      <c r="BG59" t="n">
        <v>-2.44907</v>
      </c>
      <c r="BH59" t="inlineStr"/>
      <c r="BI59" t="inlineStr"/>
      <c r="BJ59" t="inlineStr"/>
      <c r="BK59" t="inlineStr"/>
      <c r="BL59" t="inlineStr"/>
      <c r="BM59" t="n">
        <v>-0.51341</v>
      </c>
      <c r="BN59" t="n">
        <v>-0.514274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0.167836</v>
      </c>
      <c r="CD59" t="inlineStr"/>
      <c r="CE59" t="inlineStr"/>
      <c r="CF59" t="n">
        <v>3.689818</v>
      </c>
      <c r="CG59" t="n">
        <v>-0.974736</v>
      </c>
      <c r="CH59" t="n">
        <v>-0.976166</v>
      </c>
      <c r="CI59" t="n">
        <v>-0.429953</v>
      </c>
      <c r="CJ59" t="n">
        <v>-0.790365</v>
      </c>
      <c r="CK59" t="inlineStr"/>
      <c r="CL59" t="n">
        <v>0.956284</v>
      </c>
      <c r="CM59" t="n">
        <v>0.238095</v>
      </c>
      <c r="CN59" t="n">
        <v>0.230947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-3.177405</v>
      </c>
      <c r="DC59" t="n">
        <v>0.488064</v>
      </c>
      <c r="DD59" t="n">
        <v>0.483566</v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</row>
    <row r="60">
      <c r="A60" t="inlineStr">
        <is>
          <t>05/28/2026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-0.56889</v>
      </c>
      <c r="L60" t="inlineStr"/>
      <c r="M60" t="inlineStr"/>
      <c r="N60" t="n">
        <v>-0.134409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-1.317743</v>
      </c>
      <c r="AF60" t="n">
        <v>-1.318578</v>
      </c>
      <c r="AG60" t="n">
        <v>-0.628437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0.427976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0.311307</v>
      </c>
      <c r="BE60" t="inlineStr"/>
      <c r="BF60" t="inlineStr"/>
      <c r="BG60" t="n">
        <v>-1.38634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0.301075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-1.478261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</row>
    <row r="61">
      <c r="A61" t="inlineStr">
        <is>
          <t>05/27/2026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0.548503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-0.4135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0.157924</v>
      </c>
      <c r="AS61" t="n">
        <v>0.030972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-2.190476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-1.093892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1.660013</v>
      </c>
      <c r="CZ61" t="n">
        <v>1.6584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-1.164725</v>
      </c>
      <c r="DL61" t="inlineStr"/>
      <c r="DM61" t="inlineStr"/>
      <c r="DN61" t="n">
        <v>-1.740812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</row>
    <row r="62">
      <c r="A62" t="inlineStr">
        <is>
          <t>05/26/2026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0.432832</v>
      </c>
      <c r="L62" t="inlineStr"/>
      <c r="M62" t="inlineStr"/>
      <c r="N62" t="n">
        <v>-0.133511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0.323225</v>
      </c>
      <c r="AF62" t="n">
        <v>0.313555</v>
      </c>
      <c r="AG62" t="n">
        <v>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-0.572005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-0.331822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-1.268681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1.386482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0</v>
      </c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</row>
    <row r="63">
      <c r="A63" t="inlineStr">
        <is>
          <t>05/22/2026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2.121675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1.435879</v>
      </c>
      <c r="AQ63" t="inlineStr"/>
      <c r="AR63" t="inlineStr"/>
      <c r="AS63" t="n">
        <v>0.968977</v>
      </c>
      <c r="AT63" t="n">
        <v>0.9518990000000001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5.539867</v>
      </c>
      <c r="BD63" t="inlineStr"/>
      <c r="BE63" t="inlineStr"/>
      <c r="BF63" t="inlineStr"/>
      <c r="BG63" t="inlineStr"/>
      <c r="BH63" t="n">
        <v>0.409441</v>
      </c>
      <c r="BI63" t="n">
        <v>-1.06679</v>
      </c>
      <c r="BJ63" t="n">
        <v>-1.069918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5.036702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2.890521</v>
      </c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</row>
    <row r="64">
      <c r="A64" t="inlineStr">
        <is>
          <t>05/21/2026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0.761195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1.78231</v>
      </c>
      <c r="AF64" t="n">
        <v>1.777079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0.724124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-0.260773</v>
      </c>
      <c r="BE64" t="inlineStr"/>
      <c r="BF64" t="inlineStr"/>
      <c r="BG64" t="inlineStr"/>
      <c r="BH64" t="n">
        <v>0.144718</v>
      </c>
      <c r="BI64" t="n">
        <v>-0.092678</v>
      </c>
      <c r="BJ64" t="n">
        <v>-0.099428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-0.438745</v>
      </c>
      <c r="DH64" t="inlineStr"/>
      <c r="DI64" t="inlineStr"/>
      <c r="DJ64" t="inlineStr"/>
      <c r="DK64" t="n">
        <v>-0.653595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n">
        <v>0.487211</v>
      </c>
      <c r="DY64" t="inlineStr"/>
      <c r="DZ64" t="inlineStr"/>
    </row>
    <row r="65">
      <c r="A65" t="inlineStr">
        <is>
          <t>05/20/2026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0.898766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0.952564</v>
      </c>
      <c r="AF65" t="n">
        <v>0.951916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0.150133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0.178407</v>
      </c>
      <c r="BH65" t="n">
        <v>0.169123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-0.706595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</row>
    <row r="66">
      <c r="A66" t="inlineStr">
        <is>
          <t>05/19/2026</t>
        </is>
      </c>
      <c r="B66" t="inlineStr"/>
      <c r="C66" t="inlineStr"/>
      <c r="D66" t="inlineStr"/>
      <c r="E66" t="inlineStr"/>
      <c r="F66" t="inlineStr"/>
      <c r="G66" t="inlineStr"/>
      <c r="H66" t="n">
        <v>1.771811</v>
      </c>
      <c r="I66" t="inlineStr"/>
      <c r="J66" t="inlineStr"/>
      <c r="K66" t="inlineStr"/>
      <c r="L66" t="n">
        <v>2.092543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1.252983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4.565674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4.244125</v>
      </c>
      <c r="BT66" t="n">
        <v>4.235556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2.810418</v>
      </c>
      <c r="CZ66" t="n">
        <v>2.805074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</row>
    <row r="67">
      <c r="A67" t="inlineStr">
        <is>
          <t>05/18/2026</t>
        </is>
      </c>
      <c r="B67" t="inlineStr"/>
      <c r="C67" t="inlineStr"/>
      <c r="D67" t="n">
        <v>-1.066705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0.657895</v>
      </c>
      <c r="O67" t="inlineStr"/>
      <c r="P67" t="n">
        <v>0.257954</v>
      </c>
      <c r="Q67" t="n">
        <v>0.255973</v>
      </c>
      <c r="R67" t="inlineStr"/>
      <c r="S67" t="inlineStr"/>
      <c r="T67" t="inlineStr"/>
      <c r="U67" t="inlineStr"/>
      <c r="V67" t="n">
        <v>-0.475059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2.109966</v>
      </c>
      <c r="BB67" t="n">
        <v>2.103452</v>
      </c>
      <c r="BC67" t="inlineStr"/>
      <c r="BD67" t="inlineStr"/>
      <c r="BE67" t="inlineStr"/>
      <c r="BF67" t="inlineStr"/>
      <c r="BG67" t="n">
        <v>0.63919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-1.065981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0.486874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n">
        <v>1.635769</v>
      </c>
      <c r="DX67" t="inlineStr"/>
      <c r="DY67" t="inlineStr"/>
      <c r="DZ67" t="inlineStr"/>
    </row>
    <row r="68">
      <c r="A68" t="inlineStr">
        <is>
          <t>05/15/2026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-4.589235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-2.682883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-0.886504</v>
      </c>
      <c r="CZ68" t="n">
        <v>-0.894547</v>
      </c>
      <c r="DA68" t="n">
        <v>1.866646</v>
      </c>
      <c r="DB68" t="inlineStr"/>
      <c r="DC68" t="inlineStr"/>
      <c r="DD68" t="inlineStr"/>
      <c r="DE68" t="inlineStr"/>
      <c r="DF68" t="inlineStr"/>
      <c r="DG68" t="n">
        <v>2.050919</v>
      </c>
      <c r="DH68" t="inlineStr"/>
      <c r="DI68" t="inlineStr"/>
      <c r="DJ68" t="inlineStr"/>
      <c r="DK68" t="inlineStr"/>
      <c r="DL68" t="inlineStr"/>
      <c r="DM68" t="inlineStr"/>
      <c r="DN68" t="n">
        <v>1.005484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</row>
    <row r="69">
      <c r="A69" t="inlineStr">
        <is>
          <t>05/14/2026</t>
        </is>
      </c>
      <c r="B69" t="n">
        <v>0.475146</v>
      </c>
      <c r="C69" t="n">
        <v>0.490852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-1.338688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1.779026</v>
      </c>
      <c r="BJ69" t="n">
        <v>1.757469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-6.298133</v>
      </c>
      <c r="BT69" t="inlineStr"/>
      <c r="BU69" t="inlineStr"/>
      <c r="BV69" t="inlineStr"/>
      <c r="BW69" t="inlineStr"/>
      <c r="BX69" t="inlineStr"/>
      <c r="BY69" t="inlineStr"/>
      <c r="BZ69" t="inlineStr"/>
      <c r="CA69" t="n">
        <v>1.652893</v>
      </c>
      <c r="CB69" t="n">
        <v>1.470588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3.481393</v>
      </c>
      <c r="DY69" t="inlineStr"/>
      <c r="DZ69" t="inlineStr"/>
    </row>
    <row r="70">
      <c r="A70" t="inlineStr">
        <is>
          <t>05/13/2026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2.01005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0.7450329999999999</v>
      </c>
      <c r="AI70" t="inlineStr"/>
      <c r="AJ70" t="inlineStr"/>
      <c r="AK70" t="inlineStr"/>
      <c r="AL70" t="n">
        <v>1.169978</v>
      </c>
      <c r="AM70" t="inlineStr"/>
      <c r="AN70" t="inlineStr"/>
      <c r="AO70" t="inlineStr"/>
      <c r="AP70" t="inlineStr"/>
      <c r="AQ70" t="n">
        <v>0.434084</v>
      </c>
      <c r="AR70" t="inlineStr"/>
      <c r="AS70" t="inlineStr"/>
      <c r="AT70" t="inlineStr"/>
      <c r="AU70" t="inlineStr"/>
      <c r="AV70" t="inlineStr"/>
      <c r="AW70" t="inlineStr"/>
      <c r="AX70" t="inlineStr"/>
      <c r="AY70" t="n">
        <v>0.714761</v>
      </c>
      <c r="AZ70" t="n">
        <v>0.721154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0.677993</v>
      </c>
      <c r="BN70" t="n">
        <v>0.682812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0.684447</v>
      </c>
      <c r="CD70" t="inlineStr"/>
      <c r="CE70" t="inlineStr"/>
      <c r="CF70" t="n">
        <v>2.186396</v>
      </c>
      <c r="CG70" t="n">
        <v>1.306165</v>
      </c>
      <c r="CH70" t="n">
        <v>1.304579</v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1.524588</v>
      </c>
      <c r="CR70" t="n">
        <v>1.540179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n">
        <v>1.516336</v>
      </c>
      <c r="DE70" t="inlineStr"/>
      <c r="DF70" t="inlineStr"/>
      <c r="DG70" t="n">
        <v>-0.744753</v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n">
        <v>0.413365</v>
      </c>
      <c r="DZ70" t="inlineStr"/>
    </row>
    <row r="71">
      <c r="A71" t="inlineStr">
        <is>
          <t>05/12/2026</t>
        </is>
      </c>
      <c r="B71" t="inlineStr"/>
      <c r="C71" t="inlineStr"/>
      <c r="D71" t="inlineStr"/>
      <c r="E71" t="inlineStr"/>
      <c r="F71" t="inlineStr"/>
      <c r="G71" t="inlineStr"/>
      <c r="H71" t="n">
        <v>-0.356803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-1.322314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0.830353</v>
      </c>
      <c r="BB71" t="n">
        <v>0.834149</v>
      </c>
      <c r="BC71" t="n">
        <v>-1.198409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2.604817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2.953923</v>
      </c>
      <c r="CZ71" t="n">
        <v>2.959973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-2.090909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</row>
    <row r="72">
      <c r="A72" t="inlineStr">
        <is>
          <t>05/11/2026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1.045478</v>
      </c>
      <c r="U72" t="n">
        <v>1.053066</v>
      </c>
      <c r="V72" t="n">
        <v>-2.366864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-2.207578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-1.075269</v>
      </c>
      <c r="CJ72" t="n">
        <v>-1.060554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</row>
    <row r="73">
      <c r="A73" t="inlineStr">
        <is>
          <t>05/08/2026</t>
        </is>
      </c>
      <c r="B73" t="n">
        <v>0.220103</v>
      </c>
      <c r="C73" t="n">
        <v>0.179131</v>
      </c>
      <c r="D73" t="inlineStr"/>
      <c r="E73" t="inlineStr"/>
      <c r="F73" t="inlineStr"/>
      <c r="G73" t="inlineStr"/>
      <c r="H73" t="inlineStr"/>
      <c r="I73" t="inlineStr"/>
      <c r="J73" t="inlineStr"/>
      <c r="K73" t="n">
        <v>1.874711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3.873303</v>
      </c>
      <c r="U73" t="n">
        <v>3.860176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1.484147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0.15864</v>
      </c>
      <c r="AS73" t="n">
        <v>-0.869498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0.512103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2.904611</v>
      </c>
      <c r="BT73" t="inlineStr"/>
      <c r="BU73" t="inlineStr"/>
      <c r="BV73" t="inlineStr"/>
      <c r="BW73" t="inlineStr"/>
      <c r="BX73" t="inlineStr"/>
      <c r="BY73" t="inlineStr"/>
      <c r="BZ73" t="inlineStr"/>
      <c r="CA73" t="n">
        <v>-0.27894</v>
      </c>
      <c r="CB73" t="n">
        <v>-0.331126</v>
      </c>
      <c r="CC73" t="inlineStr"/>
      <c r="CD73" t="inlineStr"/>
      <c r="CE73" t="inlineStr"/>
      <c r="CF73" t="inlineStr"/>
      <c r="CG73" t="inlineStr"/>
      <c r="CH73" t="inlineStr"/>
      <c r="CI73" t="n">
        <v>0.821288</v>
      </c>
      <c r="CJ73" t="n">
        <v>0.8278720000000001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2.342488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</row>
    <row r="74">
      <c r="A74" t="inlineStr">
        <is>
          <t>05/07/2026</t>
        </is>
      </c>
      <c r="B74" t="inlineStr"/>
      <c r="C74" t="inlineStr"/>
      <c r="D74" t="inlineStr"/>
      <c r="E74" t="inlineStr"/>
      <c r="F74" t="inlineStr"/>
      <c r="G74" t="inlineStr"/>
      <c r="H74" t="n">
        <v>-1.418051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0.931507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6.908463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4.633782</v>
      </c>
      <c r="CZ74" t="n">
        <v>4.627903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n">
        <v>-1.971522</v>
      </c>
      <c r="DX74" t="inlineStr"/>
      <c r="DY74" t="inlineStr"/>
      <c r="DZ74" t="inlineStr"/>
    </row>
    <row r="75">
      <c r="A75" t="inlineStr">
        <is>
          <t>05/06/2026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-2.89222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-1.268938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-1.254902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3.28451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</row>
    <row r="76">
      <c r="A76" t="inlineStr">
        <is>
          <t>05/05/2026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2.636054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0.962808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2.021564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7.105431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0.7626309999999999</v>
      </c>
      <c r="CJ76" t="n">
        <v>0.7674339999999999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5.382733</v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-5.477855</v>
      </c>
      <c r="DY76" t="inlineStr"/>
      <c r="DZ76" t="inlineStr"/>
    </row>
    <row r="77">
      <c r="A77" t="inlineStr">
        <is>
          <t>05/04/2026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0.812348</v>
      </c>
      <c r="J77" t="n">
        <v>0.809339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0.639659</v>
      </c>
      <c r="W77" t="inlineStr"/>
      <c r="X77" t="inlineStr"/>
      <c r="Y77" t="inlineStr"/>
      <c r="Z77" t="inlineStr"/>
      <c r="AA77" t="n">
        <v>0.128921</v>
      </c>
      <c r="AB77" t="n">
        <v>0.12844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0.811496</v>
      </c>
      <c r="AN77" t="n">
        <v>0.803939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-0.426959</v>
      </c>
      <c r="AX77" t="n">
        <v>-0.42334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2.728905</v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</row>
    <row r="78">
      <c r="A78" t="inlineStr">
        <is>
          <t>05/01/2026</t>
        </is>
      </c>
      <c r="B78" t="n">
        <v>0.329791</v>
      </c>
      <c r="C78" t="n">
        <v>0.313059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-0.470266</v>
      </c>
      <c r="AF78" t="n">
        <v>-0.484352</v>
      </c>
      <c r="AG78" t="n">
        <v>-1.779279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-0.2691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-0.643213</v>
      </c>
      <c r="BT78" t="inlineStr"/>
      <c r="BU78" t="inlineStr"/>
      <c r="BV78" t="inlineStr"/>
      <c r="BW78" t="inlineStr"/>
      <c r="BX78" t="inlineStr"/>
      <c r="BY78" t="inlineStr"/>
      <c r="BZ78" t="inlineStr"/>
      <c r="CA78" t="n">
        <v>0.556328</v>
      </c>
      <c r="CB78" t="n">
        <v>0.661157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1.263158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2.797203</v>
      </c>
      <c r="DY78" t="inlineStr"/>
      <c r="DZ78" t="inlineStr"/>
    </row>
    <row r="79">
      <c r="A79" t="inlineStr">
        <is>
          <t>04/30/2026</t>
        </is>
      </c>
      <c r="B79" t="inlineStr"/>
      <c r="C79" t="inlineStr"/>
      <c r="D79" t="inlineStr"/>
      <c r="E79" t="n">
        <v>-0.973428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0.331345</v>
      </c>
      <c r="S79" t="n">
        <v>0.320892</v>
      </c>
      <c r="T79" t="inlineStr"/>
      <c r="U79" t="inlineStr"/>
      <c r="V79" t="inlineStr"/>
      <c r="W79" t="inlineStr"/>
      <c r="X79" t="inlineStr"/>
      <c r="Y79" t="n">
        <v>-0.563952</v>
      </c>
      <c r="Z79" t="n">
        <v>-0.568666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-1.419214</v>
      </c>
      <c r="AI79" t="inlineStr"/>
      <c r="AJ79" t="inlineStr"/>
      <c r="AK79" t="n">
        <v>0.584174</v>
      </c>
      <c r="AL79" t="n">
        <v>0.583022</v>
      </c>
      <c r="AM79" t="inlineStr"/>
      <c r="AN79" t="inlineStr"/>
      <c r="AO79" t="inlineStr"/>
      <c r="AP79" t="inlineStr"/>
      <c r="AQ79" t="n">
        <v>0.3807</v>
      </c>
      <c r="AR79" t="inlineStr"/>
      <c r="AS79" t="inlineStr"/>
      <c r="AT79" t="inlineStr"/>
      <c r="AU79" t="inlineStr"/>
      <c r="AV79" t="inlineStr"/>
      <c r="AW79" t="inlineStr"/>
      <c r="AX79" t="inlineStr"/>
      <c r="AY79" t="n">
        <v>0.924116</v>
      </c>
      <c r="AZ79" t="n">
        <v>0.9341429999999999</v>
      </c>
      <c r="BA79" t="inlineStr"/>
      <c r="BB79" t="inlineStr"/>
      <c r="BC79" t="inlineStr"/>
      <c r="BD79" t="inlineStr"/>
      <c r="BE79" t="inlineStr"/>
      <c r="BF79" t="inlineStr"/>
      <c r="BG79" t="n">
        <v>-0.378414</v>
      </c>
      <c r="BH79" t="n">
        <v>-0.385914</v>
      </c>
      <c r="BI79" t="inlineStr"/>
      <c r="BJ79" t="inlineStr"/>
      <c r="BK79" t="inlineStr"/>
      <c r="BL79" t="inlineStr"/>
      <c r="BM79" t="n">
        <v>0.324726</v>
      </c>
      <c r="BN79" t="n">
        <v>0.317393</v>
      </c>
      <c r="BO79" t="inlineStr"/>
      <c r="BP79" t="inlineStr"/>
      <c r="BQ79" t="inlineStr"/>
      <c r="BR79" t="inlineStr"/>
      <c r="BS79" t="n">
        <v>0.607501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n">
        <v>0.076941</v>
      </c>
      <c r="CD79" t="inlineStr"/>
      <c r="CE79" t="inlineStr"/>
      <c r="CF79" t="n">
        <v>2.264539</v>
      </c>
      <c r="CG79" t="n">
        <v>0.90342</v>
      </c>
      <c r="CH79" t="n">
        <v>0.90411</v>
      </c>
      <c r="CI79" t="inlineStr"/>
      <c r="CJ79" t="inlineStr"/>
      <c r="CK79" t="inlineStr"/>
      <c r="CL79" t="inlineStr"/>
      <c r="CM79" t="n">
        <v>-0.637409</v>
      </c>
      <c r="CN79" t="n">
        <v>-0.652424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1.420455</v>
      </c>
      <c r="DC79" t="n">
        <v>0.555263</v>
      </c>
      <c r="DD79" t="n">
        <v>0.557312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0.310613</v>
      </c>
      <c r="DZ79" t="inlineStr"/>
    </row>
    <row r="80">
      <c r="A80" t="inlineStr">
        <is>
          <t>04/29/2026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1.030324</v>
      </c>
      <c r="J80" t="n">
        <v>1.020568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1.409245</v>
      </c>
      <c r="W80" t="inlineStr"/>
      <c r="X80" t="inlineStr"/>
      <c r="Y80" t="inlineStr"/>
      <c r="Z80" t="inlineStr"/>
      <c r="AA80" t="n">
        <v>0.290192</v>
      </c>
      <c r="AB80" t="n">
        <v>0.321247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1.257541</v>
      </c>
      <c r="AN80" t="n">
        <v>1.252399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0.06647699999999999</v>
      </c>
      <c r="AX80" t="n">
        <v>0.062906</v>
      </c>
      <c r="AY80" t="inlineStr"/>
      <c r="AZ80" t="inlineStr"/>
      <c r="BA80" t="n">
        <v>2.564063</v>
      </c>
      <c r="BB80" t="n">
        <v>2.564108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</row>
    <row r="81">
      <c r="A81" t="inlineStr">
        <is>
          <t>04/28/2026</t>
        </is>
      </c>
      <c r="B81" t="n">
        <v>0.329429</v>
      </c>
      <c r="C81" t="n">
        <v>0.357462</v>
      </c>
      <c r="D81" t="inlineStr"/>
      <c r="E81" t="inlineStr"/>
      <c r="F81" t="inlineStr"/>
      <c r="G81" t="inlineStr"/>
      <c r="H81" t="n">
        <v>-0.440534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0.454803</v>
      </c>
      <c r="BB81" t="n">
        <v>0.458204</v>
      </c>
      <c r="BC81" t="n">
        <v>-4.031069</v>
      </c>
      <c r="BD81" t="inlineStr"/>
      <c r="BE81" t="inlineStr"/>
      <c r="BF81" t="inlineStr"/>
      <c r="BG81" t="inlineStr"/>
      <c r="BH81" t="n">
        <v>-1.028907</v>
      </c>
      <c r="BI81" t="n">
        <v>0.953062</v>
      </c>
      <c r="BJ81" t="n">
        <v>0.91954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0.689511</v>
      </c>
      <c r="BU81" t="inlineStr"/>
      <c r="BV81" t="inlineStr"/>
      <c r="BW81" t="inlineStr"/>
      <c r="BX81" t="inlineStr"/>
      <c r="BY81" t="inlineStr"/>
      <c r="BZ81" t="inlineStr"/>
      <c r="CA81" t="n">
        <v>0.689655</v>
      </c>
      <c r="CB81" t="n">
        <v>0.654664</v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-0.788704</v>
      </c>
      <c r="CZ81" t="n">
        <v>-0.7875490000000001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n">
        <v>2.166477</v>
      </c>
      <c r="DY81" t="inlineStr"/>
      <c r="DZ81" t="inlineStr"/>
    </row>
    <row r="82">
      <c r="A82" t="inlineStr">
        <is>
          <t>04/27/2026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0.658979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1.786023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</row>
    <row r="83">
      <c r="A83" t="inlineStr">
        <is>
          <t>04/24/2026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-0.510671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-0.34965</v>
      </c>
      <c r="U83" t="n">
        <v>-0.35204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-0.8501379999999999</v>
      </c>
      <c r="AF83" t="n">
        <v>-0.864445</v>
      </c>
      <c r="AG83" t="inlineStr"/>
      <c r="AH83" t="inlineStr"/>
      <c r="AI83" t="inlineStr"/>
      <c r="AJ83" t="inlineStr"/>
      <c r="AK83" t="inlineStr"/>
      <c r="AL83" t="n">
        <v>0.4662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-0.017864</v>
      </c>
      <c r="AZ83" t="n">
        <v>0</v>
      </c>
      <c r="BA83" t="inlineStr"/>
      <c r="BB83" t="inlineStr"/>
      <c r="BC83" t="inlineStr"/>
      <c r="BD83" t="inlineStr"/>
      <c r="BE83" t="inlineStr"/>
      <c r="BF83" t="inlineStr"/>
      <c r="BG83" t="n">
        <v>-1.269684</v>
      </c>
      <c r="BH83" t="n">
        <v>-1.277327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0.20403</v>
      </c>
      <c r="CG83" t="inlineStr"/>
      <c r="CH83" t="inlineStr"/>
      <c r="CI83" t="n">
        <v>-1.359899</v>
      </c>
      <c r="CJ83" t="n">
        <v>-1.36077</v>
      </c>
      <c r="CK83" t="n">
        <v>1.154606</v>
      </c>
      <c r="CL83" t="inlineStr"/>
      <c r="CM83" t="inlineStr"/>
      <c r="CN83" t="inlineStr"/>
      <c r="CO83" t="inlineStr"/>
      <c r="CP83" t="inlineStr"/>
      <c r="CQ83" t="n">
        <v>0.734135</v>
      </c>
      <c r="CR83" t="n">
        <v>0.711791</v>
      </c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0.202931</v>
      </c>
    </row>
    <row r="84">
      <c r="A84" t="inlineStr">
        <is>
          <t>04/23/2026</t>
        </is>
      </c>
      <c r="B84" t="inlineStr"/>
      <c r="C84" t="inlineStr"/>
      <c r="D84" t="inlineStr"/>
      <c r="E84" t="inlineStr"/>
      <c r="F84" t="n">
        <v>0.230336</v>
      </c>
      <c r="G84" t="inlineStr"/>
      <c r="H84" t="n">
        <v>0.004014</v>
      </c>
      <c r="I84" t="inlineStr"/>
      <c r="J84" t="inlineStr"/>
      <c r="K84" t="inlineStr"/>
      <c r="L84" t="n">
        <v>0.360133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0.379816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0.216829</v>
      </c>
      <c r="AP84" t="inlineStr"/>
      <c r="AQ84" t="inlineStr"/>
      <c r="AR84" t="inlineStr"/>
      <c r="AS84" t="n">
        <v>-0.1711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6.417229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0.653095</v>
      </c>
      <c r="CR84" t="inlineStr"/>
      <c r="CS84" t="inlineStr"/>
      <c r="CT84" t="inlineStr"/>
      <c r="CU84" t="inlineStr"/>
      <c r="CV84" t="inlineStr"/>
      <c r="CW84" t="inlineStr"/>
      <c r="CX84" t="inlineStr"/>
      <c r="CY84" t="n">
        <v>3.618463</v>
      </c>
      <c r="CZ84" t="n">
        <v>3.617863</v>
      </c>
      <c r="DA84" t="inlineStr"/>
      <c r="DB84" t="inlineStr"/>
      <c r="DC84" t="inlineStr"/>
      <c r="DD84" t="inlineStr"/>
      <c r="DE84" t="inlineStr"/>
      <c r="DF84" t="n">
        <v>0.417335</v>
      </c>
      <c r="DG84" t="inlineStr"/>
      <c r="DH84" t="n">
        <v>1.012658</v>
      </c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</row>
    <row r="85">
      <c r="A85" t="inlineStr">
        <is>
          <t>04/22/2026</t>
        </is>
      </c>
      <c r="B85" t="inlineStr"/>
      <c r="C85" t="inlineStr"/>
      <c r="D85" t="n">
        <v>-3.121827</v>
      </c>
      <c r="E85" t="inlineStr"/>
      <c r="F85" t="n">
        <v>1.480106</v>
      </c>
      <c r="G85" t="inlineStr"/>
      <c r="H85" t="inlineStr"/>
      <c r="I85" t="inlineStr"/>
      <c r="J85" t="inlineStr"/>
      <c r="K85" t="n">
        <v>-0.12224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2.615947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-0.245356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1.765776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n">
        <v>-1.602229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</row>
    <row r="86">
      <c r="A86" t="inlineStr">
        <is>
          <t>04/21/2026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4.309875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</row>
    <row r="87">
      <c r="A87" t="inlineStr">
        <is>
          <t>04/20/2026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-1.321952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2.092511</v>
      </c>
      <c r="U87" t="n">
        <v>2.086957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-1.494856</v>
      </c>
      <c r="BB87" t="n">
        <v>-1.494588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n">
        <v>1.194743</v>
      </c>
      <c r="DV87" t="inlineStr"/>
      <c r="DW87" t="inlineStr"/>
      <c r="DX87" t="inlineStr"/>
      <c r="DY87" t="inlineStr"/>
      <c r="DZ87" t="inlineStr"/>
    </row>
    <row r="88">
      <c r="A88" t="inlineStr">
        <is>
          <t>04/17/2026</t>
        </is>
      </c>
      <c r="B88" t="n">
        <v>0.110173</v>
      </c>
      <c r="C88" t="n">
        <v>0.08960600000000001</v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0.953252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0.52277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0.420206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-0.27972</v>
      </c>
      <c r="CB88" t="n">
        <v>-0.331126</v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0.449775</v>
      </c>
      <c r="DL88" t="inlineStr"/>
      <c r="DM88" t="inlineStr"/>
      <c r="DN88" t="inlineStr"/>
      <c r="DO88" t="inlineStr"/>
      <c r="DP88" t="inlineStr"/>
      <c r="DQ88" t="inlineStr"/>
      <c r="DR88" t="inlineStr"/>
      <c r="DS88" t="n">
        <v>1.194539</v>
      </c>
      <c r="DT88" t="inlineStr"/>
      <c r="DU88" t="inlineStr"/>
      <c r="DV88" t="inlineStr"/>
      <c r="DW88" t="inlineStr"/>
      <c r="DX88" t="inlineStr"/>
      <c r="DY88" t="inlineStr"/>
      <c r="DZ88" t="inlineStr"/>
    </row>
    <row r="89">
      <c r="A89" t="inlineStr">
        <is>
          <t>04/16/2026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2.919321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</row>
    <row r="90">
      <c r="A90" t="inlineStr">
        <is>
          <t>04/15/2026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-0.685293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</row>
    <row r="91">
      <c r="A91" t="inlineStr">
        <is>
          <t>04/14/2026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-1.898542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-0.97993</v>
      </c>
      <c r="AF91" t="n">
        <v>-0.990926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-0.142214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-0.091582</v>
      </c>
      <c r="BH91" t="n">
        <v>-0.09927999999999999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0.887372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</row>
    <row r="92">
      <c r="A92" t="inlineStr">
        <is>
          <t>04/13/2026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-0.551318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0.740389</v>
      </c>
      <c r="AF92" t="n">
        <v>0.733614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0.704141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</row>
    <row r="93">
      <c r="A93" t="inlineStr">
        <is>
          <t>04/10/2026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0.435464</v>
      </c>
      <c r="U93" t="n">
        <v>0.433079</v>
      </c>
      <c r="V93" t="n">
        <v>0.444444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1.555827</v>
      </c>
      <c r="CJ93" t="n">
        <v>1.536</v>
      </c>
      <c r="CK93" t="inlineStr"/>
      <c r="CL93" t="inlineStr"/>
      <c r="CM93" t="inlineStr"/>
      <c r="CN93" t="inlineStr"/>
      <c r="CO93" t="n">
        <v>1.239101</v>
      </c>
      <c r="CP93" t="n">
        <v>1.226216</v>
      </c>
      <c r="CQ93" t="n">
        <v>-0.331868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1.320132</v>
      </c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</row>
    <row r="94">
      <c r="A94" t="inlineStr">
        <is>
          <t>04/09/2026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-0.651511</v>
      </c>
      <c r="AI94" t="inlineStr"/>
      <c r="AJ94" t="inlineStr"/>
      <c r="AK94" t="inlineStr"/>
      <c r="AL94" t="n">
        <v>0.452602</v>
      </c>
      <c r="AM94" t="inlineStr"/>
      <c r="AN94" t="inlineStr"/>
      <c r="AO94" t="inlineStr"/>
      <c r="AP94" t="inlineStr"/>
      <c r="AQ94" t="n">
        <v>-0.221352</v>
      </c>
      <c r="AR94" t="inlineStr"/>
      <c r="AS94" t="inlineStr"/>
      <c r="AT94" t="inlineStr"/>
      <c r="AU94" t="inlineStr"/>
      <c r="AV94" t="inlineStr"/>
      <c r="AW94" t="inlineStr"/>
      <c r="AX94" t="inlineStr"/>
      <c r="AY94" t="n">
        <v>0.136002</v>
      </c>
      <c r="AZ94" t="n">
        <v>0.127584</v>
      </c>
      <c r="BA94" t="inlineStr"/>
      <c r="BB94" t="inlineStr"/>
      <c r="BC94" t="inlineStr"/>
      <c r="BD94" t="inlineStr"/>
      <c r="BE94" t="inlineStr"/>
      <c r="BF94" t="inlineStr"/>
      <c r="BG94" t="n">
        <v>0.23455</v>
      </c>
      <c r="BH94" t="n">
        <v>0.203252</v>
      </c>
      <c r="BI94" t="inlineStr"/>
      <c r="BJ94" t="inlineStr"/>
      <c r="BK94" t="inlineStr"/>
      <c r="BL94" t="inlineStr"/>
      <c r="BM94" t="n">
        <v>-0.640039</v>
      </c>
      <c r="BN94" t="n">
        <v>-0.642659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-0.233909</v>
      </c>
      <c r="CD94" t="inlineStr"/>
      <c r="CE94" t="inlineStr"/>
      <c r="CF94" t="n">
        <v>0.548613</v>
      </c>
      <c r="CG94" t="n">
        <v>-0.458605</v>
      </c>
      <c r="CH94" t="n">
        <v>-0.47619</v>
      </c>
      <c r="CI94" t="inlineStr"/>
      <c r="CJ94" t="inlineStr"/>
      <c r="CK94" t="n">
        <v>-1.253761</v>
      </c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-0.212589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1.136364</v>
      </c>
      <c r="DV94" t="inlineStr"/>
      <c r="DW94" t="inlineStr"/>
      <c r="DX94" t="inlineStr"/>
      <c r="DY94" t="n">
        <v>-0.442713</v>
      </c>
      <c r="DZ94" t="inlineStr"/>
    </row>
    <row r="95">
      <c r="A95" t="inlineStr">
        <is>
          <t>04/08/2026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0.615612</v>
      </c>
      <c r="J95" t="n">
        <v>0.610561</v>
      </c>
      <c r="K95" t="n">
        <v>-0.252313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0.096791</v>
      </c>
      <c r="AB95" t="n">
        <v>0.096126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0.407385</v>
      </c>
      <c r="AN95" t="n">
        <v>0.411904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-0.096826</v>
      </c>
      <c r="AX95" t="n">
        <v>-0.103925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1.090988</v>
      </c>
      <c r="BH95" t="n">
        <v>1.104547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</row>
    <row r="96">
      <c r="A96" t="inlineStr">
        <is>
          <t>04/07/2026</t>
        </is>
      </c>
      <c r="B96" t="inlineStr"/>
      <c r="C96" t="inlineStr"/>
      <c r="D96" t="n">
        <v>1.963515</v>
      </c>
      <c r="E96" t="n">
        <v>1.966595</v>
      </c>
      <c r="F96" t="n">
        <v>-3.327572</v>
      </c>
      <c r="G96" t="inlineStr"/>
      <c r="H96" t="inlineStr"/>
      <c r="I96" t="n">
        <v>2.498738</v>
      </c>
      <c r="J96" t="n">
        <v>2.503383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4.236902</v>
      </c>
      <c r="S96" t="n">
        <v>4.235158</v>
      </c>
      <c r="T96" t="inlineStr"/>
      <c r="U96" t="inlineStr"/>
      <c r="V96" t="inlineStr"/>
      <c r="W96" t="inlineStr"/>
      <c r="X96" t="inlineStr"/>
      <c r="Y96" t="n">
        <v>3.865546</v>
      </c>
      <c r="Z96" t="n">
        <v>3.870578</v>
      </c>
      <c r="AA96" t="n">
        <v>0.615915</v>
      </c>
      <c r="AB96" t="n">
        <v>0.580751</v>
      </c>
      <c r="AC96" t="inlineStr"/>
      <c r="AD96" t="inlineStr"/>
      <c r="AE96" t="n">
        <v>3.079588</v>
      </c>
      <c r="AF96" t="n">
        <v>3.072047</v>
      </c>
      <c r="AG96" t="inlineStr"/>
      <c r="AH96" t="n">
        <v>5.619147</v>
      </c>
      <c r="AI96" t="inlineStr"/>
      <c r="AJ96" t="inlineStr"/>
      <c r="AK96" t="inlineStr"/>
      <c r="AL96" t="n">
        <v>2.975724</v>
      </c>
      <c r="AM96" t="n">
        <v>1.980023</v>
      </c>
      <c r="AN96" t="n">
        <v>1.974168</v>
      </c>
      <c r="AO96" t="inlineStr"/>
      <c r="AP96" t="inlineStr"/>
      <c r="AQ96" t="n">
        <v>3.171117</v>
      </c>
      <c r="AR96" t="inlineStr"/>
      <c r="AS96" t="inlineStr"/>
      <c r="AT96" t="inlineStr"/>
      <c r="AU96" t="inlineStr"/>
      <c r="AV96" t="inlineStr"/>
      <c r="AW96" t="n">
        <v>0.249601</v>
      </c>
      <c r="AX96" t="n">
        <v>0.248437</v>
      </c>
      <c r="AY96" t="n">
        <v>2.899134</v>
      </c>
      <c r="AZ96" t="n">
        <v>2.882073</v>
      </c>
      <c r="BA96" t="inlineStr"/>
      <c r="BB96" t="inlineStr"/>
      <c r="BC96" t="inlineStr"/>
      <c r="BD96" t="inlineStr"/>
      <c r="BE96" t="inlineStr"/>
      <c r="BF96" t="inlineStr"/>
      <c r="BG96" t="n">
        <v>2.553463</v>
      </c>
      <c r="BH96" t="n">
        <v>2.555321</v>
      </c>
      <c r="BI96" t="inlineStr"/>
      <c r="BJ96" t="inlineStr"/>
      <c r="BK96" t="inlineStr"/>
      <c r="BL96" t="inlineStr"/>
      <c r="BM96" t="n">
        <v>3.053756</v>
      </c>
      <c r="BN96" t="n">
        <v>3.04843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n">
        <v>2.149199</v>
      </c>
      <c r="CD96" t="inlineStr"/>
      <c r="CE96" t="inlineStr"/>
      <c r="CF96" t="n">
        <v>4.673496</v>
      </c>
      <c r="CG96" t="n">
        <v>5.924201</v>
      </c>
      <c r="CH96" t="n">
        <v>5.910438</v>
      </c>
      <c r="CI96" t="inlineStr"/>
      <c r="CJ96" t="inlineStr"/>
      <c r="CK96" t="inlineStr"/>
      <c r="CL96" t="inlineStr"/>
      <c r="CM96" t="n">
        <v>5.672418</v>
      </c>
      <c r="CN96" t="n">
        <v>5.668016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n">
        <v>5.029361</v>
      </c>
      <c r="DD96" t="n">
        <v>5.030458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-5.720339</v>
      </c>
      <c r="DV96" t="inlineStr"/>
      <c r="DW96" t="inlineStr"/>
      <c r="DX96" t="inlineStr"/>
      <c r="DY96" t="n">
        <v>2.612827</v>
      </c>
      <c r="DZ96" t="inlineStr"/>
    </row>
    <row r="97">
      <c r="A97" t="inlineStr">
        <is>
          <t>04/06/2026</t>
        </is>
      </c>
      <c r="B97" t="n">
        <v>-0.036284</v>
      </c>
      <c r="C97" t="n">
        <v>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-1.517805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0.131406</v>
      </c>
      <c r="CB97" t="n">
        <v>0.155521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</row>
    <row r="98">
      <c r="A98" t="inlineStr">
        <is>
          <t>04/02/2026</t>
        </is>
      </c>
      <c r="B98" t="inlineStr"/>
      <c r="C98" t="inlineStr"/>
      <c r="D98" t="n">
        <v>-0.375156</v>
      </c>
      <c r="E98" t="inlineStr"/>
      <c r="F98" t="n">
        <v>-4.114483</v>
      </c>
      <c r="G98" t="inlineStr"/>
      <c r="H98" t="inlineStr"/>
      <c r="I98" t="inlineStr"/>
      <c r="J98" t="inlineStr"/>
      <c r="K98" t="n">
        <v>-0.612083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0.28768</v>
      </c>
      <c r="AS98" t="n">
        <v>0.577653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0.395987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n">
        <v>0.934929</v>
      </c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-0.864865</v>
      </c>
      <c r="DY98" t="inlineStr"/>
      <c r="DZ98" t="inlineStr"/>
    </row>
    <row r="99">
      <c r="A99" t="inlineStr">
        <is>
          <t>04/01/2026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-3.567251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-0.593208</v>
      </c>
      <c r="AI99" t="inlineStr"/>
      <c r="AJ99" t="inlineStr"/>
      <c r="AK99" t="inlineStr"/>
      <c r="AL99" t="n">
        <v>0.052687</v>
      </c>
      <c r="AM99" t="inlineStr"/>
      <c r="AN99" t="inlineStr"/>
      <c r="AO99" t="inlineStr"/>
      <c r="AP99" t="inlineStr"/>
      <c r="AQ99" t="n">
        <v>0.070621</v>
      </c>
      <c r="AR99" t="inlineStr"/>
      <c r="AS99" t="inlineStr"/>
      <c r="AT99" t="inlineStr"/>
      <c r="AU99" t="inlineStr"/>
      <c r="AV99" t="inlineStr"/>
      <c r="AW99" t="inlineStr"/>
      <c r="AX99" t="inlineStr"/>
      <c r="AY99" t="n">
        <v>0.10142</v>
      </c>
      <c r="AZ99" t="n">
        <v>0.07989300000000001</v>
      </c>
      <c r="BA99" t="inlineStr"/>
      <c r="BB99" t="inlineStr"/>
      <c r="BC99" t="inlineStr"/>
      <c r="BD99" t="inlineStr"/>
      <c r="BE99" t="inlineStr"/>
      <c r="BF99" t="inlineStr"/>
      <c r="BG99" t="n">
        <v>2.42145</v>
      </c>
      <c r="BH99" t="n">
        <v>2.406056</v>
      </c>
      <c r="BI99" t="inlineStr"/>
      <c r="BJ99" t="inlineStr"/>
      <c r="BK99" t="inlineStr"/>
      <c r="BL99" t="inlineStr"/>
      <c r="BM99" t="n">
        <v>0.495092</v>
      </c>
      <c r="BN99" t="n">
        <v>0.501867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0.24284</v>
      </c>
      <c r="CD99" t="inlineStr"/>
      <c r="CE99" t="inlineStr"/>
      <c r="CF99" t="inlineStr"/>
      <c r="CG99" t="n">
        <v>1.392758</v>
      </c>
      <c r="CH99" t="n">
        <v>1.3842</v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0.208748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0.211864</v>
      </c>
      <c r="DV99" t="inlineStr"/>
      <c r="DW99" t="inlineStr"/>
      <c r="DX99" t="inlineStr"/>
      <c r="DY99" t="inlineStr"/>
      <c r="DZ99" t="inlineStr"/>
    </row>
    <row r="100">
      <c r="A100" t="inlineStr">
        <is>
          <t>03/31/2026</t>
        </is>
      </c>
      <c r="B100" t="inlineStr"/>
      <c r="C100" t="inlineStr"/>
      <c r="D100" t="inlineStr"/>
      <c r="E100" t="n">
        <v>0.982801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-0.024355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2.477204</v>
      </c>
      <c r="AI100" t="inlineStr"/>
      <c r="AJ100" t="inlineStr"/>
      <c r="AK100" t="n">
        <v>1.277113</v>
      </c>
      <c r="AL100" t="n">
        <v>1.307713</v>
      </c>
      <c r="AM100" t="inlineStr"/>
      <c r="AN100" t="inlineStr"/>
      <c r="AO100" t="inlineStr"/>
      <c r="AP100" t="inlineStr"/>
      <c r="AQ100" t="n">
        <v>1.178992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1.169711</v>
      </c>
      <c r="AZ100" t="n">
        <v>1.185664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0.939169</v>
      </c>
      <c r="BN100" t="n">
        <v>0.942507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n">
        <v>0.134161</v>
      </c>
      <c r="CD100" t="inlineStr"/>
      <c r="CE100" t="inlineStr"/>
      <c r="CF100" t="n">
        <v>2.217742</v>
      </c>
      <c r="CG100" t="n">
        <v>1.262592</v>
      </c>
      <c r="CH100" t="n">
        <v>1.264957</v>
      </c>
      <c r="CI100" t="inlineStr"/>
      <c r="CJ100" t="inlineStr"/>
      <c r="CK100" t="inlineStr"/>
      <c r="CL100" t="inlineStr"/>
      <c r="CM100" t="n">
        <v>0.954996</v>
      </c>
      <c r="CN100" t="n">
        <v>0.949182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n">
        <v>1.432319</v>
      </c>
      <c r="DD100" t="n">
        <v>1.421514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-0.9443859999999999</v>
      </c>
      <c r="DV100" t="inlineStr"/>
      <c r="DW100" t="inlineStr"/>
      <c r="DX100" t="inlineStr"/>
      <c r="DY100" t="n">
        <v>0.388385</v>
      </c>
      <c r="DZ100" t="inlineStr"/>
    </row>
    <row r="101">
      <c r="A101" t="inlineStr">
        <is>
          <t>03/30/2026</t>
        </is>
      </c>
      <c r="B101" t="inlineStr"/>
      <c r="C101" t="inlineStr"/>
      <c r="D101" t="n">
        <v>11.189579</v>
      </c>
      <c r="E101" t="inlineStr"/>
      <c r="F101" t="n">
        <v>-2.032755</v>
      </c>
      <c r="G101" t="inlineStr"/>
      <c r="H101" t="n">
        <v>2.516774</v>
      </c>
      <c r="I101" t="n">
        <v>2.922206</v>
      </c>
      <c r="J101" t="n">
        <v>2.910053</v>
      </c>
      <c r="K101" t="inlineStr"/>
      <c r="L101" t="inlineStr"/>
      <c r="M101" t="inlineStr"/>
      <c r="N101" t="inlineStr"/>
      <c r="O101" t="inlineStr"/>
      <c r="P101" t="n">
        <v>0.144073</v>
      </c>
      <c r="Q101" t="n">
        <v>0.136302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0.949321</v>
      </c>
      <c r="AB101" t="n">
        <v>0.947391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1.714028</v>
      </c>
      <c r="AN101" t="n">
        <v>1.714347</v>
      </c>
      <c r="AO101" t="inlineStr"/>
      <c r="AP101" t="inlineStr"/>
      <c r="AQ101" t="inlineStr"/>
      <c r="AR101" t="n">
        <v>3.418468</v>
      </c>
      <c r="AS101" t="n">
        <v>2.275815</v>
      </c>
      <c r="AT101" t="inlineStr"/>
      <c r="AU101" t="inlineStr"/>
      <c r="AV101" t="inlineStr"/>
      <c r="AW101" t="n">
        <v>1.288937</v>
      </c>
      <c r="AX101" t="n">
        <v>1.290963</v>
      </c>
      <c r="AY101" t="inlineStr"/>
      <c r="AZ101" t="inlineStr"/>
      <c r="BA101" t="n">
        <v>4.736491</v>
      </c>
      <c r="BB101" t="n">
        <v>4.728431</v>
      </c>
      <c r="BC101" t="n">
        <v>10.066996</v>
      </c>
      <c r="BD101" t="inlineStr"/>
      <c r="BE101" t="inlineStr"/>
      <c r="BF101" t="inlineStr"/>
      <c r="BG101" t="inlineStr"/>
      <c r="BH101" t="n">
        <v>2.390881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6.318681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6.475111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</row>
    <row r="102">
      <c r="A102" t="inlineStr">
        <is>
          <t>03/27/2026</t>
        </is>
      </c>
      <c r="B102" t="inlineStr"/>
      <c r="C102" t="inlineStr"/>
      <c r="D102" t="n">
        <v>-0.994406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-0.078027</v>
      </c>
      <c r="S102" t="n">
        <v>-0.099325</v>
      </c>
      <c r="T102" t="inlineStr"/>
      <c r="U102" t="inlineStr"/>
      <c r="V102" t="n">
        <v>1.573317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-0.825991</v>
      </c>
      <c r="AM102" t="inlineStr"/>
      <c r="AN102" t="inlineStr"/>
      <c r="AO102" t="inlineStr"/>
      <c r="AP102" t="inlineStr"/>
      <c r="AQ102" t="inlineStr"/>
      <c r="AR102" t="inlineStr"/>
      <c r="AS102" t="n">
        <v>-0.228755</v>
      </c>
      <c r="AT102" t="inlineStr"/>
      <c r="AU102" t="inlineStr"/>
      <c r="AV102" t="inlineStr"/>
      <c r="AW102" t="inlineStr"/>
      <c r="AX102" t="inlineStr"/>
      <c r="AY102" t="n">
        <v>-0.779111</v>
      </c>
      <c r="AZ102" t="n">
        <v>-0.801769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0.615385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0.183352</v>
      </c>
      <c r="CJ102" t="n">
        <v>0.192308</v>
      </c>
      <c r="CK102" t="inlineStr"/>
      <c r="CL102" t="inlineStr"/>
      <c r="CM102" t="n">
        <v>0.188277</v>
      </c>
      <c r="CN102" t="n">
        <v>0.168867</v>
      </c>
      <c r="CO102" t="n">
        <v>0.294118</v>
      </c>
      <c r="CP102" t="n">
        <v>0.225734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-1.038004</v>
      </c>
      <c r="CZ102" t="n">
        <v>-1.035758</v>
      </c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2.052786</v>
      </c>
      <c r="DU102" t="inlineStr"/>
      <c r="DV102" t="inlineStr"/>
      <c r="DW102" t="inlineStr"/>
      <c r="DX102" t="inlineStr"/>
      <c r="DY102" t="n">
        <v>1.207871</v>
      </c>
      <c r="DZ102" t="inlineStr"/>
    </row>
    <row r="103">
      <c r="A103" t="inlineStr">
        <is>
          <t>03/26/2026</t>
        </is>
      </c>
      <c r="B103" t="n">
        <v>0.286021</v>
      </c>
      <c r="C103" t="n">
        <v>0.261552</v>
      </c>
      <c r="D103" t="inlineStr"/>
      <c r="E103" t="inlineStr"/>
      <c r="F103" t="inlineStr"/>
      <c r="G103" t="inlineStr"/>
      <c r="H103" t="n">
        <v>-1.291218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-2.753978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-2.922374</v>
      </c>
      <c r="BU103" t="inlineStr"/>
      <c r="BV103" t="inlineStr"/>
      <c r="BW103" t="inlineStr"/>
      <c r="BX103" t="inlineStr"/>
      <c r="BY103" t="inlineStr"/>
      <c r="BZ103" t="inlineStr"/>
      <c r="CA103" t="n">
        <v>0.634518</v>
      </c>
      <c r="CB103" t="n">
        <v>0.5997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-3.004222</v>
      </c>
      <c r="CZ103" t="n">
        <v>-3.013633</v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</row>
    <row r="104">
      <c r="A104" t="inlineStr">
        <is>
          <t>03/25/2026</t>
        </is>
      </c>
      <c r="B104" t="n">
        <v>0.611511</v>
      </c>
      <c r="C104" t="n">
        <v>0.614035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-0.965156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-2.075308</v>
      </c>
      <c r="AS104" t="n">
        <v>-0.588772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-5.241677</v>
      </c>
      <c r="BD104" t="inlineStr"/>
      <c r="BE104" t="inlineStr"/>
      <c r="BF104" t="inlineStr"/>
      <c r="BG104" t="inlineStr"/>
      <c r="BH104" t="n">
        <v>0.08312600000000001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</v>
      </c>
      <c r="CB104" t="n">
        <v>0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3.397893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n">
        <v>4.302204</v>
      </c>
      <c r="DY104" t="inlineStr"/>
      <c r="DZ104" t="inlineStr"/>
    </row>
    <row r="105">
      <c r="A105" t="inlineStr">
        <is>
          <t>03/24/2026</t>
        </is>
      </c>
      <c r="B105" t="inlineStr"/>
      <c r="C105" t="inlineStr"/>
      <c r="D105" t="inlineStr"/>
      <c r="E105" t="inlineStr"/>
      <c r="F105" t="inlineStr"/>
      <c r="G105" t="inlineStr"/>
      <c r="H105" t="n">
        <v>0.265327</v>
      </c>
      <c r="I105" t="n">
        <v>0.534759</v>
      </c>
      <c r="J105" t="n">
        <v>0.545889</v>
      </c>
      <c r="K105" t="inlineStr"/>
      <c r="L105" t="n">
        <v>2.992173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2.661147</v>
      </c>
      <c r="W105" t="inlineStr"/>
      <c r="X105" t="inlineStr"/>
      <c r="Y105" t="inlineStr"/>
      <c r="Z105" t="inlineStr"/>
      <c r="AA105" t="n">
        <v>0.293382</v>
      </c>
      <c r="AB105" t="n">
        <v>0.325263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0.472118</v>
      </c>
      <c r="AN105" t="n">
        <v>0.476039</v>
      </c>
      <c r="AO105" t="n">
        <v>0.855342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0.235522</v>
      </c>
      <c r="AX105" t="n">
        <v>0.240115</v>
      </c>
      <c r="AY105" t="inlineStr"/>
      <c r="AZ105" t="inlineStr"/>
      <c r="BA105" t="n">
        <v>1.332369</v>
      </c>
      <c r="BB105" t="n">
        <v>1.351873</v>
      </c>
      <c r="BC105" t="n">
        <v>4.312127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1.939219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4.023845</v>
      </c>
      <c r="CJ105" t="n">
        <v>4.02501</v>
      </c>
      <c r="CK105" t="inlineStr"/>
      <c r="CL105" t="inlineStr"/>
      <c r="CM105" t="inlineStr"/>
      <c r="CN105" t="inlineStr"/>
      <c r="CO105" t="n">
        <v>1.712329</v>
      </c>
      <c r="CP105" t="n">
        <v>1.712483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4.635868</v>
      </c>
      <c r="CZ105" t="n">
        <v>4.630286</v>
      </c>
      <c r="DA105" t="inlineStr"/>
      <c r="DB105" t="inlineStr"/>
      <c r="DC105" t="inlineStr"/>
      <c r="DD105" t="inlineStr"/>
      <c r="DE105" t="inlineStr"/>
      <c r="DF105" t="n">
        <v>1.708303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</row>
    <row r="106">
      <c r="A106" t="inlineStr">
        <is>
          <t>03/23/2026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2.761666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0.77428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-1.203501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</row>
    <row r="107">
      <c r="A107" t="inlineStr">
        <is>
          <t>03/20/2026</t>
        </is>
      </c>
      <c r="B107" t="inlineStr"/>
      <c r="C107" t="inlineStr"/>
      <c r="D107" t="inlineStr"/>
      <c r="E107" t="inlineStr"/>
      <c r="F107" t="inlineStr"/>
      <c r="G107" t="inlineStr"/>
      <c r="H107" t="n">
        <v>1.778608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1.173709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-0.208672</v>
      </c>
      <c r="BB107" t="n">
        <v>-0.232828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2.435402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7.562458</v>
      </c>
      <c r="CZ107" t="n">
        <v>7.583292</v>
      </c>
      <c r="DA107" t="inlineStr"/>
      <c r="DB107" t="inlineStr"/>
      <c r="DC107" t="inlineStr"/>
      <c r="DD107" t="inlineStr"/>
      <c r="DE107" t="inlineStr"/>
      <c r="DF107" t="inlineStr"/>
      <c r="DG107" t="n">
        <v>4.765784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</row>
    <row r="108">
      <c r="A108" t="inlineStr">
        <is>
          <t>03/19/2026</t>
        </is>
      </c>
      <c r="B108" t="n">
        <v>0.938628</v>
      </c>
      <c r="C108" t="n">
        <v>0.924296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-1.263823</v>
      </c>
      <c r="Q108" t="n">
        <v>-1.248097</v>
      </c>
      <c r="R108" t="inlineStr"/>
      <c r="S108" t="inlineStr"/>
      <c r="T108" t="n">
        <v>-0.18101</v>
      </c>
      <c r="U108" t="n">
        <v>-0.175234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-1.280825</v>
      </c>
      <c r="BB108" t="n">
        <v>-1.283632</v>
      </c>
      <c r="BC108" t="inlineStr"/>
      <c r="BD108" t="inlineStr"/>
      <c r="BE108" t="inlineStr"/>
      <c r="BF108" t="inlineStr"/>
      <c r="BG108" t="inlineStr"/>
      <c r="BH108" t="inlineStr"/>
      <c r="BI108" t="n">
        <v>2.157576</v>
      </c>
      <c r="BJ108" t="n">
        <v>2.181252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3.149606</v>
      </c>
      <c r="CB108" t="n">
        <v>3.095975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</row>
    <row r="109">
      <c r="A109" t="inlineStr">
        <is>
          <t>03/18/2026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-2.001144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-0.141804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1.62494</v>
      </c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-2.486951</v>
      </c>
      <c r="CZ109" t="n">
        <v>-2.464391</v>
      </c>
      <c r="DA109" t="inlineStr"/>
      <c r="DB109" t="inlineStr"/>
      <c r="DC109" t="inlineStr"/>
      <c r="DD109" t="inlineStr"/>
      <c r="DE109" t="inlineStr"/>
      <c r="DF109" t="inlineStr"/>
      <c r="DG109" t="n">
        <v>-0.304878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</row>
    <row r="110">
      <c r="A110" t="inlineStr">
        <is>
          <t>03/17/2026</t>
        </is>
      </c>
      <c r="B110" t="n">
        <v>0.506512</v>
      </c>
      <c r="C110" t="n">
        <v>0.529334</v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-3.145221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-2.425775</v>
      </c>
      <c r="AF110" t="n">
        <v>-2.430926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-0.688447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5.982991</v>
      </c>
      <c r="CA110" t="n">
        <v>1.604278</v>
      </c>
      <c r="CB110" t="n">
        <v>1.577287</v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3.277592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</row>
    <row r="111">
      <c r="A111" t="inlineStr">
        <is>
          <t>03/16/2026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0.26165</v>
      </c>
      <c r="J111" t="n">
        <v>0.250292</v>
      </c>
      <c r="K111" t="n">
        <v>0.411218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0.454413</v>
      </c>
      <c r="AB111" t="n">
        <v>0.453273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0.325991</v>
      </c>
      <c r="AN111" t="n">
        <v>0.324268</v>
      </c>
      <c r="AO111" t="inlineStr"/>
      <c r="AP111" t="inlineStr"/>
      <c r="AQ111" t="inlineStr"/>
      <c r="AR111" t="n">
        <v>0.960445</v>
      </c>
      <c r="AS111" t="inlineStr"/>
      <c r="AT111" t="inlineStr"/>
      <c r="AU111" t="inlineStr"/>
      <c r="AV111" t="inlineStr"/>
      <c r="AW111" t="n">
        <v>5.589298</v>
      </c>
      <c r="AX111" t="n">
        <v>5.586146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0.462368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</row>
    <row r="112">
      <c r="A112" t="inlineStr">
        <is>
          <t>03/13/2026</t>
        </is>
      </c>
      <c r="B112" t="inlineStr"/>
      <c r="C112" t="inlineStr"/>
      <c r="D112" t="n">
        <v>2.440127</v>
      </c>
      <c r="E112" t="inlineStr"/>
      <c r="F112" t="inlineStr"/>
      <c r="G112" t="inlineStr"/>
      <c r="H112" t="inlineStr"/>
      <c r="I112" t="n">
        <v>1.006796</v>
      </c>
      <c r="J112" t="n">
        <v>0.99427</v>
      </c>
      <c r="K112" t="inlineStr"/>
      <c r="L112" t="n">
        <v>0.534655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10.814023</v>
      </c>
      <c r="W112" t="inlineStr"/>
      <c r="X112" t="inlineStr"/>
      <c r="Y112" t="inlineStr"/>
      <c r="Z112" t="inlineStr"/>
      <c r="AA112" t="n">
        <v>0.29319</v>
      </c>
      <c r="AB112" t="n">
        <v>0.292288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1.266477</v>
      </c>
      <c r="AM112" t="n">
        <v>0.718786</v>
      </c>
      <c r="AN112" t="n">
        <v>0.705783</v>
      </c>
      <c r="AO112" t="inlineStr"/>
      <c r="AP112" t="inlineStr"/>
      <c r="AQ112" t="inlineStr"/>
      <c r="AR112" t="inlineStr"/>
      <c r="AS112" t="n">
        <v>0.471778</v>
      </c>
      <c r="AT112" t="inlineStr"/>
      <c r="AU112" t="inlineStr"/>
      <c r="AV112" t="inlineStr"/>
      <c r="AW112" t="n">
        <v>-0.076823</v>
      </c>
      <c r="AX112" t="n">
        <v>-0.07986500000000001</v>
      </c>
      <c r="AY112" t="n">
        <v>1.117988</v>
      </c>
      <c r="AZ112" t="n">
        <v>1.100629</v>
      </c>
      <c r="BA112" t="n">
        <v>1.476444</v>
      </c>
      <c r="BB112" t="n">
        <v>1.46104</v>
      </c>
      <c r="BC112" t="inlineStr"/>
      <c r="BD112" t="inlineStr"/>
      <c r="BE112" t="inlineStr"/>
      <c r="BF112" t="inlineStr"/>
      <c r="BG112" t="inlineStr"/>
      <c r="BH112" t="n">
        <v>1.090626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2.43553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4.738893</v>
      </c>
      <c r="CZ112" t="n">
        <v>4.752066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</row>
    <row r="113">
      <c r="A113" t="inlineStr">
        <is>
          <t>03/12/2026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1.446655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-0.563684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0.674211</v>
      </c>
      <c r="BJ113" t="n">
        <v>0.670276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-1.88361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-2.120842</v>
      </c>
      <c r="CZ113" t="n">
        <v>-2.134352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1.28123</v>
      </c>
      <c r="DO113" t="inlineStr"/>
      <c r="DP113" t="inlineStr"/>
      <c r="DQ113" t="inlineStr"/>
      <c r="DR113" t="inlineStr"/>
      <c r="DS113" t="inlineStr"/>
      <c r="DT113" t="n">
        <v>0.472441</v>
      </c>
      <c r="DU113" t="inlineStr"/>
      <c r="DV113" t="inlineStr"/>
      <c r="DW113" t="inlineStr"/>
      <c r="DX113" t="inlineStr"/>
      <c r="DY113" t="inlineStr"/>
      <c r="DZ113" t="inlineStr"/>
    </row>
    <row r="114">
      <c r="A114" t="inlineStr">
        <is>
          <t>03/11/2026</t>
        </is>
      </c>
      <c r="B114" t="n">
        <v>0.652174</v>
      </c>
      <c r="C114" t="n">
        <v>0.662544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-0.240529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0.664011</v>
      </c>
      <c r="CB114" t="n">
        <v>0.625978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5.481728</v>
      </c>
      <c r="DU114" t="inlineStr"/>
      <c r="DV114" t="inlineStr"/>
      <c r="DW114" t="inlineStr"/>
      <c r="DX114" t="inlineStr"/>
      <c r="DY114" t="inlineStr"/>
      <c r="DZ114" t="inlineStr"/>
    </row>
    <row r="115">
      <c r="A115" t="inlineStr">
        <is>
          <t>03/10/2026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3.73459</v>
      </c>
      <c r="U115" t="n">
        <v>3.752949</v>
      </c>
      <c r="V115" t="n">
        <v>1.89951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0.871143</v>
      </c>
      <c r="CJ115" t="n">
        <v>0.87519</v>
      </c>
      <c r="CK115" t="inlineStr"/>
      <c r="CL115" t="inlineStr"/>
      <c r="CM115" t="inlineStr"/>
      <c r="CN115" t="inlineStr"/>
      <c r="CO115" t="n">
        <v>0.339641</v>
      </c>
      <c r="CP115" t="n">
        <v>0.31264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</row>
    <row r="116">
      <c r="A116" t="inlineStr">
        <is>
          <t>03/09/2026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-0.387128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-0.865702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-0.278129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</row>
    <row r="117">
      <c r="A117" t="inlineStr">
        <is>
          <t>03/06/2026</t>
        </is>
      </c>
      <c r="B117" t="inlineStr"/>
      <c r="C117" t="inlineStr"/>
      <c r="D117" t="n">
        <v>3.677117</v>
      </c>
      <c r="E117" t="inlineStr"/>
      <c r="F117" t="inlineStr"/>
      <c r="G117" t="inlineStr"/>
      <c r="H117" t="inlineStr"/>
      <c r="I117" t="n">
        <v>0.829721</v>
      </c>
      <c r="J117" t="n">
        <v>0.812469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2.837327</v>
      </c>
      <c r="W117" t="inlineStr"/>
      <c r="X117" t="inlineStr"/>
      <c r="Y117" t="inlineStr"/>
      <c r="Z117" t="inlineStr"/>
      <c r="AA117" t="n">
        <v>0.58226</v>
      </c>
      <c r="AB117" t="n">
        <v>0.580616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0.060796</v>
      </c>
      <c r="AN117" t="n">
        <v>0.051546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3.124262</v>
      </c>
      <c r="AX117" t="n">
        <v>3.117332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5.260082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-3.089387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n">
        <v>2.386346</v>
      </c>
      <c r="CZ117" t="n">
        <v>2.401601</v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1.494505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</row>
    <row r="118">
      <c r="A118" t="inlineStr">
        <is>
          <t>03/05/2026</t>
        </is>
      </c>
      <c r="B118" t="n">
        <v>0.509091</v>
      </c>
      <c r="C118" t="n">
        <v>0.487373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-5.539011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1.086957</v>
      </c>
      <c r="CB118" t="n">
        <v>0.96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-1.697301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3.062583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</row>
    <row r="119">
      <c r="A119" t="inlineStr">
        <is>
          <t>03/04/2026</t>
        </is>
      </c>
      <c r="B119" t="n">
        <v>0.401606</v>
      </c>
      <c r="C119" t="n">
        <v>0.400356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-2.723059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0.960219</v>
      </c>
      <c r="CB119" t="n">
        <v>0.969305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4.269632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</row>
    <row r="120">
      <c r="A120" t="inlineStr">
        <is>
          <t>03/03/2026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0.771492</v>
      </c>
      <c r="J120" t="n">
        <v>0.770492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8.895899</v>
      </c>
      <c r="W120" t="inlineStr"/>
      <c r="X120" t="inlineStr"/>
      <c r="Y120" t="inlineStr"/>
      <c r="Z120" t="inlineStr"/>
      <c r="AA120" t="n">
        <v>0.354078</v>
      </c>
      <c r="AB120" t="n">
        <v>0.352921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0.358545</v>
      </c>
      <c r="AN120" t="n">
        <v>0.35461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0.324602</v>
      </c>
      <c r="AX120" t="n">
        <v>0.322524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2.909824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3.751617</v>
      </c>
      <c r="CZ120" t="n">
        <v>3.745239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-0.665557</v>
      </c>
      <c r="DU120" t="inlineStr"/>
      <c r="DV120" t="inlineStr"/>
      <c r="DW120" t="inlineStr"/>
      <c r="DX120" t="inlineStr"/>
      <c r="DY120" t="inlineStr"/>
      <c r="DZ120" t="inlineStr"/>
    </row>
    <row r="121">
      <c r="A121" t="inlineStr">
        <is>
          <t>03/02/2026</t>
        </is>
      </c>
      <c r="B121" t="n">
        <v>0.182282</v>
      </c>
      <c r="C121" t="n">
        <v>0.177699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-2.998776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1.096998</v>
      </c>
      <c r="BX121" t="inlineStr"/>
      <c r="BY121" t="n">
        <v>8.298755</v>
      </c>
      <c r="BZ121" t="inlineStr"/>
      <c r="CA121" t="n">
        <v>0.550964</v>
      </c>
      <c r="CB121" t="n">
        <v>0.486224</v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2.088729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2.189781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n">
        <v>6.175515</v>
      </c>
      <c r="DX121" t="inlineStr"/>
      <c r="DY121" t="inlineStr"/>
      <c r="DZ121" t="inlineStr"/>
    </row>
    <row r="122">
      <c r="A122" t="inlineStr">
        <is>
          <t>02/27/2026</t>
        </is>
      </c>
      <c r="B122" t="n">
        <v>0.109489</v>
      </c>
      <c r="C122" t="n">
        <v>0.08892799999999999</v>
      </c>
      <c r="D122" t="n">
        <v>-1.03991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1.465991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1.326165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-0.550777</v>
      </c>
      <c r="BD122" t="inlineStr"/>
      <c r="BE122" t="inlineStr"/>
      <c r="BF122" t="inlineStr"/>
      <c r="BG122" t="inlineStr"/>
      <c r="BH122" t="n">
        <v>0.343221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-0.137552</v>
      </c>
      <c r="CB122" t="n">
        <v>-0.323102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-0.924214</v>
      </c>
      <c r="CP122" t="n">
        <v>-0.8932369999999999</v>
      </c>
      <c r="CQ122" t="n">
        <v>5.443242</v>
      </c>
      <c r="CR122" t="n">
        <v>5.423036</v>
      </c>
      <c r="CS122" t="inlineStr"/>
      <c r="CT122" t="inlineStr"/>
      <c r="CU122" t="inlineStr"/>
      <c r="CV122" t="inlineStr"/>
      <c r="CW122" t="inlineStr"/>
      <c r="CX122" t="inlineStr"/>
      <c r="CY122" t="n">
        <v>-3.40431</v>
      </c>
      <c r="CZ122" t="n">
        <v>-3.397147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-0.198675</v>
      </c>
      <c r="DO122" t="inlineStr"/>
      <c r="DP122" t="inlineStr"/>
      <c r="DQ122" t="inlineStr"/>
      <c r="DR122" t="inlineStr"/>
      <c r="DS122" t="n">
        <v>2.152318</v>
      </c>
      <c r="DT122" t="inlineStr"/>
      <c r="DU122" t="inlineStr"/>
      <c r="DV122" t="inlineStr"/>
      <c r="DW122" t="inlineStr"/>
      <c r="DX122" t="n">
        <v>3.92638</v>
      </c>
      <c r="DY122" t="inlineStr"/>
      <c r="DZ122" t="n">
        <v>-0.2607</v>
      </c>
    </row>
    <row r="123">
      <c r="A123" t="inlineStr">
        <is>
          <t>02/26/2026</t>
        </is>
      </c>
      <c r="B123" t="n">
        <v>0.182815</v>
      </c>
      <c r="C123" t="n">
        <v>0.178174</v>
      </c>
      <c r="D123" t="n">
        <v>-0.336134</v>
      </c>
      <c r="E123" t="inlineStr"/>
      <c r="F123" t="inlineStr"/>
      <c r="G123" t="inlineStr"/>
      <c r="H123" t="inlineStr"/>
      <c r="I123" t="inlineStr"/>
      <c r="J123" t="inlineStr"/>
      <c r="K123" t="n">
        <v>1.165536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2.657088</v>
      </c>
      <c r="AF123" t="n">
        <v>2.650312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-0.522938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-0.895391</v>
      </c>
      <c r="BB123" t="n">
        <v>-0.898328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-0.547196</v>
      </c>
      <c r="CB123" t="n">
        <v>-0.322061</v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0.510915</v>
      </c>
      <c r="CP123" t="n">
        <v>0.470085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-0.06371</v>
      </c>
      <c r="CZ123" t="n">
        <v>-0.075019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0.5996</v>
      </c>
      <c r="DO123" t="inlineStr"/>
      <c r="DP123" t="inlineStr"/>
      <c r="DQ123" t="inlineStr"/>
      <c r="DR123" t="inlineStr"/>
      <c r="DS123" t="n">
        <v>2.372881</v>
      </c>
      <c r="DT123" t="inlineStr"/>
      <c r="DU123" t="inlineStr"/>
      <c r="DV123" t="inlineStr"/>
      <c r="DW123" t="inlineStr"/>
      <c r="DX123" t="inlineStr"/>
      <c r="DY123" t="inlineStr"/>
      <c r="DZ123" t="inlineStr"/>
    </row>
    <row r="124">
      <c r="A124" t="inlineStr">
        <is>
          <t>02/25/2026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0.495663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-2.462462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0.047562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-0.523952</v>
      </c>
      <c r="BJ124" t="n">
        <v>-0.507479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1.379693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3.204272</v>
      </c>
      <c r="DC124" t="inlineStr"/>
      <c r="DD124" t="inlineStr"/>
      <c r="DE124" t="inlineStr"/>
      <c r="DF124" t="inlineStr"/>
      <c r="DG124" t="inlineStr"/>
      <c r="DH124" t="n">
        <v>-0.302572</v>
      </c>
      <c r="DI124" t="inlineStr"/>
      <c r="DJ124" t="inlineStr"/>
      <c r="DK124" t="inlineStr"/>
      <c r="DL124" t="n">
        <v>0.955414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</row>
    <row r="125">
      <c r="A125" t="inlineStr">
        <is>
          <t>02/24/2026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0.811629</v>
      </c>
      <c r="J125" t="n">
        <v>0.810636</v>
      </c>
      <c r="K125" t="n">
        <v>-0.86893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0.12826</v>
      </c>
      <c r="AB125" t="n">
        <v>0.12786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0.203822</v>
      </c>
      <c r="AN125" t="n">
        <v>0.191455</v>
      </c>
      <c r="AO125" t="inlineStr"/>
      <c r="AP125" t="inlineStr"/>
      <c r="AQ125" t="inlineStr"/>
      <c r="AR125" t="inlineStr"/>
      <c r="AS125" t="n">
        <v>-0.09388199999999999</v>
      </c>
      <c r="AT125" t="inlineStr"/>
      <c r="AU125" t="inlineStr"/>
      <c r="AV125" t="inlineStr"/>
      <c r="AW125" t="n">
        <v>-0.690407</v>
      </c>
      <c r="AX125" t="n">
        <v>-0.704757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2.006173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-1.939394</v>
      </c>
      <c r="DY125" t="inlineStr"/>
      <c r="DZ125" t="inlineStr"/>
    </row>
    <row r="126">
      <c r="A126" t="inlineStr">
        <is>
          <t>02/23/2026</t>
        </is>
      </c>
      <c r="B126" t="inlineStr"/>
      <c r="C126" t="inlineStr"/>
      <c r="D126" t="n">
        <v>2.584746</v>
      </c>
      <c r="E126" t="inlineStr"/>
      <c r="F126" t="inlineStr"/>
      <c r="G126" t="inlineStr"/>
      <c r="H126" t="inlineStr"/>
      <c r="I126" t="n">
        <v>0.756744</v>
      </c>
      <c r="J126" t="n">
        <v>0.767848</v>
      </c>
      <c r="K126" t="n">
        <v>1.07757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-0.054995</v>
      </c>
      <c r="U126" t="n">
        <v>-0.043365</v>
      </c>
      <c r="V126" t="inlineStr"/>
      <c r="W126" t="inlineStr"/>
      <c r="X126" t="inlineStr"/>
      <c r="Y126" t="inlineStr"/>
      <c r="Z126" t="inlineStr"/>
      <c r="AA126" t="n">
        <v>-0.09610299999999999</v>
      </c>
      <c r="AB126" t="n">
        <v>-0.09564300000000001</v>
      </c>
      <c r="AC126" t="inlineStr"/>
      <c r="AD126" t="inlineStr"/>
      <c r="AE126" t="inlineStr"/>
      <c r="AF126" t="inlineStr"/>
      <c r="AG126" t="n">
        <v>1.835568</v>
      </c>
      <c r="AH126" t="inlineStr"/>
      <c r="AI126" t="inlineStr"/>
      <c r="AJ126" t="inlineStr"/>
      <c r="AK126" t="inlineStr"/>
      <c r="AL126" t="inlineStr"/>
      <c r="AM126" t="n">
        <v>0.770218</v>
      </c>
      <c r="AN126" t="n">
        <v>0.77173</v>
      </c>
      <c r="AO126" t="inlineStr"/>
      <c r="AP126" t="inlineStr"/>
      <c r="AQ126" t="inlineStr"/>
      <c r="AR126" t="n">
        <v>1.212856</v>
      </c>
      <c r="AS126" t="inlineStr"/>
      <c r="AT126" t="inlineStr"/>
      <c r="AU126" t="inlineStr"/>
      <c r="AV126" t="inlineStr"/>
      <c r="AW126" t="n">
        <v>3.163893</v>
      </c>
      <c r="AX126" t="n">
        <v>3.168008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0.37037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2.975989</v>
      </c>
      <c r="CJ126" t="n">
        <v>2.976612</v>
      </c>
      <c r="CK126" t="inlineStr"/>
      <c r="CL126" t="inlineStr"/>
      <c r="CM126" t="inlineStr"/>
      <c r="CN126" t="inlineStr"/>
      <c r="CO126" t="n">
        <v>0.466636</v>
      </c>
      <c r="CP126" t="n">
        <v>0.472306</v>
      </c>
      <c r="CQ126" t="n">
        <v>-2.210098</v>
      </c>
      <c r="CR126" t="n">
        <v>-2.211859</v>
      </c>
      <c r="CS126" t="inlineStr"/>
      <c r="CT126" t="inlineStr"/>
      <c r="CU126" t="inlineStr"/>
      <c r="CV126" t="inlineStr"/>
      <c r="CW126" t="inlineStr"/>
      <c r="CX126" t="inlineStr"/>
      <c r="CY126" t="n">
        <v>4.136054</v>
      </c>
      <c r="CZ126" t="n">
        <v>4.12495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-2.204929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n">
        <v>-0.362319</v>
      </c>
      <c r="DY126" t="inlineStr"/>
      <c r="DZ126" t="n">
        <v>1.011918</v>
      </c>
    </row>
    <row r="127">
      <c r="A127" t="inlineStr">
        <is>
          <t>02/20/2026</t>
        </is>
      </c>
      <c r="B127" t="n">
        <v>0.183217</v>
      </c>
      <c r="C127" t="n">
        <v>0.178571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1.109741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-5.56962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-1.268657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-1.244652</v>
      </c>
      <c r="AZ127" t="n">
        <v>-1.250319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-0.136612</v>
      </c>
      <c r="CB127" t="n">
        <v>-0.160256</v>
      </c>
      <c r="CC127" t="inlineStr"/>
      <c r="CD127" t="inlineStr"/>
      <c r="CE127" t="inlineStr"/>
      <c r="CF127" t="n">
        <v>-2.571166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3.361345</v>
      </c>
      <c r="DV127" t="inlineStr"/>
      <c r="DW127" t="inlineStr"/>
      <c r="DX127" t="inlineStr"/>
      <c r="DY127" t="n">
        <v>-1.813206</v>
      </c>
      <c r="DZ127" t="inlineStr"/>
    </row>
    <row r="128">
      <c r="A128" t="inlineStr">
        <is>
          <t>02/19/2026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0.693262</v>
      </c>
      <c r="J128" t="n">
        <v>0.69987</v>
      </c>
      <c r="K128" t="n">
        <v>0.362909</v>
      </c>
      <c r="L128" t="inlineStr"/>
      <c r="M128" t="inlineStr"/>
      <c r="N128" t="inlineStr"/>
      <c r="O128" t="inlineStr"/>
      <c r="P128" t="n">
        <v>0.319829</v>
      </c>
      <c r="Q128" t="n">
        <v>0.314767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0.06400699999999999</v>
      </c>
      <c r="AB128" t="n">
        <v>0.063808</v>
      </c>
      <c r="AC128" t="inlineStr"/>
      <c r="AD128" t="inlineStr"/>
      <c r="AE128" t="n">
        <v>-0.484932</v>
      </c>
      <c r="AF128" t="n">
        <v>-0.492989</v>
      </c>
      <c r="AG128" t="n">
        <v>0.693541</v>
      </c>
      <c r="AH128" t="inlineStr"/>
      <c r="AI128" t="inlineStr"/>
      <c r="AJ128" t="inlineStr"/>
      <c r="AK128" t="inlineStr"/>
      <c r="AL128" t="inlineStr"/>
      <c r="AM128" t="n">
        <v>0.426112</v>
      </c>
      <c r="AN128" t="n">
        <v>0.424671</v>
      </c>
      <c r="AO128" t="inlineStr"/>
      <c r="AP128" t="inlineStr"/>
      <c r="AQ128" t="inlineStr"/>
      <c r="AR128" t="n">
        <v>0.746179</v>
      </c>
      <c r="AS128" t="inlineStr"/>
      <c r="AT128" t="inlineStr"/>
      <c r="AU128" t="inlineStr"/>
      <c r="AV128" t="inlineStr"/>
      <c r="AW128" t="n">
        <v>-0.299805</v>
      </c>
      <c r="AX128" t="n">
        <v>-0.302821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0.417827</v>
      </c>
      <c r="CP128" t="n">
        <v>0.384451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1.570167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-3.322259</v>
      </c>
      <c r="DT128" t="inlineStr"/>
      <c r="DU128" t="inlineStr"/>
      <c r="DV128" t="inlineStr"/>
      <c r="DW128" t="inlineStr"/>
      <c r="DX128" t="n">
        <v>-1.560624</v>
      </c>
      <c r="DY128" t="inlineStr"/>
      <c r="DZ128" t="inlineStr"/>
    </row>
    <row r="129">
      <c r="A129" t="inlineStr">
        <is>
          <t>02/18/2026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0.514469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1.827339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0.792314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-0.520664</v>
      </c>
      <c r="DH129" t="inlineStr"/>
      <c r="DI129" t="inlineStr"/>
      <c r="DJ129" t="inlineStr"/>
      <c r="DK129" t="inlineStr"/>
      <c r="DL129" t="inlineStr"/>
      <c r="DM129" t="n">
        <v>0.793167</v>
      </c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</row>
    <row r="130">
      <c r="A130" t="inlineStr">
        <is>
          <t>02/17/2026</t>
        </is>
      </c>
      <c r="B130" t="inlineStr"/>
      <c r="C130" t="inlineStr"/>
      <c r="D130" t="inlineStr"/>
      <c r="E130" t="inlineStr"/>
      <c r="F130" t="inlineStr"/>
      <c r="G130" t="inlineStr"/>
      <c r="H130" t="n">
        <v>-0.499158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0.418475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0.4995</v>
      </c>
      <c r="BJ130" t="n">
        <v>0.481026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1.889339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1.669584</v>
      </c>
      <c r="CZ130" t="n">
        <v>1.664355</v>
      </c>
      <c r="DA130" t="inlineStr"/>
      <c r="DB130" t="inlineStr"/>
      <c r="DC130" t="inlineStr"/>
      <c r="DD130" t="inlineStr"/>
      <c r="DE130" t="inlineStr"/>
      <c r="DF130" t="inlineStr"/>
      <c r="DG130" t="n">
        <v>0.228311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-0.500835</v>
      </c>
      <c r="DT130" t="inlineStr"/>
      <c r="DU130" t="inlineStr"/>
      <c r="DV130" t="inlineStr"/>
      <c r="DW130" t="inlineStr"/>
      <c r="DX130" t="inlineStr"/>
      <c r="DY130" t="inlineStr"/>
      <c r="DZ130" t="inlineStr"/>
    </row>
    <row r="131">
      <c r="A131" t="inlineStr">
        <is>
          <t>02/13/2026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-1.767197</v>
      </c>
      <c r="L131" t="inlineStr"/>
      <c r="M131" t="inlineStr"/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0.661959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0.353443</v>
      </c>
      <c r="AS131" t="n">
        <v>-0.154751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-4.628936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n">
        <v>1.214575</v>
      </c>
      <c r="BW131" t="n">
        <v>0.171674</v>
      </c>
      <c r="BX131" t="inlineStr"/>
      <c r="BY131" t="n">
        <v>2.996255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-1.490468</v>
      </c>
      <c r="CJ131" t="n">
        <v>-1.453488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0.120482</v>
      </c>
      <c r="DY131" t="inlineStr"/>
      <c r="DZ131" t="inlineStr"/>
    </row>
    <row r="132">
      <c r="A132" t="inlineStr">
        <is>
          <t>02/12/2026</t>
        </is>
      </c>
      <c r="B132" t="inlineStr"/>
      <c r="C132" t="inlineStr"/>
      <c r="D132" t="n">
        <v>-0.427855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5.085911</v>
      </c>
      <c r="P132" t="inlineStr"/>
      <c r="Q132" t="inlineStr"/>
      <c r="R132" t="inlineStr"/>
      <c r="S132" t="inlineStr"/>
      <c r="T132" t="n">
        <v>1.077301</v>
      </c>
      <c r="U132" t="n">
        <v>1.072626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1.262429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1.046798</v>
      </c>
      <c r="AS132" t="n">
        <v>0.748363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-0.9720529999999999</v>
      </c>
      <c r="CT132" t="inlineStr"/>
      <c r="CU132" t="inlineStr"/>
      <c r="CV132" t="inlineStr"/>
      <c r="CW132" t="inlineStr"/>
      <c r="CX132" t="inlineStr"/>
      <c r="CY132" t="n">
        <v>3.023699</v>
      </c>
      <c r="CZ132" t="n">
        <v>3.007217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n">
        <v>4.155344</v>
      </c>
      <c r="DP132" t="n">
        <v>4.166159</v>
      </c>
      <c r="DQ132" t="inlineStr"/>
      <c r="DR132" t="inlineStr"/>
      <c r="DS132" t="n">
        <v>0.848896</v>
      </c>
      <c r="DT132" t="n">
        <v>0.943396</v>
      </c>
      <c r="DU132" t="inlineStr"/>
      <c r="DV132" t="inlineStr"/>
      <c r="DW132" t="inlineStr"/>
      <c r="DX132" t="inlineStr"/>
      <c r="DY132" t="inlineStr"/>
      <c r="DZ132" t="inlineStr"/>
    </row>
    <row r="133">
      <c r="A133" t="inlineStr">
        <is>
          <t>02/11/2026</t>
        </is>
      </c>
      <c r="B133" t="n">
        <v>0.036576</v>
      </c>
      <c r="C133" t="n">
        <v>0.089127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1.486989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-2.101911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6.792453</v>
      </c>
      <c r="BZ133" t="inlineStr"/>
      <c r="CA133" t="n">
        <v>-0.134409</v>
      </c>
      <c r="CB133" t="n">
        <v>-0.15748</v>
      </c>
      <c r="CC133" t="inlineStr"/>
      <c r="CD133" t="inlineStr"/>
      <c r="CE133" t="inlineStr"/>
      <c r="CF133" t="inlineStr"/>
      <c r="CG133" t="inlineStr"/>
      <c r="CH133" t="inlineStr"/>
      <c r="CI133" t="n">
        <v>-4.720052</v>
      </c>
      <c r="CJ133" t="n">
        <v>-4.742409</v>
      </c>
      <c r="CK133" t="inlineStr"/>
      <c r="CL133" t="inlineStr"/>
      <c r="CM133" t="inlineStr"/>
      <c r="CN133" t="inlineStr"/>
      <c r="CO133" t="n">
        <v>-1.48768</v>
      </c>
      <c r="CP133" t="n">
        <v>-1.497647</v>
      </c>
      <c r="CQ133" t="inlineStr"/>
      <c r="CR133" t="inlineStr"/>
      <c r="CS133" t="inlineStr"/>
      <c r="CT133" t="inlineStr"/>
      <c r="CU133" t="inlineStr"/>
      <c r="CV133" t="inlineStr"/>
      <c r="CW133" t="n">
        <v>0.286918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4.12758</v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</row>
    <row r="134">
      <c r="A134" t="inlineStr">
        <is>
          <t>02/10/2026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0.880902</v>
      </c>
      <c r="AF134" t="n">
        <v>0.891464</v>
      </c>
      <c r="AG134" t="n">
        <v>0.762768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2.306812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1.080827</v>
      </c>
      <c r="CP134" t="n">
        <v>1.081315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1.033626</v>
      </c>
      <c r="CZ134" t="n">
        <v>1.020801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-2.094241</v>
      </c>
      <c r="DT134" t="inlineStr"/>
      <c r="DU134" t="inlineStr"/>
      <c r="DV134" t="inlineStr"/>
      <c r="DW134" t="inlineStr"/>
      <c r="DX134" t="inlineStr"/>
      <c r="DY134" t="inlineStr"/>
      <c r="DZ134" t="inlineStr"/>
    </row>
    <row r="135">
      <c r="A135" t="inlineStr">
        <is>
          <t>02/09/2026</t>
        </is>
      </c>
      <c r="B135" t="inlineStr"/>
      <c r="C135" t="inlineStr"/>
      <c r="D135" t="n">
        <v>-0.9683850000000001</v>
      </c>
      <c r="E135" t="inlineStr"/>
      <c r="F135" t="inlineStr"/>
      <c r="G135" t="inlineStr"/>
      <c r="H135" t="inlineStr"/>
      <c r="I135" t="inlineStr"/>
      <c r="J135" t="inlineStr"/>
      <c r="K135" t="n">
        <v>2.034205</v>
      </c>
      <c r="L135" t="inlineStr"/>
      <c r="M135" t="inlineStr"/>
      <c r="N135" t="n">
        <v>0.373134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-1.129342</v>
      </c>
      <c r="Z135" t="n">
        <v>-1.1251</v>
      </c>
      <c r="AA135" t="inlineStr"/>
      <c r="AB135" t="inlineStr"/>
      <c r="AC135" t="inlineStr"/>
      <c r="AD135" t="inlineStr"/>
      <c r="AE135" t="n">
        <v>-0.951051</v>
      </c>
      <c r="AF135" t="n">
        <v>-0.960159</v>
      </c>
      <c r="AG135" t="n">
        <v>0.166095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-0.325615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0.555393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-0.922619</v>
      </c>
      <c r="CG135" t="inlineStr"/>
      <c r="CH135" t="inlineStr"/>
      <c r="CI135" t="inlineStr"/>
      <c r="CJ135" t="inlineStr"/>
      <c r="CK135" t="inlineStr"/>
      <c r="CL135" t="inlineStr"/>
      <c r="CM135" t="n">
        <v>0.253653</v>
      </c>
      <c r="CN135" t="n">
        <v>0.247893</v>
      </c>
      <c r="CO135" t="inlineStr"/>
      <c r="CP135" t="inlineStr"/>
      <c r="CQ135" t="n">
        <v>-2.640746</v>
      </c>
      <c r="CR135" t="n">
        <v>-2.645588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-0.643047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0.766871</v>
      </c>
      <c r="DZ135" t="n">
        <v>0.7695689999999999</v>
      </c>
    </row>
    <row r="136">
      <c r="A136" t="inlineStr">
        <is>
          <t>02/06/2026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0.457446</v>
      </c>
      <c r="J136" t="n">
        <v>0.467064</v>
      </c>
      <c r="K136" t="inlineStr"/>
      <c r="L136" t="inlineStr"/>
      <c r="M136" t="inlineStr"/>
      <c r="N136" t="n">
        <v>-0.49505</v>
      </c>
      <c r="O136" t="inlineStr"/>
      <c r="P136" t="inlineStr"/>
      <c r="Q136" t="inlineStr"/>
      <c r="R136" t="inlineStr"/>
      <c r="S136" t="inlineStr"/>
      <c r="T136" t="n">
        <v>1.078582</v>
      </c>
      <c r="U136" t="n">
        <v>1.070128</v>
      </c>
      <c r="V136" t="inlineStr"/>
      <c r="W136" t="inlineStr"/>
      <c r="X136" t="inlineStr"/>
      <c r="Y136" t="inlineStr"/>
      <c r="Z136" t="inlineStr"/>
      <c r="AA136" t="n">
        <v>0.128178</v>
      </c>
      <c r="AB136" t="n">
        <v>0.127376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1.067262</v>
      </c>
      <c r="AM136" t="n">
        <v>-0.211184</v>
      </c>
      <c r="AN136" t="n">
        <v>-0.2104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4.067321</v>
      </c>
      <c r="AX136" t="n">
        <v>4.066667</v>
      </c>
      <c r="AY136" t="n">
        <v>0.775946</v>
      </c>
      <c r="AZ136" t="n">
        <v>0.7888039999999999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-5.517241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4.700395</v>
      </c>
      <c r="CJ136" t="n">
        <v>4.701015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0.141468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</row>
    <row r="137">
      <c r="A137" t="inlineStr">
        <is>
          <t>02/05/2026</t>
        </is>
      </c>
      <c r="B137" t="inlineStr"/>
      <c r="C137" t="inlineStr"/>
      <c r="D137" t="n">
        <v>5.950213</v>
      </c>
      <c r="E137" t="inlineStr"/>
      <c r="F137" t="inlineStr"/>
      <c r="G137" t="inlineStr"/>
      <c r="H137" t="inlineStr"/>
      <c r="I137" t="n">
        <v>1.97643</v>
      </c>
      <c r="J137" t="n">
        <v>1.954023</v>
      </c>
      <c r="K137" t="inlineStr"/>
      <c r="L137" t="n">
        <v>2.989786</v>
      </c>
      <c r="M137" t="inlineStr"/>
      <c r="N137" t="inlineStr"/>
      <c r="O137" t="n">
        <v>10.169492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0.321476</v>
      </c>
      <c r="AB137" t="n">
        <v>0.352243</v>
      </c>
      <c r="AC137" t="inlineStr"/>
      <c r="AD137" t="inlineStr"/>
      <c r="AE137" t="n">
        <v>2.669495</v>
      </c>
      <c r="AF137" t="n">
        <v>2.671884</v>
      </c>
      <c r="AG137" t="n">
        <v>4.268151</v>
      </c>
      <c r="AH137" t="inlineStr"/>
      <c r="AI137" t="inlineStr"/>
      <c r="AJ137" t="inlineStr"/>
      <c r="AK137" t="inlineStr"/>
      <c r="AL137" t="inlineStr"/>
      <c r="AM137" t="n">
        <v>1.361418</v>
      </c>
      <c r="AN137" t="n">
        <v>1.360821</v>
      </c>
      <c r="AO137" t="inlineStr"/>
      <c r="AP137" t="inlineStr"/>
      <c r="AQ137" t="inlineStr"/>
      <c r="AR137" t="n">
        <v>3.562437</v>
      </c>
      <c r="AS137" t="n">
        <v>2.542972</v>
      </c>
      <c r="AT137" t="inlineStr"/>
      <c r="AU137" t="inlineStr"/>
      <c r="AV137" t="inlineStr"/>
      <c r="AW137" t="n">
        <v>7.790129</v>
      </c>
      <c r="AX137" t="n">
        <v>7.780743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9.480168000000001</v>
      </c>
      <c r="CZ137" t="n">
        <v>9.464839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</row>
    <row r="138">
      <c r="A138" t="inlineStr">
        <is>
          <t>02/04/2026</t>
        </is>
      </c>
      <c r="B138" t="n">
        <v>0.109489</v>
      </c>
      <c r="C138" t="n">
        <v>0.088889</v>
      </c>
      <c r="D138" t="n">
        <v>-5.453502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0.695715</v>
      </c>
      <c r="BB138" t="n">
        <v>0.687856</v>
      </c>
      <c r="BC138" t="n">
        <v>-9.459652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-0.975177</v>
      </c>
      <c r="BU138" t="inlineStr"/>
      <c r="BV138" t="inlineStr"/>
      <c r="BW138" t="inlineStr"/>
      <c r="BX138" t="inlineStr"/>
      <c r="BY138" t="n">
        <v>6.271777</v>
      </c>
      <c r="BZ138" t="inlineStr"/>
      <c r="CA138" t="n">
        <v>0.65189</v>
      </c>
      <c r="CB138" t="n">
        <v>0.457317</v>
      </c>
      <c r="CC138" t="inlineStr"/>
      <c r="CD138" t="inlineStr"/>
      <c r="CE138" t="inlineStr"/>
      <c r="CF138" t="inlineStr"/>
      <c r="CG138" t="inlineStr"/>
      <c r="CH138" t="inlineStr"/>
      <c r="CI138" t="n">
        <v>-1.812251</v>
      </c>
      <c r="CJ138" t="n">
        <v>-1.860995</v>
      </c>
      <c r="CK138" t="inlineStr"/>
      <c r="CL138" t="inlineStr"/>
      <c r="CM138" t="inlineStr"/>
      <c r="CN138" t="inlineStr"/>
      <c r="CO138" t="n">
        <v>-1.485386</v>
      </c>
      <c r="CP138" t="n">
        <v>-1.499118</v>
      </c>
      <c r="CQ138" t="inlineStr"/>
      <c r="CR138" t="inlineStr"/>
      <c r="CS138" t="inlineStr"/>
      <c r="CT138" t="inlineStr"/>
      <c r="CU138" t="inlineStr"/>
      <c r="CV138" t="inlineStr"/>
      <c r="CW138" t="n">
        <v>-1.81045</v>
      </c>
      <c r="CX138" t="inlineStr"/>
      <c r="CY138" t="n">
        <v>-2.10325</v>
      </c>
      <c r="CZ138" t="n">
        <v>-2.100022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</row>
    <row r="139">
      <c r="A139" t="inlineStr">
        <is>
          <t>02/03/2026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3.472659</v>
      </c>
      <c r="L139" t="inlineStr"/>
      <c r="M139" t="inlineStr"/>
      <c r="N139" t="n">
        <v>0.618047</v>
      </c>
      <c r="O139" t="inlineStr"/>
      <c r="P139" t="inlineStr"/>
      <c r="Q139" t="inlineStr"/>
      <c r="R139" t="inlineStr"/>
      <c r="S139" t="inlineStr"/>
      <c r="T139" t="n">
        <v>3.343404</v>
      </c>
      <c r="U139" t="n">
        <v>3.357143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0.345901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-0.611812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0.311303</v>
      </c>
      <c r="BJ139" t="n">
        <v>0.332992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1.787808</v>
      </c>
      <c r="BX139" t="inlineStr"/>
      <c r="BY139" t="n">
        <v>-0.347222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-4.234641</v>
      </c>
      <c r="CJ139" t="n">
        <v>-4.219716</v>
      </c>
      <c r="CK139" t="inlineStr"/>
      <c r="CL139" t="inlineStr"/>
      <c r="CM139" t="inlineStr"/>
      <c r="CN139" t="inlineStr"/>
      <c r="CO139" t="n">
        <v>0.288323</v>
      </c>
      <c r="CP139" t="n">
        <v>0.309598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1.432195</v>
      </c>
      <c r="CZ139" t="n">
        <v>1.427317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</row>
    <row r="140">
      <c r="A140" t="inlineStr">
        <is>
          <t>02/02/2026</t>
        </is>
      </c>
      <c r="B140" t="n">
        <v>0.073153</v>
      </c>
      <c r="C140" t="n">
        <v>0.089087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0.414872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0.3861</v>
      </c>
      <c r="CB140" t="n">
        <v>0.301205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n">
        <v>-0.218541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n">
        <v>0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</row>
    <row r="141">
      <c r="A141" t="inlineStr">
        <is>
          <t>01/30/2026</t>
        </is>
      </c>
      <c r="B141" t="inlineStr"/>
      <c r="C141" t="inlineStr"/>
      <c r="D141" t="n">
        <v>3.132669</v>
      </c>
      <c r="E141" t="inlineStr"/>
      <c r="F141" t="inlineStr"/>
      <c r="G141" t="inlineStr"/>
      <c r="H141" t="inlineStr"/>
      <c r="I141" t="n">
        <v>0.529037</v>
      </c>
      <c r="J141" t="n">
        <v>0.530717</v>
      </c>
      <c r="K141" t="inlineStr"/>
      <c r="L141" t="inlineStr"/>
      <c r="M141" t="inlineStr"/>
      <c r="N141" t="inlineStr"/>
      <c r="O141" t="inlineStr"/>
      <c r="P141" t="n">
        <v>1.766874</v>
      </c>
      <c r="Q141" t="n">
        <v>1.776277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0.032065</v>
      </c>
      <c r="AB141" t="n">
        <v>0.031784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0.7768</v>
      </c>
      <c r="AN141" t="n">
        <v>0.767578</v>
      </c>
      <c r="AO141" t="inlineStr"/>
      <c r="AP141" t="inlineStr"/>
      <c r="AQ141" t="inlineStr"/>
      <c r="AR141" t="inlineStr"/>
      <c r="AS141" t="n">
        <v>0.658529</v>
      </c>
      <c r="AT141" t="inlineStr"/>
      <c r="AU141" t="inlineStr"/>
      <c r="AV141" t="inlineStr"/>
      <c r="AW141" t="n">
        <v>0.843428</v>
      </c>
      <c r="AX141" t="n">
        <v>0.828415</v>
      </c>
      <c r="AY141" t="inlineStr"/>
      <c r="AZ141" t="inlineStr"/>
      <c r="BA141" t="inlineStr"/>
      <c r="BB141" t="inlineStr"/>
      <c r="BC141" t="n">
        <v>-0.116568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-0.971639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-1.119444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n">
        <v>1.529903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-0.604872</v>
      </c>
      <c r="DZ141" t="inlineStr"/>
    </row>
    <row r="142">
      <c r="A142" t="inlineStr">
        <is>
          <t>01/29/2026</t>
        </is>
      </c>
      <c r="B142" t="inlineStr"/>
      <c r="C142" t="inlineStr"/>
      <c r="D142" t="n">
        <v>-2.395378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-2.192735</v>
      </c>
      <c r="M142" t="inlineStr"/>
      <c r="N142" t="inlineStr"/>
      <c r="O142" t="inlineStr"/>
      <c r="P142" t="n">
        <v>2.381572</v>
      </c>
      <c r="Q142" t="n">
        <v>2.359128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0.847836</v>
      </c>
      <c r="AF142" t="n">
        <v>0.84631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-0.98677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1.606941</v>
      </c>
      <c r="BB142" t="n">
        <v>1.579993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6.41835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2.44658</v>
      </c>
      <c r="CR142" t="n">
        <v>2.473931</v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0.587305</v>
      </c>
      <c r="DA142" t="inlineStr"/>
      <c r="DB142" t="inlineStr"/>
      <c r="DC142" t="inlineStr"/>
      <c r="DD142" t="n">
        <v>-0.813862</v>
      </c>
      <c r="DE142" t="inlineStr"/>
      <c r="DF142" t="n">
        <v>-1.934704</v>
      </c>
      <c r="DG142" t="inlineStr"/>
      <c r="DH142" t="inlineStr"/>
      <c r="DI142" t="inlineStr"/>
      <c r="DJ142" t="inlineStr"/>
      <c r="DK142" t="inlineStr"/>
      <c r="DL142" t="n">
        <v>0.809061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2.107482</v>
      </c>
      <c r="DX142" t="inlineStr"/>
      <c r="DY142" t="inlineStr"/>
      <c r="DZ142" t="n">
        <v>0.338481</v>
      </c>
    </row>
    <row r="143">
      <c r="A143" t="inlineStr">
        <is>
          <t>01/28/2026</t>
        </is>
      </c>
      <c r="B143" t="inlineStr"/>
      <c r="C143" t="inlineStr"/>
      <c r="D143" t="inlineStr"/>
      <c r="E143" t="inlineStr"/>
      <c r="F143" t="n">
        <v>5.614688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3.501946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-0.343525</v>
      </c>
      <c r="CJ143" t="n">
        <v>-0.359971</v>
      </c>
      <c r="CK143" t="inlineStr"/>
      <c r="CL143" t="inlineStr"/>
      <c r="CM143" t="inlineStr"/>
      <c r="CN143" t="inlineStr"/>
      <c r="CO143" t="n">
        <v>-0.143472</v>
      </c>
      <c r="CP143" t="n">
        <v>-0.088028</v>
      </c>
      <c r="CQ143" t="n">
        <v>3.045583</v>
      </c>
      <c r="CR143" t="inlineStr"/>
      <c r="CS143" t="inlineStr"/>
      <c r="CT143" t="inlineStr"/>
      <c r="CU143" t="inlineStr"/>
      <c r="CV143" t="inlineStr"/>
      <c r="CW143" t="n">
        <v>0.175286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n">
        <v>1.346685</v>
      </c>
      <c r="DH143" t="n">
        <v>1.35468</v>
      </c>
      <c r="DI143" t="inlineStr"/>
      <c r="DJ143" t="inlineStr"/>
      <c r="DK143" t="inlineStr"/>
      <c r="DL143" t="inlineStr"/>
      <c r="DM143" t="n">
        <v>1.131824</v>
      </c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</row>
    <row r="144">
      <c r="A144" t="inlineStr">
        <is>
          <t>01/27/2026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inlineStr"/>
      <c r="P144" t="inlineStr"/>
      <c r="Q144" t="inlineStr"/>
      <c r="R144" t="inlineStr"/>
      <c r="S144" t="inlineStr"/>
      <c r="T144" t="n">
        <v>1.109688</v>
      </c>
      <c r="U144" t="n">
        <v>1.10971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-0.30012</v>
      </c>
      <c r="BX144" t="inlineStr"/>
      <c r="BY144" t="n">
        <v>-3.018868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1.961471</v>
      </c>
      <c r="CJ144" t="n">
        <v>1.944954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-2.247191</v>
      </c>
      <c r="DI144" t="inlineStr"/>
      <c r="DJ144" t="inlineStr"/>
      <c r="DK144" t="inlineStr"/>
      <c r="DL144" t="inlineStr"/>
      <c r="DM144" t="n">
        <v>-0.5956320000000001</v>
      </c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</row>
    <row r="145">
      <c r="A145" t="inlineStr">
        <is>
          <t>01/26/2026</t>
        </is>
      </c>
      <c r="B145" t="inlineStr"/>
      <c r="C145" t="inlineStr"/>
      <c r="D145" t="n">
        <v>0.806115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-0.372671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-2.500428</v>
      </c>
      <c r="AF145" t="n">
        <v>-2.511638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0.234916</v>
      </c>
      <c r="AS145" t="n">
        <v>-0.20737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</row>
    <row r="146">
      <c r="A146" t="inlineStr">
        <is>
          <t>01/23/2026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0.136393</v>
      </c>
      <c r="L146" t="inlineStr"/>
      <c r="M146" t="inlineStr"/>
      <c r="N146" t="n">
        <v>-0.494438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0.108186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-0.037078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</row>
    <row r="147">
      <c r="A147" t="inlineStr">
        <is>
          <t>01/22/2026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1.366298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-0.290416</v>
      </c>
      <c r="BJ147" t="n">
        <v>-0.258799</v>
      </c>
      <c r="BK147" t="inlineStr"/>
      <c r="BL147" t="inlineStr"/>
      <c r="BM147" t="inlineStr"/>
      <c r="BN147" t="inlineStr"/>
      <c r="BO147" t="n">
        <v>1.114112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</row>
    <row r="148">
      <c r="A148" t="inlineStr">
        <is>
          <t>01/21/2026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0.533721</v>
      </c>
      <c r="J148" t="n">
        <v>0.53528</v>
      </c>
      <c r="K148" t="n">
        <v>0.8282080000000001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0.06411</v>
      </c>
      <c r="AB148" t="n">
        <v>0.063528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0.276912</v>
      </c>
      <c r="AN148" t="n">
        <v>0.27698</v>
      </c>
      <c r="AO148" t="inlineStr"/>
      <c r="AP148" t="inlineStr"/>
      <c r="AQ148" t="inlineStr"/>
      <c r="AR148" t="n">
        <v>0.159314</v>
      </c>
      <c r="AS148" t="n">
        <v>-0.023639</v>
      </c>
      <c r="AT148" t="inlineStr"/>
      <c r="AU148" t="inlineStr"/>
      <c r="AV148" t="inlineStr"/>
      <c r="AW148" t="n">
        <v>0.563963</v>
      </c>
      <c r="AX148" t="n">
        <v>0.574837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0.549674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n">
        <v>0.64493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n">
        <v>-0.7</v>
      </c>
      <c r="DX148" t="inlineStr"/>
      <c r="DY148" t="inlineStr"/>
      <c r="DZ148" t="inlineStr"/>
    </row>
    <row r="149">
      <c r="A149" t="inlineStr">
        <is>
          <t>01/20/2026</t>
        </is>
      </c>
      <c r="B149" t="inlineStr"/>
      <c r="C149" t="inlineStr"/>
      <c r="D149" t="n">
        <v>3.420638</v>
      </c>
      <c r="E149" t="inlineStr"/>
      <c r="F149" t="inlineStr"/>
      <c r="G149" t="inlineStr"/>
      <c r="H149" t="inlineStr"/>
      <c r="I149" t="n">
        <v>1.165787</v>
      </c>
      <c r="J149" t="n">
        <v>1.16508</v>
      </c>
      <c r="K149" t="inlineStr"/>
      <c r="L149" t="inlineStr"/>
      <c r="M149" t="inlineStr"/>
      <c r="N149" t="n">
        <v>-1.215067</v>
      </c>
      <c r="O149" t="inlineStr"/>
      <c r="P149" t="inlineStr"/>
      <c r="Q149" t="inlineStr"/>
      <c r="R149" t="inlineStr"/>
      <c r="S149" t="inlineStr"/>
      <c r="T149" t="n">
        <v>3.611174</v>
      </c>
      <c r="U149" t="n">
        <v>3.623188</v>
      </c>
      <c r="V149" t="inlineStr"/>
      <c r="W149" t="inlineStr"/>
      <c r="X149" t="inlineStr"/>
      <c r="Y149" t="inlineStr"/>
      <c r="Z149" t="inlineStr"/>
      <c r="AA149" t="n">
        <v>0.289328</v>
      </c>
      <c r="AB149" t="n">
        <v>0.288308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1.341752</v>
      </c>
      <c r="AN149" t="n">
        <v>1.341096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6.999899</v>
      </c>
      <c r="AX149" t="n">
        <v>6.997795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4.043808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6.93617</v>
      </c>
      <c r="CJ149" t="n">
        <v>6.954971</v>
      </c>
      <c r="CK149" t="inlineStr"/>
      <c r="CL149" t="inlineStr"/>
      <c r="CM149" t="inlineStr"/>
      <c r="CN149" t="inlineStr"/>
      <c r="CO149" t="n">
        <v>1.6</v>
      </c>
      <c r="CP149" t="n">
        <v>1.563218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4.11859</v>
      </c>
      <c r="CZ149" t="n">
        <v>4.102806</v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n">
        <v>-2.702703</v>
      </c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</row>
    <row r="150">
      <c r="A150" t="inlineStr">
        <is>
          <t>01/16/2026</t>
        </is>
      </c>
      <c r="B150" t="n">
        <v>0.292612</v>
      </c>
      <c r="C150" t="n">
        <v>0.267023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0.415909</v>
      </c>
      <c r="Q150" t="n">
        <v>0.420042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1.760249</v>
      </c>
      <c r="BB150" t="n">
        <v>1.737457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2.12766</v>
      </c>
      <c r="CB150" t="n">
        <v>1.857585</v>
      </c>
      <c r="CC150" t="inlineStr"/>
      <c r="CD150" t="inlineStr"/>
      <c r="CE150" t="inlineStr"/>
      <c r="CF150" t="inlineStr"/>
      <c r="CG150" t="inlineStr"/>
      <c r="CH150" t="inlineStr"/>
      <c r="CI150" t="n">
        <v>2.7547</v>
      </c>
      <c r="CJ150" t="n">
        <v>2.701465</v>
      </c>
      <c r="CK150" t="inlineStr"/>
      <c r="CL150" t="inlineStr"/>
      <c r="CM150" t="inlineStr"/>
      <c r="CN150" t="inlineStr"/>
      <c r="CO150" t="n">
        <v>-1.03909</v>
      </c>
      <c r="CP150" t="n">
        <v>-1.046406</v>
      </c>
      <c r="CQ150" t="inlineStr"/>
      <c r="CR150" t="inlineStr"/>
      <c r="CS150" t="inlineStr"/>
      <c r="CT150" t="inlineStr"/>
      <c r="CU150" t="inlineStr"/>
      <c r="CV150" t="inlineStr"/>
      <c r="CW150" t="n">
        <v>-0.25602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4.358974</v>
      </c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</row>
    <row r="151">
      <c r="A151" t="inlineStr">
        <is>
          <t>01/15/2026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0.483304</v>
      </c>
      <c r="CJ151" t="n">
        <v>0.506213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n">
        <v>0.498575</v>
      </c>
      <c r="DH151" t="inlineStr"/>
      <c r="DI151" t="inlineStr"/>
      <c r="DJ151" t="inlineStr"/>
      <c r="DK151" t="inlineStr"/>
      <c r="DL151" t="inlineStr"/>
      <c r="DM151" t="n">
        <v>0.192678</v>
      </c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</row>
    <row r="152">
      <c r="A152" t="inlineStr">
        <is>
          <t>01/14/2026</t>
        </is>
      </c>
      <c r="B152" t="inlineStr"/>
      <c r="C152" t="inlineStr"/>
      <c r="D152" t="n">
        <v>-2.894885</v>
      </c>
      <c r="E152" t="inlineStr"/>
      <c r="F152" t="n">
        <v>2.674488</v>
      </c>
      <c r="G152" t="inlineStr"/>
      <c r="H152" t="inlineStr"/>
      <c r="I152" t="n">
        <v>0.252799</v>
      </c>
      <c r="J152" t="n">
        <v>0.24139</v>
      </c>
      <c r="K152" t="n">
        <v>0.623804</v>
      </c>
      <c r="L152" t="inlineStr"/>
      <c r="M152" t="inlineStr"/>
      <c r="N152" t="inlineStr"/>
      <c r="O152" t="inlineStr"/>
      <c r="P152" t="n">
        <v>0.246561</v>
      </c>
      <c r="Q152" t="n">
        <v>0.239629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0.172429</v>
      </c>
      <c r="AN152" t="n">
        <v>0.173718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0.9226760000000001</v>
      </c>
      <c r="AX152" t="n">
        <v>0.925605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-0.476125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-0.324484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-0.175439</v>
      </c>
      <c r="CJ152" t="n">
        <v>-0.183739</v>
      </c>
      <c r="CK152" t="inlineStr"/>
      <c r="CL152" t="inlineStr"/>
      <c r="CM152" t="inlineStr"/>
      <c r="CN152" t="inlineStr"/>
      <c r="CO152" t="n">
        <v>-0.347567</v>
      </c>
      <c r="CP152" t="n">
        <v>-0.365297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</row>
    <row r="153">
      <c r="A153" t="inlineStr">
        <is>
          <t>01/13/2026</t>
        </is>
      </c>
      <c r="B153" t="inlineStr"/>
      <c r="C153" t="inlineStr"/>
      <c r="D153" t="n">
        <v>3.505455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0.0293</v>
      </c>
      <c r="M153" t="inlineStr"/>
      <c r="N153" t="inlineStr"/>
      <c r="O153" t="inlineStr"/>
      <c r="P153" t="n">
        <v>1.985177</v>
      </c>
      <c r="Q153" t="n">
        <v>1.985642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0.080327</v>
      </c>
      <c r="AP153" t="inlineStr"/>
      <c r="AQ153" t="inlineStr"/>
      <c r="AR153" t="n">
        <v>-0.272581</v>
      </c>
      <c r="AS153" t="n">
        <v>0.447893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2.333932</v>
      </c>
      <c r="CJ153" t="n">
        <v>2.302632</v>
      </c>
      <c r="CK153" t="inlineStr"/>
      <c r="CL153" t="inlineStr"/>
      <c r="CM153" t="inlineStr"/>
      <c r="CN153" t="inlineStr"/>
      <c r="CO153" t="n">
        <v>0.448878</v>
      </c>
      <c r="CP153" t="n">
        <v>0.458716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n">
        <v>0.154799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</row>
    <row r="154">
      <c r="A154" t="inlineStr">
        <is>
          <t>01/12/2026</t>
        </is>
      </c>
      <c r="B154" t="n">
        <v>0</v>
      </c>
      <c r="C154" t="n">
        <v>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0.124688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0.209143</v>
      </c>
      <c r="BX154" t="inlineStr"/>
      <c r="BY154" t="inlineStr"/>
      <c r="BZ154" t="inlineStr"/>
      <c r="CA154" t="n">
        <v>-0.767263</v>
      </c>
      <c r="CB154" t="n">
        <v>-0.745156</v>
      </c>
      <c r="CC154" t="inlineStr"/>
      <c r="CD154" t="inlineStr"/>
      <c r="CE154" t="inlineStr"/>
      <c r="CF154" t="inlineStr"/>
      <c r="CG154" t="inlineStr"/>
      <c r="CH154" t="inlineStr"/>
      <c r="CI154" t="n">
        <v>0.7233270000000001</v>
      </c>
      <c r="CJ154" t="n">
        <v>0.757576</v>
      </c>
      <c r="CK154" t="inlineStr"/>
      <c r="CL154" t="inlineStr"/>
      <c r="CM154" t="inlineStr"/>
      <c r="CN154" t="inlineStr"/>
      <c r="CO154" t="inlineStr"/>
      <c r="CP154" t="inlineStr"/>
      <c r="CQ154" t="n">
        <v>-1.494949</v>
      </c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0.39267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</row>
    <row r="155">
      <c r="A155" t="inlineStr">
        <is>
          <t>01/09/2026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0.767738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0.151429</v>
      </c>
      <c r="AQ155" t="inlineStr"/>
      <c r="AR155" t="inlineStr"/>
      <c r="AS155" t="n">
        <v>-0.270873</v>
      </c>
      <c r="AT155" t="n">
        <v>-0.277778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0.389105</v>
      </c>
      <c r="BJ155" t="n">
        <v>0.389914</v>
      </c>
      <c r="BK155" t="inlineStr"/>
      <c r="BL155" t="inlineStr"/>
      <c r="BM155" t="inlineStr"/>
      <c r="BN155" t="inlineStr"/>
      <c r="BO155" t="n">
        <v>-0.137749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-0.029869</v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0.278219</v>
      </c>
      <c r="DF155" t="inlineStr"/>
      <c r="DG155" t="n">
        <v>1.292639</v>
      </c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</row>
    <row r="156">
      <c r="A156" t="inlineStr">
        <is>
          <t>01/08/2026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0.6384</v>
      </c>
      <c r="J156" t="n">
        <v>0.644122</v>
      </c>
      <c r="K156" t="inlineStr"/>
      <c r="L156" t="inlineStr"/>
      <c r="M156" t="inlineStr"/>
      <c r="N156" t="inlineStr"/>
      <c r="O156" t="inlineStr"/>
      <c r="P156" t="n">
        <v>1.52969</v>
      </c>
      <c r="Q156" t="n">
        <v>1.52439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0.06421300000000001</v>
      </c>
      <c r="AB156" t="n">
        <v>0.06393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0.537215</v>
      </c>
      <c r="AN156" t="n">
        <v>0.533936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0.303125</v>
      </c>
      <c r="AX156" t="n">
        <v>0.301423</v>
      </c>
      <c r="AY156" t="inlineStr"/>
      <c r="AZ156" t="inlineStr"/>
      <c r="BA156" t="n">
        <v>-0.935707</v>
      </c>
      <c r="BB156" t="n">
        <v>-0.937423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2.5288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0.709579</v>
      </c>
      <c r="CP156" t="n">
        <v>0.7459209999999999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</row>
    <row r="157">
      <c r="A157" t="inlineStr">
        <is>
          <t>01/07/2026</t>
        </is>
      </c>
      <c r="B157" t="inlineStr"/>
      <c r="C157" t="inlineStr"/>
      <c r="D157" t="inlineStr"/>
      <c r="E157" t="inlineStr"/>
      <c r="F157" t="n">
        <v>0.155369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-1.381053</v>
      </c>
      <c r="AF157" t="n">
        <v>-1.38342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-0.628378</v>
      </c>
      <c r="AS157" t="n">
        <v>1.456113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0.540971</v>
      </c>
      <c r="BD157" t="inlineStr"/>
      <c r="BE157" t="inlineStr"/>
      <c r="BF157" t="inlineStr"/>
      <c r="BG157" t="inlineStr"/>
      <c r="BH157" t="inlineStr"/>
      <c r="BI157" t="n">
        <v>0.655977</v>
      </c>
      <c r="BJ157" t="n">
        <v>0.649182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-1.497343</v>
      </c>
      <c r="CZ157" t="n">
        <v>-1.51551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-1.797386</v>
      </c>
      <c r="DU157" t="inlineStr"/>
      <c r="DV157" t="inlineStr"/>
      <c r="DW157" t="inlineStr"/>
      <c r="DX157" t="inlineStr"/>
      <c r="DY157" t="inlineStr"/>
      <c r="DZ157" t="inlineStr"/>
    </row>
    <row r="158">
      <c r="A158" t="inlineStr">
        <is>
          <t>01/06/2026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-1.046446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n">
        <v>-1.063338</v>
      </c>
      <c r="CJ158" t="n">
        <v>-1.113262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-0.129534</v>
      </c>
      <c r="DN158" t="inlineStr"/>
      <c r="DO158" t="inlineStr"/>
      <c r="DP158" t="inlineStr"/>
      <c r="DQ158" t="inlineStr"/>
      <c r="DR158" t="inlineStr"/>
      <c r="DS158" t="inlineStr"/>
      <c r="DT158" t="inlineStr"/>
      <c r="DU158" t="n">
        <v>1.911589</v>
      </c>
      <c r="DV158" t="inlineStr"/>
      <c r="DW158" t="inlineStr"/>
      <c r="DX158" t="inlineStr"/>
      <c r="DY158" t="inlineStr"/>
      <c r="DZ158" t="inlineStr"/>
    </row>
    <row r="159">
      <c r="A159" t="inlineStr">
        <is>
          <t>01/05/2026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2.870856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2.938847</v>
      </c>
      <c r="AF159" t="n">
        <v>2.934964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1.795035</v>
      </c>
      <c r="AS159" t="n">
        <v>1.189216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</row>
    <row r="160">
      <c r="A160" t="inlineStr">
        <is>
          <t>01/02/2026</t>
        </is>
      </c>
      <c r="B160" t="inlineStr"/>
      <c r="C160" t="inlineStr"/>
      <c r="D160" t="n">
        <v>-1.732636</v>
      </c>
      <c r="E160" t="inlineStr"/>
      <c r="F160" t="inlineStr"/>
      <c r="G160" t="inlineStr"/>
      <c r="H160" t="inlineStr"/>
      <c r="I160" t="inlineStr"/>
      <c r="J160" t="inlineStr"/>
      <c r="K160" t="n">
        <v>1.506676</v>
      </c>
      <c r="L160" t="inlineStr"/>
      <c r="M160" t="inlineStr"/>
      <c r="N160" t="inlineStr"/>
      <c r="O160" t="inlineStr"/>
      <c r="P160" t="n">
        <v>-0.7469</v>
      </c>
      <c r="Q160" t="n">
        <v>-0.747967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3.173949</v>
      </c>
      <c r="Z160" t="n">
        <v>3.158167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0.352178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1.362285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1.581059</v>
      </c>
      <c r="BR160" t="n">
        <v>1.573677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0.36685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n">
        <v>1.235585</v>
      </c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n">
        <v>-1.441103</v>
      </c>
      <c r="DN160" t="inlineStr"/>
      <c r="DO160" t="inlineStr"/>
      <c r="DP160" t="inlineStr"/>
      <c r="DQ160" t="n">
        <v>0.608519</v>
      </c>
      <c r="DR160" t="n">
        <v>0.612354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n">
        <v>1.04918</v>
      </c>
    </row>
    <row r="161">
      <c r="A161" t="inlineStr">
        <is>
          <t>12/31/2025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1.118718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3.219373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2.424863</v>
      </c>
      <c r="CZ161" t="n">
        <v>2.410849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</row>
    <row r="162">
      <c r="A162" t="inlineStr">
        <is>
          <t>12/30/2025</t>
        </is>
      </c>
      <c r="B162" t="inlineStr"/>
      <c r="C162" t="inlineStr"/>
      <c r="D162" t="n">
        <v>0.268176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-0.880134</v>
      </c>
      <c r="Q162" t="n">
        <v>-0.886525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-0.950963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-1.376791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-0.359527</v>
      </c>
      <c r="CP162" t="n">
        <v>-0.377715</v>
      </c>
      <c r="CQ162" t="inlineStr"/>
      <c r="CR162" t="inlineStr"/>
      <c r="CS162" t="inlineStr"/>
      <c r="CT162" t="n">
        <v>3.326585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0.46729</v>
      </c>
      <c r="DU162" t="inlineStr"/>
      <c r="DV162" t="inlineStr"/>
      <c r="DW162" t="inlineStr"/>
      <c r="DX162" t="inlineStr"/>
      <c r="DY162" t="inlineStr"/>
      <c r="DZ162" t="inlineStr"/>
    </row>
    <row r="163">
      <c r="A163" t="inlineStr">
        <is>
          <t>12/29/2025</t>
        </is>
      </c>
      <c r="B163" t="inlineStr"/>
      <c r="C163" t="inlineStr"/>
      <c r="D163" t="n">
        <v>-2.13361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-0.281963</v>
      </c>
      <c r="Q163" t="n">
        <v>-0.289296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-0.50206</v>
      </c>
      <c r="AS163" t="n">
        <v>-0.260709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</row>
    <row r="164">
      <c r="A164" t="inlineStr">
        <is>
          <t>12/26/2025</t>
        </is>
      </c>
      <c r="B164" t="inlineStr"/>
      <c r="C164" t="inlineStr"/>
      <c r="D164" t="n">
        <v>-1.826107</v>
      </c>
      <c r="E164" t="n">
        <v>-1.850318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-1.492723</v>
      </c>
      <c r="S164" t="n">
        <v>-1.500553</v>
      </c>
      <c r="T164" t="inlineStr"/>
      <c r="U164" t="inlineStr"/>
      <c r="V164" t="inlineStr"/>
      <c r="W164" t="inlineStr"/>
      <c r="X164" t="inlineStr"/>
      <c r="Y164" t="n">
        <v>-0.768608</v>
      </c>
      <c r="Z164" t="n">
        <v>-0.787402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-0.493872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-8.455227000000001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-0.657143</v>
      </c>
      <c r="CG164" t="inlineStr"/>
      <c r="CH164" t="inlineStr"/>
      <c r="CI164" t="n">
        <v>-1.947188</v>
      </c>
      <c r="CJ164" t="n">
        <v>-1.991157</v>
      </c>
      <c r="CK164" t="inlineStr"/>
      <c r="CL164" t="inlineStr"/>
      <c r="CM164" t="n">
        <v>-1.067837</v>
      </c>
      <c r="CN164" t="n">
        <v>-1.06509</v>
      </c>
      <c r="CO164" t="n">
        <v>-0.564682</v>
      </c>
      <c r="CP164" t="n">
        <v>-0.5663049999999999</v>
      </c>
      <c r="CQ164" t="inlineStr"/>
      <c r="CR164" t="inlineStr"/>
      <c r="CS164" t="inlineStr"/>
      <c r="CT164" t="inlineStr"/>
      <c r="CU164" t="n">
        <v>1.413306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n">
        <v>-0.737984</v>
      </c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1.027218</v>
      </c>
      <c r="DO164" t="inlineStr"/>
      <c r="DP164" t="inlineStr"/>
      <c r="DQ164" t="inlineStr"/>
      <c r="DR164" t="inlineStr"/>
      <c r="DS164" t="inlineStr"/>
      <c r="DT164" t="inlineStr"/>
      <c r="DU164" t="n">
        <v>1.10977</v>
      </c>
      <c r="DV164" t="inlineStr"/>
      <c r="DW164" t="inlineStr"/>
      <c r="DX164" t="inlineStr"/>
      <c r="DY164" t="n">
        <v>-0.150267</v>
      </c>
      <c r="DZ164" t="n">
        <v>-0.172377</v>
      </c>
    </row>
    <row r="165">
      <c r="A165" t="inlineStr">
        <is>
          <t>12/24/2025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0.12048</v>
      </c>
      <c r="O165" t="n">
        <v>0.2556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0.025562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0.589817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2.215038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</row>
    <row r="166">
      <c r="A166" t="inlineStr">
        <is>
          <t>12/23/2025</t>
        </is>
      </c>
      <c r="B166" t="inlineStr"/>
      <c r="C166" t="inlineStr"/>
      <c r="D166" t="inlineStr"/>
      <c r="E166" t="inlineStr"/>
      <c r="F166" t="n">
        <v>0.410413</v>
      </c>
      <c r="G166" t="inlineStr"/>
      <c r="H166" t="inlineStr"/>
      <c r="I166" t="inlineStr"/>
      <c r="J166" t="inlineStr"/>
      <c r="K166" t="n">
        <v>0.295582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-0.656183</v>
      </c>
      <c r="BJ166" t="n">
        <v>-0.683302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</row>
    <row r="167">
      <c r="A167" t="inlineStr">
        <is>
          <t>12/22/2025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n">
        <v>-0.997553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</row>
    <row r="168">
      <c r="A168" t="inlineStr">
        <is>
          <t>12/19/2025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0.644737</v>
      </c>
      <c r="J168" t="n">
        <v>0.619094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0.064287</v>
      </c>
      <c r="AB168" t="n">
        <v>0.06431000000000001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0.5384409999999999</v>
      </c>
      <c r="AN168" t="n">
        <v>0.5331939999999999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2.419334</v>
      </c>
      <c r="AX168" t="n">
        <v>2.405063</v>
      </c>
      <c r="AY168" t="inlineStr"/>
      <c r="AZ168" t="inlineStr"/>
      <c r="BA168" t="inlineStr"/>
      <c r="BB168" t="inlineStr"/>
      <c r="BC168" t="n">
        <v>4.81913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</row>
    <row r="169">
      <c r="A169" t="inlineStr">
        <is>
          <t>12/18/2025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0.889276</v>
      </c>
      <c r="J169" t="n">
        <v>0.895037</v>
      </c>
      <c r="K169" t="n">
        <v>0.643716</v>
      </c>
      <c r="L169" t="inlineStr"/>
      <c r="M169" t="inlineStr"/>
      <c r="N169" t="inlineStr"/>
      <c r="O169" t="n">
        <v>3.837863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-0.03197</v>
      </c>
      <c r="AB169" t="n">
        <v>-0.06426900000000001</v>
      </c>
      <c r="AC169" t="inlineStr"/>
      <c r="AD169" t="inlineStr"/>
      <c r="AE169" t="n">
        <v>1.052639</v>
      </c>
      <c r="AF169" t="n">
        <v>1.049425</v>
      </c>
      <c r="AG169" t="inlineStr"/>
      <c r="AH169" t="inlineStr"/>
      <c r="AI169" t="inlineStr"/>
      <c r="AJ169" t="inlineStr"/>
      <c r="AK169" t="inlineStr"/>
      <c r="AL169" t="inlineStr"/>
      <c r="AM169" t="n">
        <v>0.407337</v>
      </c>
      <c r="AN169" t="n">
        <v>0.408984</v>
      </c>
      <c r="AO169" t="inlineStr"/>
      <c r="AP169" t="inlineStr"/>
      <c r="AQ169" t="inlineStr"/>
      <c r="AR169" t="n">
        <v>1.22975</v>
      </c>
      <c r="AS169" t="inlineStr"/>
      <c r="AT169" t="inlineStr"/>
      <c r="AU169" t="inlineStr"/>
      <c r="AV169" t="inlineStr"/>
      <c r="AW169" t="n">
        <v>1.910694</v>
      </c>
      <c r="AX169" t="n">
        <v>1.920872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</row>
    <row r="170">
      <c r="A170" t="inlineStr">
        <is>
          <t>12/17/2025</t>
        </is>
      </c>
      <c r="B170" t="inlineStr"/>
      <c r="C170" t="inlineStr"/>
      <c r="D170" t="n">
        <v>-1.09844</v>
      </c>
      <c r="E170" t="inlineStr"/>
      <c r="F170" t="n">
        <v>1.315364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1.227731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1.510358</v>
      </c>
      <c r="AZ170" t="n">
        <v>1.499441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3.10202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2.013877</v>
      </c>
      <c r="CJ170" t="n">
        <v>2.058513</v>
      </c>
      <c r="CK170" t="inlineStr"/>
      <c r="CL170" t="inlineStr"/>
      <c r="CM170" t="inlineStr"/>
      <c r="CN170" t="inlineStr"/>
      <c r="CO170" t="n">
        <v>0.418629</v>
      </c>
      <c r="CP170" t="n">
        <v>0.4329</v>
      </c>
      <c r="CQ170" t="n">
        <v>-1.167384</v>
      </c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1.326596</v>
      </c>
      <c r="CZ170" t="n">
        <v>1.316276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n">
        <v>1.353541</v>
      </c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0.86757</v>
      </c>
      <c r="DZ170" t="inlineStr"/>
    </row>
    <row r="171">
      <c r="A171" t="inlineStr">
        <is>
          <t>12/16/2025</t>
        </is>
      </c>
      <c r="B171" t="n">
        <v>0.145085</v>
      </c>
      <c r="C171" t="n">
        <v>0.088183</v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0.610127</v>
      </c>
      <c r="L171" t="inlineStr"/>
      <c r="M171" t="inlineStr"/>
      <c r="N171" t="inlineStr"/>
      <c r="O171" t="n">
        <v>-2.08328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-0.329354</v>
      </c>
      <c r="AF171" t="n">
        <v>-0.337762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n">
        <v>-0.367545</v>
      </c>
      <c r="CB171" t="n">
        <v>-0.294551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</row>
    <row r="172">
      <c r="A172" t="inlineStr">
        <is>
          <t>12/15/2025</t>
        </is>
      </c>
      <c r="B172" t="inlineStr"/>
      <c r="C172" t="inlineStr"/>
      <c r="D172" t="inlineStr"/>
      <c r="E172" t="n">
        <v>-1.108029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2.075036</v>
      </c>
      <c r="P172" t="n">
        <v>-0.613365</v>
      </c>
      <c r="Q172" t="n">
        <v>-0.616796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-0.88248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-0.479407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-1.080892</v>
      </c>
      <c r="BB172" t="n">
        <v>-1.086798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-0.703078</v>
      </c>
      <c r="BN172" t="n">
        <v>-0.701344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-0.739922</v>
      </c>
      <c r="CD172" t="inlineStr"/>
      <c r="CE172" t="inlineStr"/>
      <c r="CF172" t="n">
        <v>0.286134</v>
      </c>
      <c r="CG172" t="n">
        <v>-0.941681</v>
      </c>
      <c r="CH172" t="n">
        <v>-0.925024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0.906987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n">
        <v>0.54037</v>
      </c>
      <c r="DX172" t="inlineStr"/>
      <c r="DY172" t="inlineStr"/>
      <c r="DZ172" t="inlineStr"/>
    </row>
    <row r="173">
      <c r="A173" t="inlineStr">
        <is>
          <t>12/12/2025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-0.659015</v>
      </c>
      <c r="BB173" t="n">
        <v>-0.679528</v>
      </c>
      <c r="BC173" t="n">
        <v>-0.076431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-1.228503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0.363242</v>
      </c>
      <c r="CZ173" t="n">
        <v>0.357831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1.058655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0.259037</v>
      </c>
      <c r="DW173" t="inlineStr"/>
      <c r="DX173" t="inlineStr"/>
      <c r="DY173" t="inlineStr"/>
      <c r="DZ173" t="inlineStr"/>
    </row>
    <row r="174">
      <c r="A174" t="inlineStr">
        <is>
          <t>12/11/2025</t>
        </is>
      </c>
      <c r="B174" t="n">
        <v>0.181488</v>
      </c>
      <c r="C174" t="n">
        <v>0.176523</v>
      </c>
      <c r="D174" t="inlineStr"/>
      <c r="E174" t="n">
        <v>0.113444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1.075482</v>
      </c>
      <c r="O174" t="inlineStr"/>
      <c r="P174" t="inlineStr"/>
      <c r="Q174" t="inlineStr"/>
      <c r="R174" t="n">
        <v>0.637186</v>
      </c>
      <c r="S174" t="n">
        <v>0.630864</v>
      </c>
      <c r="T174" t="inlineStr"/>
      <c r="U174" t="inlineStr"/>
      <c r="V174" t="inlineStr"/>
      <c r="W174" t="inlineStr"/>
      <c r="X174" t="inlineStr"/>
      <c r="Y174" t="n">
        <v>0.165631</v>
      </c>
      <c r="Z174" t="n">
        <v>0.155925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-1.611305</v>
      </c>
      <c r="AL174" t="n">
        <v>-1.631972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-1.913424</v>
      </c>
      <c r="AZ174" t="n">
        <v>-1.901446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0.123695</v>
      </c>
      <c r="CB174" t="n">
        <v>0.147929</v>
      </c>
      <c r="CC174" t="inlineStr"/>
      <c r="CD174" t="inlineStr"/>
      <c r="CE174" t="inlineStr"/>
      <c r="CF174" t="n">
        <v>-4.342093</v>
      </c>
      <c r="CG174" t="inlineStr"/>
      <c r="CH174" t="inlineStr"/>
      <c r="CI174" t="n">
        <v>1.228322</v>
      </c>
      <c r="CJ174" t="n">
        <v>1.237181</v>
      </c>
      <c r="CK174" t="inlineStr"/>
      <c r="CL174" t="inlineStr"/>
      <c r="CM174" t="n">
        <v>-1.024144</v>
      </c>
      <c r="CN174" t="n">
        <v>-1.024249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-3.589741</v>
      </c>
      <c r="CZ174" t="n">
        <v>-3.583176</v>
      </c>
      <c r="DA174" t="inlineStr"/>
      <c r="DB174" t="inlineStr"/>
      <c r="DC174" t="n">
        <v>-2.141582</v>
      </c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3.845664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1.044296</v>
      </c>
      <c r="DW174" t="inlineStr"/>
      <c r="DX174" t="inlineStr"/>
      <c r="DY174" t="n">
        <v>-0.335356</v>
      </c>
      <c r="DZ174" t="n">
        <v>-0.323427</v>
      </c>
    </row>
    <row r="175">
      <c r="A175" t="inlineStr">
        <is>
          <t>12/10/2025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0.202592</v>
      </c>
      <c r="J175" t="n">
        <v>0.206603</v>
      </c>
      <c r="K175" t="n">
        <v>2.994712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-0.031973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0.600275</v>
      </c>
      <c r="AN175" t="n">
        <v>0.596073</v>
      </c>
      <c r="AO175" t="inlineStr"/>
      <c r="AP175" t="inlineStr"/>
      <c r="AQ175" t="inlineStr"/>
      <c r="AR175" t="n">
        <v>1.067772</v>
      </c>
      <c r="AS175" t="inlineStr"/>
      <c r="AT175" t="inlineStr"/>
      <c r="AU175" t="inlineStr"/>
      <c r="AV175" t="inlineStr"/>
      <c r="AW175" t="n">
        <v>0.254705</v>
      </c>
      <c r="AX175" t="n">
        <v>0.246761</v>
      </c>
      <c r="AY175" t="inlineStr"/>
      <c r="AZ175" t="inlineStr"/>
      <c r="BA175" t="inlineStr"/>
      <c r="BB175" t="inlineStr"/>
      <c r="BC175" t="n">
        <v>6.461972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0.157803</v>
      </c>
      <c r="BP175" t="inlineStr"/>
      <c r="BQ175" t="inlineStr"/>
      <c r="BR175" t="inlineStr"/>
      <c r="BS175" t="inlineStr"/>
      <c r="BT175" t="inlineStr"/>
      <c r="BU175" t="n">
        <v>0.529996</v>
      </c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</row>
    <row r="176">
      <c r="A176" t="inlineStr">
        <is>
          <t>12/09/2025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0.672049</v>
      </c>
      <c r="J176" t="n">
        <v>0.671983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0.322801</v>
      </c>
      <c r="AB176" t="n">
        <v>0.322055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0.999228</v>
      </c>
      <c r="AN176" t="n">
        <v>0.993407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1.497434</v>
      </c>
      <c r="AX176" t="n">
        <v>1.490108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-0.400154</v>
      </c>
      <c r="BJ176" t="n">
        <v>-0.38104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1.576458</v>
      </c>
      <c r="CP176" t="n">
        <v>1.593433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-0.8230420000000001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</row>
    <row r="177">
      <c r="A177" t="inlineStr">
        <is>
          <t>12/08/2025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</row>
    <row r="178">
      <c r="A178" t="inlineStr">
        <is>
          <t>12/05/2025</t>
        </is>
      </c>
      <c r="B178" t="n">
        <v>0.254268</v>
      </c>
      <c r="C178" t="n">
        <v>0.265018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n">
        <v>0.7442</v>
      </c>
      <c r="CB178" t="n">
        <v>0.744048</v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</row>
    <row r="179">
      <c r="A179" t="inlineStr">
        <is>
          <t>12/04/2025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0.014001</v>
      </c>
      <c r="Q179" t="n">
        <v>0.016142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</row>
    <row r="180">
      <c r="A180" t="inlineStr">
        <is>
          <t>12/03/2025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-0.854276</v>
      </c>
      <c r="L180" t="inlineStr"/>
      <c r="M180" t="inlineStr"/>
      <c r="N180" t="inlineStr"/>
      <c r="O180" t="n">
        <v>-0.478189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0.724156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-0.186458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0.125124</v>
      </c>
      <c r="DW180" t="inlineStr"/>
      <c r="DX180" t="inlineStr"/>
      <c r="DY180" t="inlineStr"/>
      <c r="DZ180" t="inlineStr"/>
    </row>
    <row r="181">
      <c r="A181" t="inlineStr">
        <is>
          <t>12/02/2025</t>
        </is>
      </c>
      <c r="B181" t="inlineStr"/>
      <c r="C181" t="inlineStr"/>
      <c r="D181" t="n">
        <v>4.242059</v>
      </c>
      <c r="E181" t="inlineStr"/>
      <c r="F181" t="n">
        <v>-1.971519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2.00093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0.682331</v>
      </c>
      <c r="AF181" t="n">
        <v>0.68355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</row>
    <row r="182">
      <c r="A182" t="inlineStr">
        <is>
          <t>12/01/2025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1.272348</v>
      </c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</row>
    <row r="183">
      <c r="A183" t="inlineStr">
        <is>
          <t>11/28/2025</t>
        </is>
      </c>
      <c r="B183" t="n">
        <v>0.217707</v>
      </c>
      <c r="C183" t="n">
        <v>0.176367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1.384958</v>
      </c>
      <c r="CB183" t="n">
        <v>1.361573</v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</row>
    <row r="184">
      <c r="A184" t="inlineStr">
        <is>
          <t>11/26/2025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0.530202</v>
      </c>
      <c r="J184" t="n">
        <v>0.513894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0.06437</v>
      </c>
      <c r="AB184" t="n">
        <v>0.032004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0.7177559999999999</v>
      </c>
      <c r="AN184" t="n">
        <v>0.712493</v>
      </c>
      <c r="AO184" t="inlineStr"/>
      <c r="AP184" t="inlineStr"/>
      <c r="AQ184" t="inlineStr"/>
      <c r="AR184" t="n">
        <v>0.549987</v>
      </c>
      <c r="AS184" t="inlineStr"/>
      <c r="AT184" t="inlineStr"/>
      <c r="AU184" t="inlineStr"/>
      <c r="AV184" t="inlineStr"/>
      <c r="AW184" t="n">
        <v>1.988165</v>
      </c>
      <c r="AX184" t="n">
        <v>1.986475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0.6573870000000001</v>
      </c>
      <c r="BJ184" t="n">
        <v>0.656585</v>
      </c>
      <c r="BK184" t="inlineStr"/>
      <c r="BL184" t="inlineStr"/>
      <c r="BM184" t="inlineStr"/>
      <c r="BN184" t="inlineStr"/>
      <c r="BO184" t="n">
        <v>0.354826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</row>
    <row r="185">
      <c r="A185" t="inlineStr">
        <is>
          <t>11/25/2025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0.69154</v>
      </c>
      <c r="J185" t="n">
        <v>0.6952739999999999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0.064412</v>
      </c>
      <c r="AB185" t="n">
        <v>0.096427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0.67955</v>
      </c>
      <c r="AN185" t="n">
        <v>0.677052</v>
      </c>
      <c r="AO185" t="inlineStr"/>
      <c r="AP185" t="inlineStr"/>
      <c r="AQ185" t="inlineStr"/>
      <c r="AR185" t="n">
        <v>0.641614</v>
      </c>
      <c r="AS185" t="inlineStr"/>
      <c r="AT185" t="inlineStr"/>
      <c r="AU185" t="inlineStr"/>
      <c r="AV185" t="inlineStr"/>
      <c r="AW185" t="n">
        <v>0.560762</v>
      </c>
      <c r="AX185" t="n">
        <v>0.552486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-0.678696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</row>
    <row r="186">
      <c r="A186" t="inlineStr">
        <is>
          <t>11/24/2025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0.906004</v>
      </c>
      <c r="J186" t="n">
        <v>0.8973449999999999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0.355689</v>
      </c>
      <c r="AB186" t="n">
        <v>0.35493</v>
      </c>
      <c r="AC186" t="inlineStr"/>
      <c r="AD186" t="inlineStr"/>
      <c r="AE186" t="n">
        <v>3.312622</v>
      </c>
      <c r="AF186" t="n">
        <v>3.301573</v>
      </c>
      <c r="AG186" t="inlineStr"/>
      <c r="AH186" t="inlineStr"/>
      <c r="AI186" t="inlineStr"/>
      <c r="AJ186" t="inlineStr"/>
      <c r="AK186" t="inlineStr"/>
      <c r="AL186" t="inlineStr"/>
      <c r="AM186" t="n">
        <v>1.034265</v>
      </c>
      <c r="AN186" t="n">
        <v>1.031041</v>
      </c>
      <c r="AO186" t="inlineStr"/>
      <c r="AP186" t="inlineStr"/>
      <c r="AQ186" t="inlineStr"/>
      <c r="AR186" t="inlineStr"/>
      <c r="AS186" t="n">
        <v>1.821343</v>
      </c>
      <c r="AT186" t="inlineStr"/>
      <c r="AU186" t="inlineStr"/>
      <c r="AV186" t="inlineStr"/>
      <c r="AW186" t="n">
        <v>1.925887</v>
      </c>
      <c r="AX186" t="n">
        <v>1.9203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</row>
    <row r="187">
      <c r="A187" t="inlineStr">
        <is>
          <t>11/21/2025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1.528886</v>
      </c>
      <c r="J187" t="n">
        <v>1.523984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0.259234</v>
      </c>
      <c r="AB187" t="n">
        <v>0.226524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0.480298</v>
      </c>
      <c r="AN187" t="n">
        <v>0.471797</v>
      </c>
      <c r="AO187" t="inlineStr"/>
      <c r="AP187" t="inlineStr"/>
      <c r="AQ187" t="inlineStr"/>
      <c r="AR187" t="n">
        <v>1.048751</v>
      </c>
      <c r="AS187" t="inlineStr"/>
      <c r="AT187" t="inlineStr"/>
      <c r="AU187" t="inlineStr"/>
      <c r="AV187" t="inlineStr"/>
      <c r="AW187" t="n">
        <v>1.603364</v>
      </c>
      <c r="AX187" t="n">
        <v>1.584042</v>
      </c>
      <c r="AY187" t="inlineStr"/>
      <c r="AZ187" t="inlineStr"/>
      <c r="BA187" t="inlineStr"/>
      <c r="BB187" t="inlineStr"/>
      <c r="BC187" t="n">
        <v>7.987652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</row>
    <row r="188">
      <c r="A188" t="inlineStr">
        <is>
          <t>11/20/2025</t>
        </is>
      </c>
      <c r="B188" t="inlineStr"/>
      <c r="C188" t="inlineStr"/>
      <c r="D188" t="n">
        <v>3.675059</v>
      </c>
      <c r="E188" t="inlineStr"/>
      <c r="F188" t="n">
        <v>2.138981</v>
      </c>
      <c r="G188" t="inlineStr"/>
      <c r="H188" t="inlineStr"/>
      <c r="I188" t="n">
        <v>0.991683</v>
      </c>
      <c r="J188" t="n">
        <v>0.987053</v>
      </c>
      <c r="K188" t="inlineStr"/>
      <c r="L188" t="inlineStr"/>
      <c r="M188" t="inlineStr"/>
      <c r="N188" t="inlineStr"/>
      <c r="O188" t="n">
        <v>-2.106843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0.325095</v>
      </c>
      <c r="AB188" t="n">
        <v>0.357004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1.38107</v>
      </c>
      <c r="AN188" t="n">
        <v>1.382924</v>
      </c>
      <c r="AO188" t="inlineStr"/>
      <c r="AP188" t="inlineStr"/>
      <c r="AQ188" t="inlineStr"/>
      <c r="AR188" t="inlineStr"/>
      <c r="AS188" t="n">
        <v>2.629061</v>
      </c>
      <c r="AT188" t="inlineStr"/>
      <c r="AU188" t="inlineStr"/>
      <c r="AV188" t="inlineStr"/>
      <c r="AW188" t="n">
        <v>3.164879</v>
      </c>
      <c r="AX188" t="n">
        <v>3.162354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1.319241</v>
      </c>
      <c r="CZ188" t="n">
        <v>1.335517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-0.137158</v>
      </c>
      <c r="DU188" t="inlineStr"/>
      <c r="DV188" t="inlineStr"/>
      <c r="DW188" t="inlineStr"/>
      <c r="DX188" t="inlineStr"/>
      <c r="DY188" t="inlineStr"/>
      <c r="DZ188" t="inlineStr"/>
    </row>
    <row r="189">
      <c r="A189" t="inlineStr">
        <is>
          <t>11/19/2025</t>
        </is>
      </c>
      <c r="B189" t="n">
        <v>0.07191699999999999</v>
      </c>
      <c r="C189" t="n">
        <v>0.087413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-1.789183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-2.361448</v>
      </c>
      <c r="AZ189" t="n">
        <v>-2.361052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n">
        <v>0.367175</v>
      </c>
      <c r="CB189" t="n">
        <v>0.441826</v>
      </c>
      <c r="CC189" t="inlineStr"/>
      <c r="CD189" t="inlineStr"/>
      <c r="CE189" t="inlineStr"/>
      <c r="CF189" t="inlineStr"/>
      <c r="CG189" t="inlineStr"/>
      <c r="CH189" t="inlineStr"/>
      <c r="CI189" t="n">
        <v>-3.641002</v>
      </c>
      <c r="CJ189" t="n">
        <v>-3.658373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n">
        <v>4.783975</v>
      </c>
      <c r="DN189" t="inlineStr"/>
      <c r="DO189" t="inlineStr"/>
      <c r="DP189" t="inlineStr"/>
      <c r="DQ189" t="inlineStr"/>
      <c r="DR189" t="inlineStr"/>
      <c r="DS189" t="inlineStr"/>
      <c r="DT189" t="n">
        <v>4.172748</v>
      </c>
      <c r="DU189" t="inlineStr"/>
      <c r="DV189" t="inlineStr"/>
      <c r="DW189" t="inlineStr"/>
      <c r="DX189" t="inlineStr"/>
      <c r="DY189" t="inlineStr"/>
      <c r="DZ189" t="inlineStr"/>
    </row>
    <row r="190">
      <c r="A190" t="inlineStr">
        <is>
          <t>11/18/2025</t>
        </is>
      </c>
      <c r="B190" t="inlineStr"/>
      <c r="C190" t="inlineStr"/>
      <c r="D190" t="n">
        <v>-0.98259</v>
      </c>
      <c r="E190" t="n">
        <v>-0.965368</v>
      </c>
      <c r="F190" t="n">
        <v>3.577041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0.014073</v>
      </c>
      <c r="S190" t="n">
        <v>0</v>
      </c>
      <c r="T190" t="inlineStr"/>
      <c r="U190" t="inlineStr"/>
      <c r="V190" t="inlineStr"/>
      <c r="W190" t="inlineStr"/>
      <c r="X190" t="inlineStr"/>
      <c r="Y190" t="n">
        <v>0.615174</v>
      </c>
      <c r="Z190" t="n">
        <v>0.6287509999999999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n">
        <v>0.512158</v>
      </c>
      <c r="AI190" t="inlineStr"/>
      <c r="AJ190" t="inlineStr"/>
      <c r="AK190" t="n">
        <v>0.947589</v>
      </c>
      <c r="AL190" t="n">
        <v>0.940101</v>
      </c>
      <c r="AM190" t="inlineStr"/>
      <c r="AN190" t="inlineStr"/>
      <c r="AO190" t="inlineStr"/>
      <c r="AP190" t="inlineStr"/>
      <c r="AQ190" t="n">
        <v>0.242623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0.5448730000000001</v>
      </c>
      <c r="AZ190" t="n">
        <v>0.535839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0.00925</v>
      </c>
      <c r="BN190" t="n">
        <v>0.012601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-0.276829</v>
      </c>
      <c r="CD190" t="inlineStr"/>
      <c r="CE190" t="inlineStr"/>
      <c r="CF190" t="n">
        <v>1.086386</v>
      </c>
      <c r="CG190" t="n">
        <v>-0.088157</v>
      </c>
      <c r="CH190" t="n">
        <v>-0.074934</v>
      </c>
      <c r="CI190" t="inlineStr"/>
      <c r="CJ190" t="inlineStr"/>
      <c r="CK190" t="inlineStr"/>
      <c r="CL190" t="inlineStr"/>
      <c r="CM190" t="n">
        <v>0.19437</v>
      </c>
      <c r="CN190" t="n">
        <v>0.181207</v>
      </c>
      <c r="CO190" t="n">
        <v>-0.962567</v>
      </c>
      <c r="CP190" t="n">
        <v>-0.933661</v>
      </c>
      <c r="CQ190" t="n">
        <v>2.098736</v>
      </c>
      <c r="CR190" t="n">
        <v>2.080879</v>
      </c>
      <c r="CS190" t="inlineStr"/>
      <c r="CT190" t="inlineStr"/>
      <c r="CU190" t="inlineStr"/>
      <c r="CV190" t="inlineStr"/>
      <c r="CW190" t="inlineStr"/>
      <c r="CX190" t="inlineStr"/>
      <c r="CY190" t="n">
        <v>1.771221</v>
      </c>
      <c r="CZ190" t="inlineStr"/>
      <c r="DA190" t="inlineStr"/>
      <c r="DB190" t="inlineStr"/>
      <c r="DC190" t="n">
        <v>0.734325</v>
      </c>
      <c r="DD190" t="n">
        <v>0.733473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-0.198778</v>
      </c>
      <c r="DV190" t="inlineStr"/>
      <c r="DW190" t="inlineStr"/>
      <c r="DX190" t="inlineStr"/>
      <c r="DY190" t="n">
        <v>-0.803601</v>
      </c>
      <c r="DZ190" t="n">
        <v>-0.802687</v>
      </c>
    </row>
    <row r="191">
      <c r="A191" t="inlineStr">
        <is>
          <t>11/17/2025</t>
        </is>
      </c>
      <c r="B191" t="n">
        <v>0</v>
      </c>
      <c r="C191" t="n">
        <v>-0.043668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1.059459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0.816429</v>
      </c>
      <c r="AF191" t="n">
        <v>0.8025679999999999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0.491739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0.09568599999999999</v>
      </c>
      <c r="BJ191" t="n">
        <v>0.07730099999999999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-0.246419</v>
      </c>
      <c r="CB191" t="n">
        <v>-0.443131</v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-3.748093</v>
      </c>
      <c r="CZ191" t="n">
        <v>-3.759434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2.431775</v>
      </c>
      <c r="DO191" t="inlineStr"/>
      <c r="DP191" t="inlineStr"/>
      <c r="DQ191" t="inlineStr"/>
      <c r="DR191" t="inlineStr"/>
      <c r="DS191" t="inlineStr"/>
      <c r="DT191" t="n">
        <v>0.435477</v>
      </c>
      <c r="DU191" t="inlineStr"/>
      <c r="DV191" t="inlineStr"/>
      <c r="DW191" t="inlineStr"/>
      <c r="DX191" t="inlineStr"/>
      <c r="DY191" t="inlineStr"/>
      <c r="DZ191" t="inlineStr"/>
    </row>
    <row r="192">
      <c r="A192" t="inlineStr">
        <is>
          <t>11/14/2025</t>
        </is>
      </c>
      <c r="B192" t="n">
        <v>0.18005</v>
      </c>
      <c r="C192" t="n">
        <v>0.218818</v>
      </c>
      <c r="D192" t="n">
        <v>0.9976969999999999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n">
        <v>0.619219</v>
      </c>
      <c r="CB192" t="n">
        <v>0.594354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</row>
    <row r="193">
      <c r="A193" t="inlineStr">
        <is>
          <t>11/13/2025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1.477765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1.361927</v>
      </c>
      <c r="CZ193" t="n">
        <v>1.34961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</row>
    <row r="194">
      <c r="A194" t="inlineStr">
        <is>
          <t>11/12/2025</t>
        </is>
      </c>
      <c r="B194" t="n">
        <v>0.397686</v>
      </c>
      <c r="C194" t="n">
        <v>0.395257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-0.035955</v>
      </c>
      <c r="AF194" t="n">
        <v>-0.045362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-1.863984</v>
      </c>
      <c r="AQ194" t="inlineStr"/>
      <c r="AR194" t="inlineStr"/>
      <c r="AS194" t="inlineStr"/>
      <c r="AT194" t="n">
        <v>-1.348684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0.993343</v>
      </c>
      <c r="BJ194" t="n">
        <v>0.992847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n">
        <v>1.381058</v>
      </c>
      <c r="CB194" t="n">
        <v>1.201201</v>
      </c>
      <c r="CC194" t="inlineStr"/>
      <c r="CD194" t="inlineStr"/>
      <c r="CE194" t="inlineStr"/>
      <c r="CF194" t="inlineStr"/>
      <c r="CG194" t="inlineStr"/>
      <c r="CH194" t="inlineStr"/>
      <c r="CI194" t="n">
        <v>-1.56862</v>
      </c>
      <c r="CJ194" t="n">
        <v>-1.542996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-3.719946</v>
      </c>
      <c r="DF194" t="inlineStr"/>
      <c r="DG194" t="inlineStr"/>
      <c r="DH194" t="inlineStr"/>
      <c r="DI194" t="inlineStr"/>
      <c r="DJ194" t="inlineStr"/>
      <c r="DK194" t="inlineStr"/>
      <c r="DL194" t="n">
        <v>3.470032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3.320922</v>
      </c>
      <c r="DW194" t="inlineStr"/>
      <c r="DX194" t="inlineStr"/>
      <c r="DY194" t="inlineStr"/>
      <c r="DZ194" t="inlineStr"/>
    </row>
    <row r="195">
      <c r="A195" t="inlineStr">
        <is>
          <t>11/11/2025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-0.212267</v>
      </c>
      <c r="Q195" t="n">
        <v>-0.21329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5.303413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1.42827</v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1.66454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</row>
    <row r="196">
      <c r="A196" t="inlineStr">
        <is>
          <t>11/10/2025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2.004978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-1.261961</v>
      </c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n">
        <v>1.45119</v>
      </c>
      <c r="DI196" t="inlineStr"/>
      <c r="DJ196" t="inlineStr"/>
      <c r="DK196" t="inlineStr"/>
      <c r="DL196" t="inlineStr"/>
      <c r="DM196" t="n">
        <v>0.693967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</row>
    <row r="197">
      <c r="A197" t="inlineStr">
        <is>
          <t>11/07/2025</t>
        </is>
      </c>
      <c r="B197" t="inlineStr"/>
      <c r="C197" t="inlineStr"/>
      <c r="D197" t="inlineStr"/>
      <c r="E197" t="n">
        <v>1.552888</v>
      </c>
      <c r="F197" t="inlineStr"/>
      <c r="G197" t="inlineStr"/>
      <c r="H197" t="inlineStr"/>
      <c r="I197" t="n">
        <v>1.524749</v>
      </c>
      <c r="J197" t="n">
        <v>1.510962</v>
      </c>
      <c r="K197" t="inlineStr"/>
      <c r="L197" t="inlineStr"/>
      <c r="M197" t="inlineStr"/>
      <c r="N197" t="inlineStr"/>
      <c r="O197" t="inlineStr"/>
      <c r="P197" t="n">
        <v>-0.58777</v>
      </c>
      <c r="Q197" t="n">
        <v>-0.581589</v>
      </c>
      <c r="R197" t="n">
        <v>1.929344</v>
      </c>
      <c r="S197" t="n">
        <v>1.917672</v>
      </c>
      <c r="T197" t="inlineStr"/>
      <c r="U197" t="inlineStr"/>
      <c r="V197" t="inlineStr"/>
      <c r="W197" t="inlineStr"/>
      <c r="X197" t="inlineStr"/>
      <c r="Y197" t="n">
        <v>0.458515</v>
      </c>
      <c r="Z197" t="n">
        <v>0.465498</v>
      </c>
      <c r="AA197" t="n">
        <v>0.324371</v>
      </c>
      <c r="AB197" t="n">
        <v>0.323409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2.27516</v>
      </c>
      <c r="AL197" t="n">
        <v>2.269498</v>
      </c>
      <c r="AM197" t="n">
        <v>0.648317</v>
      </c>
      <c r="AN197" t="n">
        <v>0.6393760000000001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2.247396</v>
      </c>
      <c r="AX197" t="n">
        <v>2.231266</v>
      </c>
      <c r="AY197" t="n">
        <v>2.188046</v>
      </c>
      <c r="AZ197" t="n">
        <v>2.195239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0.934839</v>
      </c>
      <c r="BR197" t="n">
        <v>0.9195449999999999</v>
      </c>
      <c r="BS197" t="inlineStr"/>
      <c r="BT197" t="n">
        <v>6.529415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n">
        <v>1.579726</v>
      </c>
      <c r="CJ197" t="n">
        <v>1.549472</v>
      </c>
      <c r="CK197" t="inlineStr"/>
      <c r="CL197" t="inlineStr"/>
      <c r="CM197" t="n">
        <v>1.625794</v>
      </c>
      <c r="CN197" t="n">
        <v>1.606203</v>
      </c>
      <c r="CO197" t="inlineStr"/>
      <c r="CP197" t="inlineStr"/>
      <c r="CQ197" t="n">
        <v>-2.720128</v>
      </c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n">
        <v>3.01063</v>
      </c>
      <c r="DD197" t="inlineStr"/>
      <c r="DE197" t="inlineStr"/>
      <c r="DF197" t="inlineStr"/>
      <c r="DG197" t="inlineStr"/>
      <c r="DH197" t="n">
        <v>2.103481</v>
      </c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3.288467</v>
      </c>
      <c r="DR197" t="n">
        <v>3.27983</v>
      </c>
      <c r="DS197" t="inlineStr"/>
      <c r="DT197" t="inlineStr"/>
      <c r="DU197" t="inlineStr"/>
      <c r="DV197" t="n">
        <v>-1.574013</v>
      </c>
      <c r="DW197" t="inlineStr"/>
      <c r="DX197" t="inlineStr"/>
      <c r="DY197" t="n">
        <v>1.527116</v>
      </c>
      <c r="DZ197" t="n">
        <v>1.527701</v>
      </c>
    </row>
    <row r="198">
      <c r="A198" t="inlineStr">
        <is>
          <t>11/06/2025</t>
        </is>
      </c>
      <c r="B198" t="inlineStr"/>
      <c r="C198" t="inlineStr"/>
      <c r="D198" t="n">
        <v>-0.504158</v>
      </c>
      <c r="E198" t="inlineStr"/>
      <c r="F198" t="n">
        <v>-2.778663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2.197454</v>
      </c>
      <c r="Q198" t="n">
        <v>2.190525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0.249728</v>
      </c>
      <c r="AF198" t="n">
        <v>0.230639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1.159273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2.790606</v>
      </c>
      <c r="CJ198" t="n">
        <v>2.814616</v>
      </c>
      <c r="CK198" t="inlineStr"/>
      <c r="CL198" t="inlineStr"/>
      <c r="CM198" t="inlineStr"/>
      <c r="CN198" t="inlineStr"/>
      <c r="CO198" t="n">
        <v>0.48</v>
      </c>
      <c r="CP198" t="n">
        <v>0.440744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-0.240907</v>
      </c>
      <c r="DW198" t="inlineStr"/>
      <c r="DX198" t="inlineStr"/>
      <c r="DY198" t="inlineStr"/>
      <c r="DZ198" t="inlineStr"/>
    </row>
    <row r="199">
      <c r="A199" t="inlineStr">
        <is>
          <t>11/05/2025</t>
        </is>
      </c>
      <c r="B199" t="n">
        <v>-0.036023</v>
      </c>
      <c r="C199" t="n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n">
        <v>0.621278</v>
      </c>
      <c r="CB199" t="n">
        <v>0.445765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n">
        <v>3.84145</v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</row>
    <row r="200">
      <c r="A200" t="inlineStr">
        <is>
          <t>11/04/2025</t>
        </is>
      </c>
      <c r="B200" t="inlineStr"/>
      <c r="C200" t="inlineStr"/>
      <c r="D200" t="n">
        <v>1.680252</v>
      </c>
      <c r="E200" t="inlineStr"/>
      <c r="F200" t="n">
        <v>-3.2285</v>
      </c>
      <c r="G200" t="inlineStr"/>
      <c r="H200" t="inlineStr"/>
      <c r="I200" t="n">
        <v>0.363604</v>
      </c>
      <c r="J200" t="n">
        <v>0.355147</v>
      </c>
      <c r="K200" t="inlineStr"/>
      <c r="L200" t="inlineStr"/>
      <c r="M200" t="inlineStr"/>
      <c r="N200" t="inlineStr"/>
      <c r="O200" t="n">
        <v>3.146168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0.097567</v>
      </c>
      <c r="AB200" t="n">
        <v>0.097146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0.363743</v>
      </c>
      <c r="AN200" t="n">
        <v>0.355787</v>
      </c>
      <c r="AO200" t="inlineStr"/>
      <c r="AP200" t="inlineStr"/>
      <c r="AQ200" t="inlineStr"/>
      <c r="AR200" t="inlineStr"/>
      <c r="AS200" t="n">
        <v>0.733738</v>
      </c>
      <c r="AT200" t="inlineStr"/>
      <c r="AU200" t="inlineStr"/>
      <c r="AV200" t="inlineStr"/>
      <c r="AW200" t="n">
        <v>0.350009</v>
      </c>
      <c r="AX200" t="n">
        <v>0.33637</v>
      </c>
      <c r="AY200" t="inlineStr"/>
      <c r="AZ200" t="inlineStr"/>
      <c r="BA200" t="n">
        <v>-1.297033</v>
      </c>
      <c r="BB200" t="n">
        <v>-1.281953</v>
      </c>
      <c r="BC200" t="n">
        <v>4.707766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0.073686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-0.973145</v>
      </c>
      <c r="DW200" t="inlineStr"/>
      <c r="DX200" t="inlineStr"/>
      <c r="DY200" t="inlineStr"/>
      <c r="DZ200" t="inlineStr"/>
    </row>
    <row r="201">
      <c r="A201" t="inlineStr">
        <is>
          <t>11/03/2025</t>
        </is>
      </c>
      <c r="B201" t="n">
        <v>0</v>
      </c>
      <c r="C201" t="n">
        <v>0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-0.247639</v>
      </c>
      <c r="CB201" t="n">
        <v>-0.296736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4.012325</v>
      </c>
      <c r="DU201" t="inlineStr"/>
      <c r="DV201" t="n">
        <v>1.107225</v>
      </c>
      <c r="DW201" t="inlineStr"/>
      <c r="DX201" t="inlineStr"/>
      <c r="DY201" t="inlineStr"/>
      <c r="DZ201" t="inlineStr"/>
    </row>
    <row r="202">
      <c r="A202" t="inlineStr">
        <is>
          <t>10/31/2025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-3.050293</v>
      </c>
      <c r="P202" t="inlineStr"/>
      <c r="Q202" t="inlineStr"/>
      <c r="R202" t="n">
        <v>1.409166</v>
      </c>
      <c r="S202" t="n">
        <v>1.384194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0.146455</v>
      </c>
      <c r="AF202" t="n">
        <v>0.148075</v>
      </c>
      <c r="AG202" t="inlineStr"/>
      <c r="AH202" t="inlineStr"/>
      <c r="AI202" t="inlineStr"/>
      <c r="AJ202" t="inlineStr"/>
      <c r="AK202" t="inlineStr"/>
      <c r="AL202" t="n">
        <v>0.423245</v>
      </c>
      <c r="AM202" t="inlineStr"/>
      <c r="AN202" t="inlineStr"/>
      <c r="AO202" t="inlineStr"/>
      <c r="AP202" t="inlineStr"/>
      <c r="AQ202" t="inlineStr"/>
      <c r="AR202" t="inlineStr"/>
      <c r="AS202" t="n">
        <v>-0.008604000000000001</v>
      </c>
      <c r="AT202" t="inlineStr"/>
      <c r="AU202" t="inlineStr"/>
      <c r="AV202" t="inlineStr"/>
      <c r="AW202" t="inlineStr"/>
      <c r="AX202" t="inlineStr"/>
      <c r="AY202" t="n">
        <v>0.423898</v>
      </c>
      <c r="AZ202" t="n">
        <v>0.41059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n">
        <v>-1.006345</v>
      </c>
      <c r="CN202" t="n">
        <v>-1.004352</v>
      </c>
      <c r="CO202" t="inlineStr"/>
      <c r="CP202" t="inlineStr"/>
      <c r="CQ202" t="n">
        <v>0.287691</v>
      </c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n">
        <v>0.189926</v>
      </c>
      <c r="DI202" t="inlineStr"/>
      <c r="DJ202" t="inlineStr"/>
      <c r="DK202" t="inlineStr"/>
      <c r="DL202" t="inlineStr"/>
      <c r="DM202" t="n">
        <v>-0.833866</v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n">
        <v>-1.609199</v>
      </c>
      <c r="DZ202" t="inlineStr"/>
    </row>
    <row r="203">
      <c r="A203" t="inlineStr">
        <is>
          <t>10/30/2025</t>
        </is>
      </c>
      <c r="B203" t="inlineStr"/>
      <c r="C203" t="inlineStr"/>
      <c r="D203" t="n">
        <v>1.139506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0.572743</v>
      </c>
      <c r="BB203" t="n">
        <v>0.54823</v>
      </c>
      <c r="BC203" t="n">
        <v>-2.113587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-0.55303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n">
        <v>0.793589</v>
      </c>
      <c r="CJ203" t="n">
        <v>0.774941</v>
      </c>
      <c r="CK203" t="inlineStr"/>
      <c r="CL203" t="inlineStr"/>
      <c r="CM203" t="inlineStr"/>
      <c r="CN203" t="inlineStr"/>
      <c r="CO203" t="n">
        <v>-0.052994</v>
      </c>
      <c r="CP203" t="n">
        <v>0</v>
      </c>
      <c r="CQ203" t="inlineStr"/>
      <c r="CR203" t="inlineStr"/>
      <c r="CS203" t="inlineStr"/>
      <c r="CT203" t="n">
        <v>-0.364017</v>
      </c>
      <c r="CU203" t="inlineStr"/>
      <c r="CV203" t="inlineStr"/>
      <c r="CW203" t="inlineStr"/>
      <c r="CX203" t="inlineStr"/>
      <c r="CY203" t="n">
        <v>3.712428</v>
      </c>
      <c r="CZ203" t="n">
        <v>3.701945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1.39989</v>
      </c>
      <c r="DU203" t="inlineStr"/>
      <c r="DV203" t="n">
        <v>-0.123107</v>
      </c>
      <c r="DW203" t="inlineStr"/>
      <c r="DX203" t="inlineStr"/>
      <c r="DY203" t="inlineStr"/>
      <c r="DZ203" t="inlineStr"/>
    </row>
    <row r="204">
      <c r="A204" t="inlineStr">
        <is>
          <t>10/29/2025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-0.73531</v>
      </c>
      <c r="CJ204" t="n">
        <v>-0.714406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</row>
    <row r="205">
      <c r="A205" t="inlineStr">
        <is>
          <t>10/28/2025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-1.474986</v>
      </c>
      <c r="AF205" t="n">
        <v>-1.473633</v>
      </c>
      <c r="AG205" t="inlineStr"/>
      <c r="AH205" t="inlineStr"/>
      <c r="AI205" t="n">
        <v>-0.044517</v>
      </c>
      <c r="AJ205" t="n">
        <v>-0.047015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-0.875045</v>
      </c>
      <c r="BR205" t="n">
        <v>-0.881688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1.109697</v>
      </c>
      <c r="CF205" t="inlineStr"/>
      <c r="CG205" t="inlineStr"/>
      <c r="CH205" t="inlineStr"/>
      <c r="CI205" t="n">
        <v>1.818304</v>
      </c>
      <c r="CJ205" t="n">
        <v>1.789692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0.822864</v>
      </c>
      <c r="DJ205" t="n">
        <v>0.8153860000000001</v>
      </c>
      <c r="DK205" t="inlineStr"/>
      <c r="DL205" t="inlineStr"/>
      <c r="DM205" t="inlineStr"/>
      <c r="DN205" t="inlineStr"/>
      <c r="DO205" t="inlineStr"/>
      <c r="DP205" t="inlineStr"/>
      <c r="DQ205" t="n">
        <v>1.335521</v>
      </c>
      <c r="DR205" t="n">
        <v>1.337904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</row>
    <row r="206">
      <c r="A206" t="inlineStr">
        <is>
          <t>10/27/2025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1.911784</v>
      </c>
      <c r="BD206" t="inlineStr"/>
      <c r="BE206" t="inlineStr"/>
      <c r="BF206" t="inlineStr"/>
      <c r="BG206" t="inlineStr"/>
      <c r="BH206" t="inlineStr"/>
      <c r="BI206" t="n">
        <v>-0.296696</v>
      </c>
      <c r="BJ206" t="n">
        <v>-0.319641</v>
      </c>
      <c r="BK206" t="inlineStr"/>
      <c r="BL206" t="inlineStr"/>
      <c r="BM206" t="inlineStr"/>
      <c r="BN206" t="inlineStr"/>
      <c r="BO206" t="n">
        <v>0.720098</v>
      </c>
      <c r="BP206" t="inlineStr"/>
      <c r="BQ206" t="inlineStr"/>
      <c r="BR206" t="inlineStr"/>
      <c r="BS206" t="inlineStr"/>
      <c r="BT206" t="inlineStr"/>
      <c r="BU206" t="n">
        <v>1.090203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1.789709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</row>
    <row r="207">
      <c r="A207" t="inlineStr">
        <is>
          <t>10/24/2025</t>
        </is>
      </c>
      <c r="B207" t="inlineStr"/>
      <c r="C207" t="inlineStr"/>
      <c r="D207" t="n">
        <v>4.411879</v>
      </c>
      <c r="E207" t="n">
        <v>4.380118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3.923871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0.517911</v>
      </c>
      <c r="Z207" t="n">
        <v>0.486881</v>
      </c>
      <c r="AA207" t="inlineStr"/>
      <c r="AB207" t="inlineStr"/>
      <c r="AC207" t="inlineStr"/>
      <c r="AD207" t="inlineStr"/>
      <c r="AE207" t="n">
        <v>0.392681</v>
      </c>
      <c r="AF207" t="n">
        <v>0.37503</v>
      </c>
      <c r="AG207" t="inlineStr"/>
      <c r="AH207" t="n">
        <v>0.8456</v>
      </c>
      <c r="AI207" t="inlineStr"/>
      <c r="AJ207" t="inlineStr"/>
      <c r="AK207" t="inlineStr"/>
      <c r="AL207" t="n">
        <v>1.577456</v>
      </c>
      <c r="AM207" t="inlineStr"/>
      <c r="AN207" t="inlineStr"/>
      <c r="AO207" t="inlineStr"/>
      <c r="AP207" t="inlineStr"/>
      <c r="AQ207" t="n">
        <v>0.507472</v>
      </c>
      <c r="AR207" t="inlineStr"/>
      <c r="AS207" t="n">
        <v>0.100591</v>
      </c>
      <c r="AT207" t="inlineStr"/>
      <c r="AU207" t="inlineStr"/>
      <c r="AV207" t="inlineStr"/>
      <c r="AW207" t="inlineStr"/>
      <c r="AX207" t="inlineStr"/>
      <c r="AY207" t="n">
        <v>1.803849</v>
      </c>
      <c r="AZ207" t="n">
        <v>1.797397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0.216413</v>
      </c>
      <c r="BN207" t="n">
        <v>0.20033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n">
        <v>-0.358141</v>
      </c>
      <c r="CD207" t="inlineStr"/>
      <c r="CE207" t="inlineStr"/>
      <c r="CF207" t="n">
        <v>2.785886</v>
      </c>
      <c r="CG207" t="n">
        <v>0.549399</v>
      </c>
      <c r="CH207" t="n">
        <v>0.537022</v>
      </c>
      <c r="CI207" t="inlineStr"/>
      <c r="CJ207" t="inlineStr"/>
      <c r="CK207" t="n">
        <v>0.314718</v>
      </c>
      <c r="CL207" t="inlineStr"/>
      <c r="CM207" t="n">
        <v>1.367392</v>
      </c>
      <c r="CN207" t="n">
        <v>1.348356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n">
        <v>2.390159</v>
      </c>
      <c r="DD207" t="n">
        <v>2.387958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-1.361341</v>
      </c>
      <c r="DV207" t="inlineStr"/>
      <c r="DW207" t="inlineStr"/>
      <c r="DX207" t="inlineStr"/>
      <c r="DY207" t="inlineStr"/>
      <c r="DZ207" t="inlineStr"/>
    </row>
    <row r="208">
      <c r="A208" t="inlineStr">
        <is>
          <t>10/23/2025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0.779183</v>
      </c>
      <c r="J208" t="n">
        <v>0.778088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0.258646</v>
      </c>
      <c r="AB208" t="n">
        <v>0.257995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0.533657</v>
      </c>
      <c r="AN208" t="n">
        <v>0.5353290000000001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-0.454616</v>
      </c>
      <c r="AX208" t="n">
        <v>-0.442225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-0.225484</v>
      </c>
      <c r="CJ208" t="n">
        <v>-0.176335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</row>
    <row r="209">
      <c r="A209" t="inlineStr">
        <is>
          <t>10/22/2025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0.587822</v>
      </c>
      <c r="J209" t="n">
        <v>0.5869490000000001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0.226994</v>
      </c>
      <c r="AB209" t="n">
        <v>0.226052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0.345435</v>
      </c>
      <c r="AN209" t="n">
        <v>0.334528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8.839376</v>
      </c>
      <c r="AX209" t="n">
        <v>8.834032000000001</v>
      </c>
      <c r="AY209" t="inlineStr"/>
      <c r="AZ209" t="inlineStr"/>
      <c r="BA209" t="inlineStr"/>
      <c r="BB209" t="inlineStr"/>
      <c r="BC209" t="n">
        <v>1.955736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-1.302072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2.186205</v>
      </c>
      <c r="CJ209" t="n">
        <v>2.105417</v>
      </c>
      <c r="CK209" t="inlineStr"/>
      <c r="CL209" t="inlineStr"/>
      <c r="CM209" t="inlineStr"/>
      <c r="CN209" t="inlineStr"/>
      <c r="CO209" t="n">
        <v>0.915948</v>
      </c>
      <c r="CP209" t="n">
        <v>0.9396640000000001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0.7416509999999999</v>
      </c>
      <c r="CZ209" t="n">
        <v>0.743162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0.853088</v>
      </c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</row>
    <row r="210">
      <c r="A210" t="inlineStr">
        <is>
          <t>10/21/2025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0.908476</v>
      </c>
      <c r="AF210" t="n">
        <v>0.90332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1.652039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</row>
    <row r="211">
      <c r="A211" t="inlineStr">
        <is>
          <t>10/20/2025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0.300434</v>
      </c>
      <c r="AF211" t="n">
        <v>0.29383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0.160158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0.97326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</row>
    <row r="212">
      <c r="A212" t="inlineStr">
        <is>
          <t>10/17/2025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1.046125</v>
      </c>
      <c r="J212" t="n">
        <v>1.04867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0.194299</v>
      </c>
      <c r="AB212" t="n">
        <v>0.161495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1.194746</v>
      </c>
      <c r="AN212" t="n">
        <v>1.176663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3.08946</v>
      </c>
      <c r="AX212" t="n">
        <v>3.076164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</row>
    <row r="213">
      <c r="A213" t="inlineStr">
        <is>
          <t>10/16/2025</t>
        </is>
      </c>
      <c r="B213" t="inlineStr"/>
      <c r="C213" t="inlineStr"/>
      <c r="D213" t="n">
        <v>-0.176909</v>
      </c>
      <c r="E213" t="inlineStr"/>
      <c r="F213" t="n">
        <v>1.650458</v>
      </c>
      <c r="G213" t="inlineStr"/>
      <c r="H213" t="inlineStr"/>
      <c r="I213" t="n">
        <v>0.519626</v>
      </c>
      <c r="J213" t="n">
        <v>0.510427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0.259739</v>
      </c>
      <c r="AB213" t="n">
        <v>0.258996</v>
      </c>
      <c r="AC213" t="inlineStr"/>
      <c r="AD213" t="inlineStr"/>
      <c r="AE213" t="n">
        <v>0.934114</v>
      </c>
      <c r="AF213" t="n">
        <v>0.928715</v>
      </c>
      <c r="AG213" t="inlineStr"/>
      <c r="AH213" t="inlineStr"/>
      <c r="AI213" t="inlineStr"/>
      <c r="AJ213" t="inlineStr"/>
      <c r="AK213" t="inlineStr"/>
      <c r="AL213" t="inlineStr"/>
      <c r="AM213" t="n">
        <v>0.614226</v>
      </c>
      <c r="AN213" t="n">
        <v>0.617784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2.335139</v>
      </c>
      <c r="AX213" t="n">
        <v>2.340067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0.873547</v>
      </c>
      <c r="CJ213" t="n">
        <v>0.913685</v>
      </c>
      <c r="CK213" t="inlineStr"/>
      <c r="CL213" t="inlineStr"/>
      <c r="CM213" t="inlineStr"/>
      <c r="CN213" t="inlineStr"/>
      <c r="CO213" t="n">
        <v>-0.215517</v>
      </c>
      <c r="CP213" t="n">
        <v>-0.247158</v>
      </c>
      <c r="CQ213" t="inlineStr"/>
      <c r="CR213" t="inlineStr"/>
      <c r="CS213" t="inlineStr"/>
      <c r="CT213" t="inlineStr"/>
      <c r="CU213" t="n">
        <v>0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n">
        <v>-0.594264</v>
      </c>
      <c r="DU213" t="inlineStr"/>
      <c r="DV213" t="inlineStr"/>
      <c r="DW213" t="inlineStr"/>
      <c r="DX213" t="inlineStr"/>
      <c r="DY213" t="inlineStr"/>
      <c r="DZ213" t="inlineStr"/>
    </row>
    <row r="214">
      <c r="A214" t="inlineStr">
        <is>
          <t>10/15/2025</t>
        </is>
      </c>
      <c r="B214" t="n">
        <v>0.361011</v>
      </c>
      <c r="C214" t="n">
        <v>0.394564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-1.24387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n">
        <v>0.2559</v>
      </c>
      <c r="CB214" t="n">
        <v>0.30349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1.083688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1.307939</v>
      </c>
      <c r="DV214" t="inlineStr"/>
      <c r="DW214" t="inlineStr"/>
      <c r="DX214" t="inlineStr"/>
      <c r="DY214" t="inlineStr"/>
      <c r="DZ214" t="inlineStr"/>
    </row>
    <row r="215">
      <c r="A215" t="inlineStr">
        <is>
          <t>10/14/2025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-1.365634</v>
      </c>
      <c r="P215" t="n">
        <v>0.231996</v>
      </c>
      <c r="Q215" t="n">
        <v>0.237079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1.047221</v>
      </c>
      <c r="BB215" t="n">
        <v>1.066988</v>
      </c>
      <c r="BC215" t="inlineStr"/>
      <c r="BD215" t="inlineStr"/>
      <c r="BE215" t="inlineStr"/>
      <c r="BF215" t="inlineStr"/>
      <c r="BG215" t="inlineStr"/>
      <c r="BH215" t="inlineStr"/>
      <c r="BI215" t="n">
        <v>0.269004</v>
      </c>
      <c r="BJ215" t="n">
        <v>0.289725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0.071822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</row>
    <row r="216">
      <c r="A216" t="inlineStr">
        <is>
          <t>10/13/2025</t>
        </is>
      </c>
      <c r="B216" t="n">
        <v>-0.107836</v>
      </c>
      <c r="C216" t="n">
        <v>-0.13089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0.263054</v>
      </c>
      <c r="S216" t="n">
        <v>0.266711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0.388913</v>
      </c>
      <c r="AF216" t="n">
        <v>0.390428</v>
      </c>
      <c r="AG216" t="inlineStr"/>
      <c r="AH216" t="inlineStr"/>
      <c r="AI216" t="inlineStr"/>
      <c r="AJ216" t="inlineStr"/>
      <c r="AK216" t="n">
        <v>-0.799864</v>
      </c>
      <c r="AL216" t="n">
        <v>-0.824643</v>
      </c>
      <c r="AM216" t="inlineStr"/>
      <c r="AN216" t="inlineStr"/>
      <c r="AO216" t="inlineStr"/>
      <c r="AP216" t="inlineStr"/>
      <c r="AQ216" t="inlineStr"/>
      <c r="AR216" t="inlineStr"/>
      <c r="AS216" t="n">
        <v>1.268906</v>
      </c>
      <c r="AT216" t="inlineStr"/>
      <c r="AU216" t="inlineStr"/>
      <c r="AV216" t="inlineStr"/>
      <c r="AW216" t="inlineStr"/>
      <c r="AX216" t="inlineStr"/>
      <c r="AY216" t="n">
        <v>-0.692737</v>
      </c>
      <c r="AZ216" t="n">
        <v>-0.705799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-0.994256</v>
      </c>
      <c r="CB216" t="n">
        <v>-1.037037</v>
      </c>
      <c r="CC216" t="inlineStr"/>
      <c r="CD216" t="inlineStr"/>
      <c r="CE216" t="inlineStr"/>
      <c r="CF216" t="n">
        <v>-2.002145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-0.313428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n">
        <v>1.412966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-0.799331</v>
      </c>
      <c r="DV216" t="inlineStr"/>
      <c r="DW216" t="inlineStr"/>
      <c r="DX216" t="inlineStr"/>
      <c r="DY216" t="n">
        <v>0.933411</v>
      </c>
      <c r="DZ216" t="inlineStr"/>
    </row>
    <row r="217">
      <c r="A217" t="inlineStr">
        <is>
          <t>10/10/2025</t>
        </is>
      </c>
      <c r="B217" t="inlineStr"/>
      <c r="C217" t="inlineStr"/>
      <c r="D217" t="n">
        <v>0.331517</v>
      </c>
      <c r="E217" t="inlineStr"/>
      <c r="F217" t="n">
        <v>0.528657</v>
      </c>
      <c r="G217" t="inlineStr"/>
      <c r="H217" t="inlineStr"/>
      <c r="I217" t="n">
        <v>1.551862</v>
      </c>
      <c r="J217" t="n">
        <v>1.549223</v>
      </c>
      <c r="K217" t="inlineStr"/>
      <c r="L217" t="inlineStr"/>
      <c r="M217" t="inlineStr"/>
      <c r="N217" t="inlineStr"/>
      <c r="O217" t="n">
        <v>-0.521034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0.621281</v>
      </c>
      <c r="AB217" t="n">
        <v>0.586623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0.886541</v>
      </c>
      <c r="AN217" t="n">
        <v>0.873625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5.440106</v>
      </c>
      <c r="AX217" t="n">
        <v>5.445193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-1.335653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3.280064</v>
      </c>
      <c r="CJ217" t="n">
        <v>3.30292</v>
      </c>
      <c r="CK217" t="inlineStr"/>
      <c r="CL217" t="inlineStr"/>
      <c r="CM217" t="inlineStr"/>
      <c r="CN217" t="inlineStr"/>
      <c r="CO217" t="n">
        <v>1.54953</v>
      </c>
      <c r="CP217" t="n">
        <v>1.522843</v>
      </c>
      <c r="CQ217" t="inlineStr"/>
      <c r="CR217" t="inlineStr"/>
      <c r="CS217" t="n">
        <v>6.745533</v>
      </c>
      <c r="CT217" t="inlineStr"/>
      <c r="CU217" t="n">
        <v>-7.142857</v>
      </c>
      <c r="CV217" t="inlineStr"/>
      <c r="CW217" t="inlineStr"/>
      <c r="CX217" t="inlineStr"/>
      <c r="CY217" t="n">
        <v>4.506107</v>
      </c>
      <c r="CZ217" t="n">
        <v>4.496421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n">
        <v>1.089892</v>
      </c>
      <c r="DP217" t="n">
        <v>1.080427</v>
      </c>
      <c r="DQ217" t="inlineStr"/>
      <c r="DR217" t="inlineStr"/>
      <c r="DS217" t="inlineStr"/>
      <c r="DT217" t="n">
        <v>-7.807861</v>
      </c>
      <c r="DU217" t="inlineStr"/>
      <c r="DV217" t="inlineStr"/>
      <c r="DW217" t="inlineStr"/>
      <c r="DX217" t="inlineStr"/>
      <c r="DY217" t="inlineStr"/>
      <c r="DZ217" t="inlineStr"/>
    </row>
    <row r="218">
      <c r="A218" t="inlineStr">
        <is>
          <t>10/09/2025</t>
        </is>
      </c>
      <c r="B218" t="n">
        <v>0.574919</v>
      </c>
      <c r="C218" t="n">
        <v>0.566943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-8.153975000000001</v>
      </c>
      <c r="BU218" t="inlineStr"/>
      <c r="BV218" t="inlineStr"/>
      <c r="BW218" t="inlineStr"/>
      <c r="BX218" t="inlineStr"/>
      <c r="BY218" t="inlineStr"/>
      <c r="BZ218" t="inlineStr"/>
      <c r="CA218" t="n">
        <v>1.127483</v>
      </c>
      <c r="CB218" t="n">
        <v>1.043219</v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-2.86538</v>
      </c>
      <c r="CU218" t="inlineStr"/>
      <c r="CV218" t="inlineStr"/>
      <c r="CW218" t="inlineStr"/>
      <c r="CX218" t="n">
        <v>0.053124</v>
      </c>
      <c r="CY218" t="n">
        <v>-10.908474</v>
      </c>
      <c r="CZ218" t="n">
        <v>-10.902311</v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n">
        <v>7.056658</v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</row>
    <row r="219">
      <c r="A219" t="inlineStr">
        <is>
          <t>10/08/2025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-2.079718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-0.24267</v>
      </c>
      <c r="AF219" t="n">
        <v>-0.245188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-1.069143</v>
      </c>
      <c r="AQ219" t="inlineStr"/>
      <c r="AR219" t="inlineStr"/>
      <c r="AS219" t="inlineStr"/>
      <c r="AT219" t="n">
        <v>-1.063022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0.07194299999999999</v>
      </c>
      <c r="BJ219" t="n">
        <v>0.051817</v>
      </c>
      <c r="BK219" t="inlineStr"/>
      <c r="BL219" t="inlineStr"/>
      <c r="BM219" t="inlineStr"/>
      <c r="BN219" t="inlineStr"/>
      <c r="BO219" t="n">
        <v>1.816127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-0.937712</v>
      </c>
      <c r="CJ219" t="n">
        <v>-0.981304</v>
      </c>
      <c r="CK219" t="inlineStr"/>
      <c r="CL219" t="inlineStr"/>
      <c r="CM219" t="inlineStr"/>
      <c r="CN219" t="inlineStr"/>
      <c r="CO219" t="inlineStr"/>
      <c r="CP219" t="inlineStr"/>
      <c r="CQ219" t="n">
        <v>2.680927</v>
      </c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-2.132826</v>
      </c>
      <c r="DF219" t="inlineStr"/>
      <c r="DG219" t="inlineStr"/>
      <c r="DH219" t="inlineStr"/>
      <c r="DI219" t="inlineStr"/>
      <c r="DJ219" t="inlineStr"/>
      <c r="DK219" t="inlineStr"/>
      <c r="DL219" t="n">
        <v>0.613497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</row>
    <row r="220">
      <c r="A220" t="inlineStr">
        <is>
          <t>10/07/2025</t>
        </is>
      </c>
      <c r="B220" t="inlineStr"/>
      <c r="C220" t="inlineStr"/>
      <c r="D220" t="n">
        <v>2.548225</v>
      </c>
      <c r="E220" t="inlineStr"/>
      <c r="F220" t="n">
        <v>-1.403509</v>
      </c>
      <c r="G220" t="inlineStr"/>
      <c r="H220" t="inlineStr"/>
      <c r="I220" t="n">
        <v>0.573967</v>
      </c>
      <c r="J220" t="n">
        <v>0.585137</v>
      </c>
      <c r="K220" t="inlineStr"/>
      <c r="L220" t="inlineStr"/>
      <c r="M220" t="inlineStr"/>
      <c r="N220" t="inlineStr"/>
      <c r="O220" t="n">
        <v>1.395886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-0.129407</v>
      </c>
      <c r="AB220" t="n">
        <v>-0.161287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0.267681</v>
      </c>
      <c r="AN220" t="n">
        <v>0.273509</v>
      </c>
      <c r="AO220" t="inlineStr"/>
      <c r="AP220" t="inlineStr"/>
      <c r="AQ220" t="inlineStr"/>
      <c r="AR220" t="inlineStr"/>
      <c r="AS220" t="n">
        <v>0.683559</v>
      </c>
      <c r="AT220" t="inlineStr"/>
      <c r="AU220" t="inlineStr"/>
      <c r="AV220" t="inlineStr"/>
      <c r="AW220" t="n">
        <v>0.529153</v>
      </c>
      <c r="AX220" t="n">
        <v>0.535433</v>
      </c>
      <c r="AY220" t="inlineStr"/>
      <c r="AZ220" t="inlineStr"/>
      <c r="BA220" t="n">
        <v>0.477148</v>
      </c>
      <c r="BB220" t="n">
        <v>0.493675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-0.200994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0.5139010000000001</v>
      </c>
      <c r="CZ220" t="n">
        <v>0.50997</v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0.119913</v>
      </c>
      <c r="DW220" t="inlineStr"/>
      <c r="DX220" t="inlineStr"/>
      <c r="DY220" t="inlineStr"/>
      <c r="DZ220" t="inlineStr"/>
    </row>
    <row r="221">
      <c r="A221" t="inlineStr">
        <is>
          <t>10/06/2025</t>
        </is>
      </c>
      <c r="B221" t="n">
        <v>0.108421</v>
      </c>
      <c r="C221" t="n">
        <v>0.131579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0.673335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0.571054</v>
      </c>
      <c r="BX221" t="inlineStr"/>
      <c r="BY221" t="inlineStr"/>
      <c r="BZ221" t="inlineStr"/>
      <c r="CA221" t="n">
        <v>0.253287</v>
      </c>
      <c r="CB221" t="n">
        <v>0.301659</v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n">
        <v>0.807682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1.135777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</row>
    <row r="222">
      <c r="A222" t="inlineStr">
        <is>
          <t>10/03/2025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-0.8915149999999999</v>
      </c>
      <c r="BB222" t="n">
        <v>-0.891537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0.460925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11.137803</v>
      </c>
      <c r="CZ222" t="n">
        <v>11.126442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-1.472502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0.361104</v>
      </c>
      <c r="DW222" t="inlineStr"/>
      <c r="DX222" t="inlineStr"/>
      <c r="DY222" t="inlineStr"/>
      <c r="DZ222" t="inlineStr"/>
    </row>
    <row r="223">
      <c r="A223" t="inlineStr">
        <is>
          <t>10/02/2025</t>
        </is>
      </c>
      <c r="B223" t="inlineStr"/>
      <c r="C223" t="inlineStr"/>
      <c r="D223" t="n">
        <v>1.427202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1.721403</v>
      </c>
      <c r="AF223" t="n">
        <v>1.713647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-0.532373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0.455426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</row>
    <row r="224">
      <c r="A224" t="inlineStr">
        <is>
          <t>10/01/2025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-0.294243</v>
      </c>
      <c r="AF224" t="n">
        <v>-0.29714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-0.36885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-0.867488</v>
      </c>
      <c r="CJ224" t="n">
        <v>-0.7870549999999999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-0.238399</v>
      </c>
      <c r="DW224" t="inlineStr"/>
      <c r="DX224" t="inlineStr"/>
      <c r="DY224" t="inlineStr"/>
      <c r="DZ224" t="inlineStr"/>
    </row>
    <row r="225">
      <c r="A225" t="inlineStr">
        <is>
          <t>09/30/2025</t>
        </is>
      </c>
      <c r="B225" t="inlineStr"/>
      <c r="C225" t="inlineStr"/>
      <c r="D225" t="n">
        <v>1.754382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0.243285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-0.07359599999999999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-1.984174</v>
      </c>
      <c r="CJ225" t="n">
        <v>-2.016086</v>
      </c>
      <c r="CK225" t="inlineStr"/>
      <c r="CL225" t="inlineStr"/>
      <c r="CM225" t="inlineStr"/>
      <c r="CN225" t="inlineStr"/>
      <c r="CO225" t="inlineStr"/>
      <c r="CP225" t="inlineStr"/>
      <c r="CQ225" t="n">
        <v>1.412842</v>
      </c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-0.237832</v>
      </c>
      <c r="DW225" t="inlineStr"/>
      <c r="DX225" t="inlineStr"/>
      <c r="DY225" t="inlineStr"/>
      <c r="DZ225" t="inlineStr"/>
    </row>
    <row r="226">
      <c r="A226" t="inlineStr">
        <is>
          <t>09/29/2025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</row>
    <row r="227">
      <c r="A227" t="inlineStr">
        <is>
          <t>09/26/2025</t>
        </is>
      </c>
      <c r="B227" t="n">
        <v>-0.1443</v>
      </c>
      <c r="C227" t="n">
        <v>-0.175055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0.948258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0.318627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0.427341</v>
      </c>
      <c r="AZ227" t="n">
        <v>0.406903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n">
        <v>-0.126954</v>
      </c>
      <c r="CB227" t="n">
        <v>-0.151976</v>
      </c>
      <c r="CC227" t="inlineStr"/>
      <c r="CD227" t="inlineStr"/>
      <c r="CE227" t="inlineStr"/>
      <c r="CF227" t="n">
        <v>0.728409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n">
        <v>-0.806733</v>
      </c>
      <c r="DN227" t="inlineStr"/>
      <c r="DO227" t="inlineStr"/>
      <c r="DP227" t="inlineStr"/>
      <c r="DQ227" t="inlineStr"/>
      <c r="DR227" t="inlineStr"/>
      <c r="DS227" t="inlineStr"/>
      <c r="DT227" t="inlineStr"/>
      <c r="DU227" t="n">
        <v>-0.202641</v>
      </c>
      <c r="DV227" t="inlineStr"/>
      <c r="DW227" t="inlineStr"/>
      <c r="DX227" t="inlineStr"/>
      <c r="DY227" t="inlineStr"/>
      <c r="DZ227" t="inlineStr"/>
    </row>
    <row r="228">
      <c r="A228" t="inlineStr">
        <is>
          <t>09/25/2025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0.583371</v>
      </c>
      <c r="J228" t="n">
        <v>0.578048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0.160937</v>
      </c>
      <c r="AB228" t="n">
        <v>0.193189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0.739008</v>
      </c>
      <c r="AN228" t="n">
        <v>0.742903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2.385159</v>
      </c>
      <c r="AX228" t="n">
        <v>2.387729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0.142918</v>
      </c>
      <c r="BJ228" t="n">
        <v>0.153862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0.284631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0.170202</v>
      </c>
      <c r="CJ228" t="n">
        <v>0.118951</v>
      </c>
      <c r="CK228" t="inlineStr"/>
      <c r="CL228" t="inlineStr"/>
      <c r="CM228" t="inlineStr"/>
      <c r="CN228" t="inlineStr"/>
      <c r="CO228" t="n">
        <v>0.729108</v>
      </c>
      <c r="CP228" t="n">
        <v>0.772002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-1.085092</v>
      </c>
      <c r="CZ228" t="n">
        <v>-1.076925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</row>
    <row r="229">
      <c r="A229" t="inlineStr">
        <is>
          <t>09/24/2025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-0.051897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0.015561</v>
      </c>
      <c r="CZ229" t="n">
        <v>0.020183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n">
        <v>1.184827</v>
      </c>
      <c r="DU229" t="inlineStr"/>
      <c r="DV229" t="inlineStr"/>
      <c r="DW229" t="inlineStr"/>
      <c r="DX229" t="inlineStr"/>
      <c r="DY229" t="inlineStr"/>
      <c r="DZ229" t="inlineStr"/>
    </row>
    <row r="230">
      <c r="A230" t="inlineStr">
        <is>
          <t>09/23/2025</t>
        </is>
      </c>
      <c r="B230" t="inlineStr"/>
      <c r="C230" t="inlineStr"/>
      <c r="D230" t="n">
        <v>1.057721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1.596934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0.295474</v>
      </c>
      <c r="CZ230" t="n">
        <v>0.285234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0.828027</v>
      </c>
      <c r="DW230" t="inlineStr"/>
      <c r="DX230" t="inlineStr"/>
      <c r="DY230" t="inlineStr"/>
      <c r="DZ230" t="inlineStr"/>
    </row>
    <row r="231">
      <c r="A231" t="inlineStr">
        <is>
          <t>09/22/2025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0.8891250000000001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0.7372030000000001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3.632231</v>
      </c>
      <c r="CJ231" t="n">
        <v>3.619958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n">
        <v>1.532108</v>
      </c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</row>
    <row r="232">
      <c r="A232" t="inlineStr">
        <is>
          <t>09/19/2025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-0.518604</v>
      </c>
      <c r="AD232" t="inlineStr"/>
      <c r="AE232" t="inlineStr"/>
      <c r="AF232" t="inlineStr"/>
      <c r="AG232" t="inlineStr"/>
      <c r="AH232" t="n">
        <v>0.526043</v>
      </c>
      <c r="AI232" t="n">
        <v>-0.555962</v>
      </c>
      <c r="AJ232" t="n">
        <v>-0.555684</v>
      </c>
      <c r="AK232" t="inlineStr"/>
      <c r="AL232" t="n">
        <v>0.679657</v>
      </c>
      <c r="AM232" t="inlineStr"/>
      <c r="AN232" t="inlineStr"/>
      <c r="AO232" t="inlineStr"/>
      <c r="AP232" t="inlineStr"/>
      <c r="AQ232" t="n">
        <v>-0.017845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0.5410700000000001</v>
      </c>
      <c r="AZ232" t="n">
        <v>0.55652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0.38438</v>
      </c>
      <c r="BN232" t="n">
        <v>0.380183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0.044543</v>
      </c>
      <c r="CD232" t="inlineStr"/>
      <c r="CE232" t="n">
        <v>2.209182</v>
      </c>
      <c r="CF232" t="inlineStr"/>
      <c r="CG232" t="n">
        <v>1.134509</v>
      </c>
      <c r="CH232" t="n">
        <v>1.137908</v>
      </c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-2.642567</v>
      </c>
      <c r="CS232" t="inlineStr"/>
      <c r="CT232" t="n">
        <v>-2.287664</v>
      </c>
      <c r="CU232" t="inlineStr"/>
      <c r="CV232" t="inlineStr"/>
      <c r="CW232" t="n">
        <v>0.648019</v>
      </c>
      <c r="CX232" t="n">
        <v>0.688657</v>
      </c>
      <c r="CY232" t="inlineStr"/>
      <c r="CZ232" t="inlineStr"/>
      <c r="DA232" t="inlineStr"/>
      <c r="DB232" t="inlineStr"/>
      <c r="DC232" t="inlineStr"/>
      <c r="DD232" t="n">
        <v>0.8576510000000001</v>
      </c>
      <c r="DE232" t="inlineStr"/>
      <c r="DF232" t="inlineStr"/>
      <c r="DG232" t="inlineStr"/>
      <c r="DH232" t="inlineStr"/>
      <c r="DI232" t="n">
        <v>1.08089</v>
      </c>
      <c r="DJ232" t="n">
        <v>1.068613</v>
      </c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</row>
    <row r="233">
      <c r="A233" t="inlineStr">
        <is>
          <t>09/18/2025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0.6446730000000001</v>
      </c>
      <c r="CX233" t="n">
        <v>0.668385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</row>
    <row r="234">
      <c r="A234" t="inlineStr">
        <is>
          <t>09/17/2025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0.716414</v>
      </c>
      <c r="BB234" t="n">
        <v>0.702213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4.266562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-0.256371</v>
      </c>
      <c r="CX234" t="n">
        <v>-0.253481</v>
      </c>
      <c r="CY234" t="n">
        <v>4.592096</v>
      </c>
      <c r="CZ234" t="n">
        <v>4.60975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</row>
    <row r="235">
      <c r="A235" t="inlineStr">
        <is>
          <t>09/16/2025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0.297991</v>
      </c>
      <c r="M235" t="inlineStr"/>
      <c r="N235" t="inlineStr"/>
      <c r="O235" t="n">
        <v>-1.08368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0.599431</v>
      </c>
      <c r="AJ235" t="n">
        <v>0.592839</v>
      </c>
      <c r="AK235" t="inlineStr"/>
      <c r="AL235" t="inlineStr"/>
      <c r="AM235" t="inlineStr"/>
      <c r="AN235" t="inlineStr"/>
      <c r="AO235" t="n">
        <v>-0.192471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0.190638</v>
      </c>
      <c r="BR235" t="n">
        <v>0.189817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n">
        <v>-0.498282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n">
        <v>0.543534</v>
      </c>
      <c r="CR235" t="n">
        <v>0.564007</v>
      </c>
      <c r="CS235" t="inlineStr"/>
      <c r="CT235" t="inlineStr"/>
      <c r="CU235" t="inlineStr"/>
      <c r="CV235" t="inlineStr"/>
      <c r="CW235" t="inlineStr"/>
      <c r="CX235" t="inlineStr"/>
      <c r="CY235" t="n">
        <v>0.257678</v>
      </c>
      <c r="CZ235" t="n">
        <v>0.253056</v>
      </c>
      <c r="DA235" t="inlineStr"/>
      <c r="DB235" t="inlineStr"/>
      <c r="DC235" t="inlineStr"/>
      <c r="DD235" t="inlineStr"/>
      <c r="DE235" t="inlineStr"/>
      <c r="DF235" t="n">
        <v>-0.341038</v>
      </c>
      <c r="DG235" t="inlineStr"/>
      <c r="DH235" t="inlineStr"/>
      <c r="DI235" t="n">
        <v>-0.431449</v>
      </c>
      <c r="DJ235" t="n">
        <v>-0.430951</v>
      </c>
      <c r="DK235" t="inlineStr"/>
      <c r="DL235" t="n">
        <v>0.294985</v>
      </c>
      <c r="DM235" t="inlineStr"/>
      <c r="DN235" t="inlineStr"/>
      <c r="DO235" t="inlineStr"/>
      <c r="DP235" t="inlineStr"/>
      <c r="DQ235" t="n">
        <v>3.136711</v>
      </c>
      <c r="DR235" t="n">
        <v>3.134036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n">
        <v>0.418056</v>
      </c>
    </row>
    <row r="236">
      <c r="A236" t="inlineStr">
        <is>
          <t>09/15/2025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0.031743</v>
      </c>
      <c r="AF236" t="n">
        <v>0.026656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0.08366700000000001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</row>
    <row r="237">
      <c r="A237" t="inlineStr">
        <is>
          <t>09/12/2025</t>
        </is>
      </c>
      <c r="B237" t="n">
        <v>-0.288184</v>
      </c>
      <c r="C237" t="n">
        <v>-0.30581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-1.234907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0.33115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-0.046016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0.5698530000000001</v>
      </c>
      <c r="BU237" t="inlineStr"/>
      <c r="BV237" t="inlineStr"/>
      <c r="BW237" t="inlineStr"/>
      <c r="BX237" t="inlineStr"/>
      <c r="BY237" t="inlineStr"/>
      <c r="BZ237" t="inlineStr"/>
      <c r="CA237" t="n">
        <v>0.128934</v>
      </c>
      <c r="CB237" t="n">
        <v>0.152439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0.349774</v>
      </c>
      <c r="CX237" t="n">
        <v>0.359311</v>
      </c>
      <c r="CY237" t="n">
        <v>0.936924</v>
      </c>
      <c r="CZ237" t="n">
        <v>0.931358</v>
      </c>
      <c r="DA237" t="inlineStr"/>
      <c r="DB237" t="inlineStr"/>
      <c r="DC237" t="inlineStr"/>
      <c r="DD237" t="inlineStr"/>
      <c r="DE237" t="inlineStr"/>
      <c r="DF237" t="n">
        <v>-0.112973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</row>
    <row r="238">
      <c r="A238" t="inlineStr">
        <is>
          <t>09/11/2025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</row>
    <row r="239">
      <c r="A239" t="inlineStr">
        <is>
          <t>09/10/2025</t>
        </is>
      </c>
      <c r="B239" t="inlineStr"/>
      <c r="C239" t="inlineStr"/>
      <c r="D239" t="n">
        <v>2.948799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2.572955</v>
      </c>
      <c r="AF239" t="n">
        <v>2.570217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2.195718</v>
      </c>
      <c r="CJ239" t="n">
        <v>2.172733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</row>
    <row r="240">
      <c r="A240" t="inlineStr">
        <is>
          <t>09/09/2025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-0.310913</v>
      </c>
      <c r="CX240" t="n">
        <v>-0.273955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</row>
    <row r="241">
      <c r="A241" t="inlineStr">
        <is>
          <t>09/08/2025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0.898697</v>
      </c>
      <c r="AF241" t="n">
        <v>0.883206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n">
        <v>1.121489</v>
      </c>
      <c r="DP241" t="n">
        <v>1.113136</v>
      </c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</row>
    <row r="242">
      <c r="A242" t="inlineStr">
        <is>
          <t>09/05/2025</t>
        </is>
      </c>
      <c r="B242" t="inlineStr"/>
      <c r="C242" t="inlineStr"/>
      <c r="D242" t="n">
        <v>-1.690207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-0.407441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0.226116</v>
      </c>
      <c r="CP242" t="n">
        <v>0.207254</v>
      </c>
      <c r="CQ242" t="inlineStr"/>
      <c r="CR242" t="inlineStr"/>
      <c r="CS242" t="n">
        <v>4.921881</v>
      </c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-1.648183</v>
      </c>
      <c r="DP242" t="n">
        <v>-1.655718</v>
      </c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</row>
    <row r="243">
      <c r="A243" t="inlineStr">
        <is>
          <t>09/04/2025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1.547932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n">
        <v>1.930609</v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</row>
    <row r="244">
      <c r="A244" t="inlineStr">
        <is>
          <t>09/03/2025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0.82867</v>
      </c>
      <c r="J244" t="n">
        <v>0.828213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0.258446</v>
      </c>
      <c r="AB244" t="n">
        <v>0.258084</v>
      </c>
      <c r="AC244" t="inlineStr"/>
      <c r="AD244" t="inlineStr"/>
      <c r="AE244" t="n">
        <v>0.537261</v>
      </c>
      <c r="AF244" t="n">
        <v>0.5448499999999999</v>
      </c>
      <c r="AG244" t="inlineStr"/>
      <c r="AH244" t="inlineStr"/>
      <c r="AI244" t="inlineStr"/>
      <c r="AJ244" t="inlineStr"/>
      <c r="AK244" t="inlineStr"/>
      <c r="AL244" t="inlineStr"/>
      <c r="AM244" t="n">
        <v>0.728654</v>
      </c>
      <c r="AN244" t="n">
        <v>0.7288750000000001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4.612791</v>
      </c>
      <c r="AX244" t="n">
        <v>4.611608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</row>
    <row r="245">
      <c r="A245" t="inlineStr">
        <is>
          <t>09/02/2025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0.5106889999999999</v>
      </c>
      <c r="J245" t="n">
        <v>0.509621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0.291641</v>
      </c>
      <c r="AB245" t="n">
        <v>0.290862</v>
      </c>
      <c r="AC245" t="n">
        <v>1.33916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-0.07994999999999999</v>
      </c>
      <c r="AN245" t="n">
        <v>-0.08314299999999999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-3.361543</v>
      </c>
      <c r="AX245" t="n">
        <v>-3.355363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0.028867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n">
        <v>-1.39379</v>
      </c>
      <c r="CJ245" t="n">
        <v>-1.332273</v>
      </c>
      <c r="CK245" t="inlineStr"/>
      <c r="CL245" t="inlineStr"/>
      <c r="CM245" t="inlineStr"/>
      <c r="CN245" t="inlineStr"/>
      <c r="CO245" t="n">
        <v>0.168784</v>
      </c>
      <c r="CP245" t="n">
        <v>0.156314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0.10263</v>
      </c>
      <c r="CZ245" t="n">
        <v>0.088493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0.112754</v>
      </c>
      <c r="DW245" t="inlineStr"/>
      <c r="DX245" t="inlineStr"/>
      <c r="DY245" t="inlineStr"/>
      <c r="DZ245" t="inlineStr"/>
    </row>
    <row r="246">
      <c r="A246" t="inlineStr">
        <is>
          <t>08/29/2025</t>
        </is>
      </c>
      <c r="B246" t="n">
        <v>0.179404</v>
      </c>
      <c r="C246" t="n">
        <v>0.173989</v>
      </c>
      <c r="D246" t="n">
        <v>5.083189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-0.6401520000000001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0.110701</v>
      </c>
      <c r="BB246" t="n">
        <v>0.111978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-2.029371</v>
      </c>
      <c r="BU246" t="inlineStr"/>
      <c r="BV246" t="inlineStr"/>
      <c r="BW246" t="inlineStr"/>
      <c r="BX246" t="inlineStr"/>
      <c r="BY246" t="inlineStr"/>
      <c r="BZ246" t="inlineStr"/>
      <c r="CA246" t="n">
        <v>1.799428</v>
      </c>
      <c r="CB246" t="n">
        <v>1.674277</v>
      </c>
      <c r="CC246" t="inlineStr"/>
      <c r="CD246" t="inlineStr"/>
      <c r="CE246" t="inlineStr"/>
      <c r="CF246" t="inlineStr"/>
      <c r="CG246" t="inlineStr"/>
      <c r="CH246" t="inlineStr"/>
      <c r="CI246" t="n">
        <v>-1.256762</v>
      </c>
      <c r="CJ246" t="n">
        <v>-1.314106</v>
      </c>
      <c r="CK246" t="inlineStr"/>
      <c r="CL246" t="inlineStr"/>
      <c r="CM246" t="inlineStr"/>
      <c r="CN246" t="inlineStr"/>
      <c r="CO246" t="n">
        <v>-1.553669</v>
      </c>
      <c r="CP246" t="n">
        <v>-1.589571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0.022219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-0.348886</v>
      </c>
      <c r="DU246" t="inlineStr"/>
      <c r="DV246" t="n">
        <v>1.149912</v>
      </c>
      <c r="DW246" t="inlineStr"/>
      <c r="DX246" t="inlineStr"/>
      <c r="DY246" t="n">
        <v>-0.321476</v>
      </c>
      <c r="DZ246" t="inlineStr"/>
    </row>
    <row r="247">
      <c r="A247" t="inlineStr">
        <is>
          <t>08/28/2025</t>
        </is>
      </c>
      <c r="B247" t="n">
        <v>0.179727</v>
      </c>
      <c r="C247" t="n">
        <v>0.174292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1.090927</v>
      </c>
      <c r="AF247" t="n">
        <v>1.095232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0.930458</v>
      </c>
      <c r="BJ247" t="n">
        <v>0.926223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n">
        <v>-0.512433</v>
      </c>
      <c r="CB247" t="n">
        <v>-0.454545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</row>
    <row r="248">
      <c r="A248" t="inlineStr">
        <is>
          <t>08/27/2025</t>
        </is>
      </c>
      <c r="B248" t="inlineStr"/>
      <c r="C248" t="inlineStr"/>
      <c r="D248" t="inlineStr"/>
      <c r="E248" t="n">
        <v>-0.044234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0.209726</v>
      </c>
      <c r="S248" t="n">
        <v>0.199071</v>
      </c>
      <c r="T248" t="inlineStr"/>
      <c r="U248" t="inlineStr"/>
      <c r="V248" t="inlineStr"/>
      <c r="W248" t="inlineStr"/>
      <c r="X248" t="inlineStr"/>
      <c r="Y248" t="n">
        <v>0.253485</v>
      </c>
      <c r="Z248" t="n">
        <v>0.237906</v>
      </c>
      <c r="AA248" t="inlineStr"/>
      <c r="AB248" t="inlineStr"/>
      <c r="AC248" t="n">
        <v>0.78911</v>
      </c>
      <c r="AD248" t="inlineStr"/>
      <c r="AE248" t="inlineStr"/>
      <c r="AF248" t="inlineStr"/>
      <c r="AG248" t="inlineStr"/>
      <c r="AH248" t="n">
        <v>0.237861</v>
      </c>
      <c r="AI248" t="inlineStr"/>
      <c r="AJ248" t="inlineStr"/>
      <c r="AK248" t="n">
        <v>0.525442</v>
      </c>
      <c r="AL248" t="n">
        <v>0.532555</v>
      </c>
      <c r="AM248" t="inlineStr"/>
      <c r="AN248" t="inlineStr"/>
      <c r="AO248" t="inlineStr"/>
      <c r="AP248" t="inlineStr"/>
      <c r="AQ248" t="n">
        <v>0.580773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0.564974</v>
      </c>
      <c r="AZ248" t="n">
        <v>0.580761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-0.087619</v>
      </c>
      <c r="BN248" t="n">
        <v>-0.08336300000000001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n">
        <v>-0.216255</v>
      </c>
      <c r="CD248" t="inlineStr"/>
      <c r="CE248" t="inlineStr"/>
      <c r="CF248" t="n">
        <v>1.195179</v>
      </c>
      <c r="CG248" t="n">
        <v>0.339742</v>
      </c>
      <c r="CH248" t="n">
        <v>0.342034</v>
      </c>
      <c r="CI248" t="inlineStr"/>
      <c r="CJ248" t="inlineStr"/>
      <c r="CK248" t="inlineStr"/>
      <c r="CL248" t="inlineStr"/>
      <c r="CM248" t="n">
        <v>0.300909</v>
      </c>
      <c r="CN248" t="n">
        <v>0.30955</v>
      </c>
      <c r="CO248" t="inlineStr"/>
      <c r="CP248" t="inlineStr"/>
      <c r="CQ248" t="n">
        <v>-0.971911</v>
      </c>
      <c r="CR248" t="n">
        <v>-0.985895</v>
      </c>
      <c r="CS248" t="inlineStr"/>
      <c r="CT248" t="inlineStr"/>
      <c r="CU248" t="n">
        <v>-0.849332</v>
      </c>
      <c r="CV248" t="inlineStr"/>
      <c r="CW248" t="n">
        <v>0.552995</v>
      </c>
      <c r="CX248" t="inlineStr"/>
      <c r="CY248" t="inlineStr"/>
      <c r="CZ248" t="inlineStr"/>
      <c r="DA248" t="inlineStr"/>
      <c r="DB248" t="inlineStr"/>
      <c r="DC248" t="n">
        <v>0.631091</v>
      </c>
      <c r="DD248" t="n">
        <v>0.63044</v>
      </c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n">
        <v>0.57264</v>
      </c>
      <c r="DZ248" t="n">
        <v>0.573316</v>
      </c>
    </row>
    <row r="249">
      <c r="A249" t="inlineStr">
        <is>
          <t>08/26/2025</t>
        </is>
      </c>
      <c r="B249" t="inlineStr"/>
      <c r="C249" t="inlineStr"/>
      <c r="D249" t="inlineStr"/>
      <c r="E249" t="n">
        <v>0.622691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0.091839</v>
      </c>
      <c r="S249" t="n">
        <v>0.08301500000000001</v>
      </c>
      <c r="T249" t="inlineStr"/>
      <c r="U249" t="inlineStr"/>
      <c r="V249" t="inlineStr"/>
      <c r="W249" t="inlineStr"/>
      <c r="X249" t="inlineStr"/>
      <c r="Y249" t="n">
        <v>0.25413</v>
      </c>
      <c r="Z249" t="n">
        <v>0.265041</v>
      </c>
      <c r="AA249" t="inlineStr"/>
      <c r="AB249" t="inlineStr"/>
      <c r="AC249" t="n">
        <v>-0.188874</v>
      </c>
      <c r="AD249" t="inlineStr"/>
      <c r="AE249" t="n">
        <v>-0.0631</v>
      </c>
      <c r="AF249" t="n">
        <v>-0.066313</v>
      </c>
      <c r="AG249" t="inlineStr"/>
      <c r="AH249" t="n">
        <v>-0.04755</v>
      </c>
      <c r="AI249" t="inlineStr"/>
      <c r="AJ249" t="inlineStr"/>
      <c r="AK249" t="n">
        <v>0.136338</v>
      </c>
      <c r="AL249" t="n">
        <v>0.126898</v>
      </c>
      <c r="AM249" t="inlineStr"/>
      <c r="AN249" t="inlineStr"/>
      <c r="AO249" t="inlineStr"/>
      <c r="AP249" t="inlineStr"/>
      <c r="AQ249" t="n">
        <v>0.501623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0.161565</v>
      </c>
      <c r="AZ249" t="n">
        <v>0.158641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0.661492</v>
      </c>
      <c r="BN249" t="n">
        <v>0.659314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0.854235</v>
      </c>
      <c r="CD249" t="inlineStr"/>
      <c r="CE249" t="inlineStr"/>
      <c r="CF249" t="n">
        <v>0.728888</v>
      </c>
      <c r="CG249" t="n">
        <v>1.304958</v>
      </c>
      <c r="CH249" t="n">
        <v>1.294675</v>
      </c>
      <c r="CI249" t="n">
        <v>1.110729</v>
      </c>
      <c r="CJ249" t="n">
        <v>1.161068</v>
      </c>
      <c r="CK249" t="inlineStr"/>
      <c r="CL249" t="inlineStr"/>
      <c r="CM249" t="n">
        <v>0.628707</v>
      </c>
      <c r="CN249" t="n">
        <v>0.623104</v>
      </c>
      <c r="CO249" t="inlineStr"/>
      <c r="CP249" t="inlineStr"/>
      <c r="CQ249" t="n">
        <v>-1.649979</v>
      </c>
      <c r="CR249" t="n">
        <v>-1.653619</v>
      </c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n">
        <v>0.454661</v>
      </c>
      <c r="DD249" t="n">
        <v>0.457329</v>
      </c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-0.686237</v>
      </c>
      <c r="DW249" t="inlineStr"/>
      <c r="DX249" t="inlineStr"/>
      <c r="DY249" t="n">
        <v>0.197319</v>
      </c>
      <c r="DZ249" t="n">
        <v>0.183827</v>
      </c>
    </row>
    <row r="250">
      <c r="A250" t="inlineStr">
        <is>
          <t>08/25/2025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0.405317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1.64242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0.221133</v>
      </c>
      <c r="CP250" t="n">
        <v>0.255335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-0.167124</v>
      </c>
      <c r="CZ250" t="n">
        <v>-0.151523</v>
      </c>
      <c r="DA250" t="inlineStr"/>
      <c r="DB250" t="inlineStr"/>
      <c r="DC250" t="inlineStr"/>
      <c r="DD250" t="inlineStr"/>
      <c r="DE250" t="inlineStr"/>
      <c r="DF250" t="n">
        <v>0.83301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</row>
    <row r="251">
      <c r="A251" t="inlineStr">
        <is>
          <t>08/22/2025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0.093026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</row>
    <row r="252">
      <c r="A252" t="inlineStr">
        <is>
          <t>08/21/2025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1.517105</v>
      </c>
      <c r="J252" t="n">
        <v>1.504708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0.815588</v>
      </c>
      <c r="AB252" t="n">
        <v>0.813794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1.431884</v>
      </c>
      <c r="AN252" t="n">
        <v>1.425795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7.496396</v>
      </c>
      <c r="AX252" t="n">
        <v>7.489393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2.834469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4.634727</v>
      </c>
      <c r="CJ252" t="n">
        <v>4.648429</v>
      </c>
      <c r="CK252" t="inlineStr"/>
      <c r="CL252" t="inlineStr"/>
      <c r="CM252" t="inlineStr"/>
      <c r="CN252" t="inlineStr"/>
      <c r="CO252" t="n">
        <v>1.33526</v>
      </c>
      <c r="CP252" t="n">
        <v>1.336615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1.44639</v>
      </c>
      <c r="CZ252" t="n">
        <v>1.463852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n">
        <v>3.058454</v>
      </c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</row>
    <row r="253">
      <c r="A253" t="inlineStr">
        <is>
          <t>08/20/2025</t>
        </is>
      </c>
      <c r="B253" t="n">
        <v>0.178508</v>
      </c>
      <c r="C253" t="n">
        <v>0.173085</v>
      </c>
      <c r="D253" t="n">
        <v>1.259718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1.584498</v>
      </c>
      <c r="BB253" t="n">
        <v>1.582483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n">
        <v>0.382041</v>
      </c>
      <c r="CB253" t="n">
        <v>0.452489</v>
      </c>
      <c r="CC253" t="inlineStr"/>
      <c r="CD253" t="inlineStr"/>
      <c r="CE253" t="inlineStr"/>
      <c r="CF253" t="inlineStr"/>
      <c r="CG253" t="inlineStr"/>
      <c r="CH253" t="inlineStr"/>
      <c r="CI253" t="n">
        <v>1.2213</v>
      </c>
      <c r="CJ253" t="n">
        <v>1.209443</v>
      </c>
      <c r="CK253" t="inlineStr"/>
      <c r="CL253" t="inlineStr"/>
      <c r="CM253" t="inlineStr"/>
      <c r="CN253" t="inlineStr"/>
      <c r="CO253" t="n">
        <v>-0.11096</v>
      </c>
      <c r="CP253" t="n">
        <v>-0.102711</v>
      </c>
      <c r="CQ253" t="inlineStr"/>
      <c r="CR253" t="inlineStr"/>
      <c r="CS253" t="inlineStr"/>
      <c r="CT253" t="inlineStr"/>
      <c r="CU253" t="n">
        <v>-2.809107</v>
      </c>
      <c r="CV253" t="inlineStr"/>
      <c r="CW253" t="inlineStr"/>
      <c r="CX253" t="inlineStr"/>
      <c r="CY253" t="n">
        <v>-0.873302</v>
      </c>
      <c r="CZ253" t="n">
        <v>-0.89595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-0.766871</v>
      </c>
      <c r="DU253" t="inlineStr"/>
      <c r="DV253" t="n">
        <v>0.671655</v>
      </c>
      <c r="DW253" t="inlineStr"/>
      <c r="DX253" t="inlineStr"/>
      <c r="DY253" t="inlineStr"/>
      <c r="DZ253" t="inlineStr"/>
    </row>
    <row r="254">
      <c r="A254" t="inlineStr">
        <is>
          <t>08/19/2025</t>
        </is>
      </c>
      <c r="B254" t="inlineStr"/>
      <c r="C254" t="inlineStr"/>
      <c r="D254" t="n">
        <v>0.680934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1.086008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1.131722</v>
      </c>
      <c r="BB254" t="n">
        <v>1.120794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n">
        <v>0.595638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0.80727</v>
      </c>
      <c r="CV254" t="inlineStr"/>
      <c r="CW254" t="inlineStr"/>
      <c r="CX254" t="inlineStr"/>
      <c r="CY254" t="n">
        <v>-2.522262</v>
      </c>
      <c r="CZ254" t="n">
        <v>-2.516098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-0.112008</v>
      </c>
      <c r="DW254" t="inlineStr"/>
      <c r="DX254" t="inlineStr"/>
      <c r="DY254" t="inlineStr"/>
      <c r="DZ254" t="inlineStr"/>
    </row>
    <row r="255">
      <c r="A255" t="inlineStr">
        <is>
          <t>08/18/2025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0.379471</v>
      </c>
      <c r="BB255" t="n">
        <v>0.368249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</row>
    <row r="256">
      <c r="A256" t="inlineStr">
        <is>
          <t>08/15/2025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-0.168158</v>
      </c>
      <c r="Q256" t="n">
        <v>-0.179506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-0.379264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0.727557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0.167089</v>
      </c>
      <c r="CP256" t="n">
        <v>0.103082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</row>
    <row r="257">
      <c r="A257" t="inlineStr">
        <is>
          <t>08/14/2025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-0.09618500000000001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-0.568257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-2.341469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0.137654</v>
      </c>
      <c r="CX257" t="inlineStr"/>
      <c r="CY257" t="n">
        <v>2.850145</v>
      </c>
      <c r="CZ257" t="n">
        <v>2.835363</v>
      </c>
      <c r="DA257" t="inlineStr"/>
      <c r="DB257" t="inlineStr"/>
      <c r="DC257" t="inlineStr"/>
      <c r="DD257" t="inlineStr"/>
      <c r="DE257" t="inlineStr"/>
      <c r="DF257" t="n">
        <v>-1.130056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</row>
    <row r="258">
      <c r="A258" t="inlineStr">
        <is>
          <t>08/13/2025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-4.078475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0.90888</v>
      </c>
      <c r="BP258" t="inlineStr"/>
      <c r="BQ258" t="inlineStr"/>
      <c r="BR258" t="inlineStr"/>
      <c r="BS258" t="inlineStr"/>
      <c r="BT258" t="inlineStr"/>
      <c r="BU258" t="inlineStr"/>
      <c r="BV258" t="n">
        <v>0.155616</v>
      </c>
      <c r="BW258" t="inlineStr"/>
      <c r="BX258" t="n">
        <v>0.09578399999999999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</row>
    <row r="259">
      <c r="A259" t="inlineStr">
        <is>
          <t>08/12/2025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0.576331</v>
      </c>
      <c r="AI259" t="inlineStr"/>
      <c r="AJ259" t="inlineStr"/>
      <c r="AK259" t="inlineStr"/>
      <c r="AL259" t="n">
        <v>-0.151623</v>
      </c>
      <c r="AM259" t="inlineStr"/>
      <c r="AN259" t="inlineStr"/>
      <c r="AO259" t="inlineStr"/>
      <c r="AP259" t="inlineStr"/>
      <c r="AQ259" t="n">
        <v>1.132028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0.039953</v>
      </c>
      <c r="AZ259" t="n">
        <v>0.0262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1.64672</v>
      </c>
      <c r="BN259" t="n">
        <v>1.638142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2.605494</v>
      </c>
      <c r="CD259" t="inlineStr"/>
      <c r="CE259" t="inlineStr"/>
      <c r="CF259" t="inlineStr"/>
      <c r="CG259" t="n">
        <v>3.949987</v>
      </c>
      <c r="CH259" t="n">
        <v>3.934871</v>
      </c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n">
        <v>0.64488</v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n">
        <v>1.122176</v>
      </c>
      <c r="DZ259" t="inlineStr"/>
    </row>
    <row r="260">
      <c r="A260" t="inlineStr">
        <is>
          <t>08/11/2025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1.130814</v>
      </c>
      <c r="J260" t="n">
        <v>1.12789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0.228162</v>
      </c>
      <c r="AB260" t="n">
        <v>0.227733</v>
      </c>
      <c r="AC260" t="inlineStr"/>
      <c r="AD260" t="inlineStr"/>
      <c r="AE260" t="n">
        <v>1.09872</v>
      </c>
      <c r="AF260" t="n">
        <v>1.099529</v>
      </c>
      <c r="AG260" t="inlineStr"/>
      <c r="AH260" t="inlineStr"/>
      <c r="AI260" t="inlineStr"/>
      <c r="AJ260" t="inlineStr"/>
      <c r="AK260" t="inlineStr"/>
      <c r="AL260" t="inlineStr"/>
      <c r="AM260" t="n">
        <v>1.079486</v>
      </c>
      <c r="AN260" t="n">
        <v>1.072992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3.480737</v>
      </c>
      <c r="AX260" t="n">
        <v>3.47609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2.325726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n">
        <v>-3.461152</v>
      </c>
      <c r="CV260" t="inlineStr"/>
      <c r="CW260" t="inlineStr"/>
      <c r="CX260" t="inlineStr"/>
      <c r="CY260" t="n">
        <v>4.576126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</row>
    <row r="261">
      <c r="A261" t="inlineStr">
        <is>
          <t>08/08/2025</t>
        </is>
      </c>
      <c r="B261" t="n">
        <v>0.035676</v>
      </c>
      <c r="C261" t="n">
        <v>0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n">
        <v>0.846232</v>
      </c>
      <c r="BW261" t="inlineStr"/>
      <c r="BX261" t="inlineStr"/>
      <c r="BY261" t="inlineStr"/>
      <c r="BZ261" t="inlineStr"/>
      <c r="CA261" t="n">
        <v>0.755435</v>
      </c>
      <c r="CB261" t="n">
        <v>0.595238</v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</row>
    <row r="262">
      <c r="A262" t="inlineStr">
        <is>
          <t>08/07/2025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0.775105</v>
      </c>
      <c r="J262" t="n">
        <v>0.772923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-0.5896400000000001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0.829962</v>
      </c>
      <c r="AN262" t="n">
        <v>0.822348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1.264301</v>
      </c>
      <c r="AX262" t="n">
        <v>1.255469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-1.361128</v>
      </c>
      <c r="CJ262" t="n">
        <v>-1.356557</v>
      </c>
      <c r="CK262" t="inlineStr"/>
      <c r="CL262" t="inlineStr"/>
      <c r="CM262" t="inlineStr"/>
      <c r="CN262" t="inlineStr"/>
      <c r="CO262" t="n">
        <v>0.457108</v>
      </c>
      <c r="CP262" t="n">
        <v>0.422875</v>
      </c>
      <c r="CQ262" t="n">
        <v>0.575485</v>
      </c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n">
        <v>1.128908</v>
      </c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1.126689</v>
      </c>
      <c r="DU262" t="inlineStr"/>
      <c r="DV262" t="inlineStr"/>
      <c r="DW262" t="inlineStr"/>
      <c r="DX262" t="inlineStr"/>
      <c r="DY262" t="inlineStr"/>
      <c r="DZ262" t="inlineStr"/>
    </row>
    <row r="263">
      <c r="A263" t="inlineStr">
        <is>
          <t>08/06/2025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</row>
    <row r="264">
      <c r="A264" t="inlineStr">
        <is>
          <t>08/05/2025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0.7150609999999999</v>
      </c>
      <c r="J264" t="n">
        <v>0.725997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0.097927</v>
      </c>
      <c r="AB264" t="n">
        <v>0.09760000000000001</v>
      </c>
      <c r="AC264" t="inlineStr"/>
      <c r="AD264" t="inlineStr"/>
      <c r="AE264" t="inlineStr"/>
      <c r="AF264" t="inlineStr"/>
      <c r="AG264" t="inlineStr"/>
      <c r="AH264" t="inlineStr"/>
      <c r="AI264" t="n">
        <v>4.040404</v>
      </c>
      <c r="AJ264" t="n">
        <v>4.043266</v>
      </c>
      <c r="AK264" t="inlineStr"/>
      <c r="AL264" t="inlineStr"/>
      <c r="AM264" t="n">
        <v>0.247583</v>
      </c>
      <c r="AN264" t="n">
        <v>0.246998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-1.330574</v>
      </c>
      <c r="AX264" t="n">
        <v>-1.339695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0.783367</v>
      </c>
      <c r="BJ264" t="n">
        <v>0.76558</v>
      </c>
      <c r="BK264" t="inlineStr"/>
      <c r="BL264" t="inlineStr"/>
      <c r="BM264" t="inlineStr"/>
      <c r="BN264" t="inlineStr"/>
      <c r="BO264" t="n">
        <v>0.259548</v>
      </c>
      <c r="BP264" t="inlineStr"/>
      <c r="BQ264" t="inlineStr"/>
      <c r="BR264" t="inlineStr"/>
      <c r="BS264" t="inlineStr"/>
      <c r="BT264" t="inlineStr"/>
      <c r="BU264" t="n">
        <v>0.9860950000000001</v>
      </c>
      <c r="BV264" t="n">
        <v>1.007475</v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n">
        <v>1.689624</v>
      </c>
      <c r="CF264" t="inlineStr"/>
      <c r="CG264" t="inlineStr"/>
      <c r="CH264" t="inlineStr"/>
      <c r="CI264" t="n">
        <v>2.42608</v>
      </c>
      <c r="CJ264" t="n">
        <v>2.397448</v>
      </c>
      <c r="CK264" t="inlineStr"/>
      <c r="CL264" t="inlineStr"/>
      <c r="CM264" t="inlineStr"/>
      <c r="CN264" t="inlineStr"/>
      <c r="CO264" t="n">
        <v>0.057994</v>
      </c>
      <c r="CP264" t="n">
        <v>0.053671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n">
        <v>1.591949</v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n">
        <v>2.555245</v>
      </c>
      <c r="DJ264" t="n">
        <v>2.551639</v>
      </c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</row>
    <row r="265">
      <c r="A265" t="inlineStr">
        <is>
          <t>08/04/2025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-0.193208</v>
      </c>
      <c r="BP265" t="inlineStr"/>
      <c r="BQ265" t="inlineStr"/>
      <c r="BR265" t="inlineStr"/>
      <c r="BS265" t="inlineStr"/>
      <c r="BT265" t="inlineStr"/>
      <c r="BU265" t="inlineStr"/>
      <c r="BV265" t="n">
        <v>-0.154446</v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</row>
    <row r="266">
      <c r="A266" t="inlineStr">
        <is>
          <t>08/01/2025</t>
        </is>
      </c>
      <c r="B266" t="inlineStr"/>
      <c r="C266" t="inlineStr"/>
      <c r="D266" t="n">
        <v>1.674985</v>
      </c>
      <c r="E266" t="inlineStr"/>
      <c r="F266" t="inlineStr"/>
      <c r="G266" t="inlineStr"/>
      <c r="H266" t="inlineStr"/>
      <c r="I266" t="n">
        <v>1.470286</v>
      </c>
      <c r="J266" t="n">
        <v>1.465931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0.326941</v>
      </c>
      <c r="AB266" t="n">
        <v>0.325851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0.942572</v>
      </c>
      <c r="AN266" t="n">
        <v>0.9303979999999999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0.96979</v>
      </c>
      <c r="AX266" t="n">
        <v>0.968617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n">
        <v>1.418953</v>
      </c>
      <c r="CJ266" t="n">
        <v>1.412074</v>
      </c>
      <c r="CK266" t="inlineStr"/>
      <c r="CL266" t="inlineStr"/>
      <c r="CM266" t="inlineStr"/>
      <c r="CN266" t="inlineStr"/>
      <c r="CO266" t="n">
        <v>1.118558</v>
      </c>
      <c r="CP266" t="n">
        <v>1.141179</v>
      </c>
      <c r="CQ266" t="inlineStr"/>
      <c r="CR266" t="inlineStr"/>
      <c r="CS266" t="n">
        <v>2.819381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-2.531427</v>
      </c>
      <c r="DW266" t="inlineStr"/>
      <c r="DX266" t="inlineStr"/>
      <c r="DY266" t="inlineStr"/>
      <c r="DZ266" t="inlineStr"/>
    </row>
    <row r="267">
      <c r="A267" t="inlineStr">
        <is>
          <t>07/31/2025</t>
        </is>
      </c>
      <c r="B267" t="n">
        <v>0</v>
      </c>
      <c r="C267" t="n">
        <v>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0.713089</v>
      </c>
      <c r="Q267" t="n">
        <v>0.715174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0.8688900000000001</v>
      </c>
      <c r="AF267" t="n">
        <v>0.867463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0.252648</v>
      </c>
      <c r="CB267" t="n">
        <v>0.299401</v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3.083327</v>
      </c>
      <c r="DU267" t="inlineStr"/>
      <c r="DV267" t="inlineStr"/>
      <c r="DW267" t="n">
        <v>0.599859</v>
      </c>
      <c r="DX267" t="inlineStr"/>
      <c r="DY267" t="inlineStr"/>
      <c r="DZ267" t="inlineStr"/>
    </row>
    <row r="268">
      <c r="A268" t="inlineStr">
        <is>
          <t>07/30/2025</t>
        </is>
      </c>
      <c r="B268" t="n">
        <v>-0.035613</v>
      </c>
      <c r="C268" t="n">
        <v>-0.043141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n">
        <v>1.671658</v>
      </c>
      <c r="CB268" t="n">
        <v>1.674277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n">
        <v>0.926791</v>
      </c>
      <c r="CX268" t="n">
        <v>0.930044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</row>
    <row r="269">
      <c r="A269" t="inlineStr">
        <is>
          <t>07/29/2025</t>
        </is>
      </c>
      <c r="B269" t="inlineStr"/>
      <c r="C269" t="inlineStr"/>
      <c r="D269" t="n">
        <v>0.738862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-1.323524</v>
      </c>
      <c r="Q269" t="n">
        <v>-1.332526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n">
        <v>-0.662224</v>
      </c>
      <c r="CJ269" t="n">
        <v>-0.691031</v>
      </c>
      <c r="CK269" t="inlineStr"/>
      <c r="CL269" t="inlineStr"/>
      <c r="CM269" t="inlineStr"/>
      <c r="CN269" t="inlineStr"/>
      <c r="CO269" t="n">
        <v>-1.246372</v>
      </c>
      <c r="CP269" t="n">
        <v>-1.255619</v>
      </c>
      <c r="CQ269" t="inlineStr"/>
      <c r="CR269" t="inlineStr"/>
      <c r="CS269" t="n">
        <v>-3.877806</v>
      </c>
      <c r="CT269" t="inlineStr"/>
      <c r="CU269" t="n">
        <v>3.556986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1.015805</v>
      </c>
      <c r="DP269" t="n">
        <v>1.015066</v>
      </c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</row>
    <row r="270">
      <c r="A270" t="inlineStr">
        <is>
          <t>07/28/2025</t>
        </is>
      </c>
      <c r="B270" t="n">
        <v>-0.071352</v>
      </c>
      <c r="C270" t="n">
        <v>-0.043215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-1.667353</v>
      </c>
      <c r="CB270" t="n">
        <v>-1.669196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n">
        <v>1.269023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</row>
    <row r="271">
      <c r="A271" t="inlineStr">
        <is>
          <t>07/25/2025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1.002314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0.442729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n">
        <v>-3.552906</v>
      </c>
      <c r="CJ271" t="n">
        <v>-3.573756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0.448389</v>
      </c>
      <c r="DW271" t="inlineStr"/>
      <c r="DX271" t="inlineStr"/>
      <c r="DY271" t="inlineStr"/>
      <c r="DZ271" t="inlineStr"/>
    </row>
    <row r="272">
      <c r="A272" t="inlineStr">
        <is>
          <t>07/24/2025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2.139021</v>
      </c>
      <c r="CR272" t="inlineStr"/>
      <c r="CS272" t="inlineStr"/>
      <c r="CT272" t="inlineStr"/>
      <c r="CU272" t="inlineStr"/>
      <c r="CV272" t="inlineStr"/>
      <c r="CW272" t="n">
        <v>-0.314901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n">
        <v>-0.349523</v>
      </c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</row>
    <row r="273">
      <c r="A273" t="inlineStr">
        <is>
          <t>07/23/2025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-0.249174</v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0.199268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</row>
    <row r="274">
      <c r="A274" t="inlineStr">
        <is>
          <t>07/22/2025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0.77819</v>
      </c>
      <c r="J274" t="n">
        <v>0.775855</v>
      </c>
      <c r="K274" t="inlineStr"/>
      <c r="L274" t="inlineStr"/>
      <c r="M274" t="inlineStr"/>
      <c r="N274" t="inlineStr"/>
      <c r="O274" t="inlineStr"/>
      <c r="P274" t="n">
        <v>0.052016</v>
      </c>
      <c r="Q274" t="n">
        <v>0.045032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0.032664</v>
      </c>
      <c r="AB274" t="n">
        <v>0.06508799999999999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0.632051</v>
      </c>
      <c r="AN274" t="n">
        <v>0.6233880000000001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8.123100000000001</v>
      </c>
      <c r="AX274" t="n">
        <v>8.105561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</row>
    <row r="275">
      <c r="A275" t="inlineStr">
        <is>
          <t>07/21/2025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2.873405</v>
      </c>
      <c r="AF275" t="n">
        <v>2.873644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</row>
    <row r="276">
      <c r="A276" t="inlineStr">
        <is>
          <t>07/18/2025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0.647269</v>
      </c>
      <c r="M276" t="inlineStr"/>
      <c r="N276" t="inlineStr"/>
      <c r="O276" t="n">
        <v>-0.592457</v>
      </c>
      <c r="P276" t="n">
        <v>-0.118465</v>
      </c>
      <c r="Q276" t="n">
        <v>-0.136799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-0.963327</v>
      </c>
      <c r="AF276" t="n">
        <v>-0.962612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0.755466</v>
      </c>
      <c r="BB276" t="n">
        <v>0.758095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0.159232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</row>
    <row r="277">
      <c r="A277" t="inlineStr">
        <is>
          <t>07/17/2025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0.108814</v>
      </c>
      <c r="Z277" t="n">
        <v>0.08161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0.100007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n">
        <v>-0.053742</v>
      </c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</row>
    <row r="278">
      <c r="A278" t="inlineStr">
        <is>
          <t>07/16/2025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-0.275478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1.323974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</row>
    <row r="279">
      <c r="A279" t="inlineStr">
        <is>
          <t>07/15/2025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</row>
    <row r="280">
      <c r="A280" t="inlineStr">
        <is>
          <t>07/14/2025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4.34545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0.204735</v>
      </c>
      <c r="CR280" t="inlineStr"/>
      <c r="CS280" t="inlineStr"/>
      <c r="CT280" t="inlineStr"/>
      <c r="CU280" t="inlineStr"/>
      <c r="CV280" t="inlineStr"/>
      <c r="CW280" t="n">
        <v>0.201572</v>
      </c>
      <c r="CX280" t="n">
        <v>0.215009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n">
        <v>-2.180362</v>
      </c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</row>
    <row r="281">
      <c r="A281" t="inlineStr">
        <is>
          <t>07/11/2025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-0.80282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n">
        <v>-2.360604</v>
      </c>
      <c r="CJ281" t="n">
        <v>-2.395084</v>
      </c>
      <c r="CK281" t="inlineStr"/>
      <c r="CL281" t="inlineStr"/>
      <c r="CM281" t="inlineStr"/>
      <c r="CN281" t="inlineStr"/>
      <c r="CO281" t="n">
        <v>-0.395744</v>
      </c>
      <c r="CP281" t="n">
        <v>-0.469677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0.7367089999999999</v>
      </c>
      <c r="CY281" t="inlineStr"/>
      <c r="CZ281" t="n">
        <v>0.050088</v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</row>
    <row r="282">
      <c r="A282" t="inlineStr">
        <is>
          <t>07/10/2025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-1.209196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-0.467269</v>
      </c>
      <c r="AI282" t="inlineStr"/>
      <c r="AJ282" t="inlineStr"/>
      <c r="AK282" t="inlineStr"/>
      <c r="AL282" t="inlineStr"/>
      <c r="AM282" t="inlineStr"/>
      <c r="AN282" t="inlineStr"/>
      <c r="AO282" t="n">
        <v>-0.844633</v>
      </c>
      <c r="AP282" t="inlineStr"/>
      <c r="AQ282" t="n">
        <v>-0.973492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-0.91999</v>
      </c>
      <c r="BN282" t="n">
        <v>-0.929795</v>
      </c>
      <c r="BO282" t="n">
        <v>0.325368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n">
        <v>-1.129944</v>
      </c>
      <c r="CD282" t="inlineStr"/>
      <c r="CE282" t="inlineStr"/>
      <c r="CF282" t="inlineStr"/>
      <c r="CG282" t="n">
        <v>-2.586142</v>
      </c>
      <c r="CH282" t="n">
        <v>-2.599687</v>
      </c>
      <c r="CI282" t="n">
        <v>-0.909699</v>
      </c>
      <c r="CJ282" t="n">
        <v>-0.949367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n">
        <v>-0.962833</v>
      </c>
      <c r="DA282" t="inlineStr"/>
      <c r="DB282" t="inlineStr"/>
      <c r="DC282" t="inlineStr"/>
      <c r="DD282" t="inlineStr"/>
      <c r="DE282" t="inlineStr"/>
      <c r="DF282" t="n">
        <v>-1.703878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1.220468</v>
      </c>
      <c r="DW282" t="inlineStr"/>
      <c r="DX282" t="inlineStr"/>
      <c r="DY282" t="inlineStr"/>
      <c r="DZ282" t="inlineStr"/>
    </row>
    <row r="283">
      <c r="A283" t="inlineStr">
        <is>
          <t>07/09/2025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0.933981</v>
      </c>
      <c r="AF283" t="n">
        <v>0.935704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0.417074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</row>
    <row r="284">
      <c r="A284" t="inlineStr">
        <is>
          <t>07/08/2025</t>
        </is>
      </c>
      <c r="B284" t="inlineStr"/>
      <c r="C284" t="inlineStr"/>
      <c r="D284" t="n">
        <v>5.532025</v>
      </c>
      <c r="E284" t="inlineStr"/>
      <c r="F284" t="inlineStr"/>
      <c r="G284" t="inlineStr"/>
      <c r="H284" t="inlineStr"/>
      <c r="I284" t="n">
        <v>0.604644</v>
      </c>
      <c r="J284" t="n">
        <v>0.6112610000000001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0.262516</v>
      </c>
      <c r="AB284" t="n">
        <v>0.261713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0.27296</v>
      </c>
      <c r="AN284" t="n">
        <v>0.276711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-1.548353</v>
      </c>
      <c r="AX284" t="n">
        <v>-1.551189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-0.74741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-0.98165</v>
      </c>
      <c r="DW284" t="inlineStr"/>
      <c r="DX284" t="inlineStr"/>
      <c r="DY284" t="inlineStr"/>
      <c r="DZ284" t="inlineStr"/>
    </row>
    <row r="285">
      <c r="A285" t="inlineStr">
        <is>
          <t>07/07/2025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-0.078723</v>
      </c>
      <c r="J285" t="n">
        <v>-0.087145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-0.163678</v>
      </c>
      <c r="AB285" t="n">
        <v>-0.130685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0.091006</v>
      </c>
      <c r="AN285" t="n">
        <v>0.085327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7.7132</v>
      </c>
      <c r="AX285" t="n">
        <v>7.723728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1.52771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n">
        <v>0.8761139999999999</v>
      </c>
      <c r="CJ285" t="n">
        <v>0.91464</v>
      </c>
      <c r="CK285" t="inlineStr"/>
      <c r="CL285" t="inlineStr"/>
      <c r="CM285" t="inlineStr"/>
      <c r="CN285" t="inlineStr"/>
      <c r="CO285" t="n">
        <v>0.687323</v>
      </c>
      <c r="CP285" t="n">
        <v>0.740413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n">
        <v>2.59418</v>
      </c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-1.262</v>
      </c>
      <c r="DU285" t="inlineStr"/>
      <c r="DV285" t="inlineStr"/>
      <c r="DW285" t="inlineStr"/>
      <c r="DX285" t="inlineStr"/>
      <c r="DY285" t="inlineStr"/>
      <c r="DZ285" t="inlineStr"/>
    </row>
    <row r="286">
      <c r="A286" t="inlineStr">
        <is>
          <t>07/03/2025</t>
        </is>
      </c>
      <c r="B286" t="n">
        <v>0.35727</v>
      </c>
      <c r="C286" t="n">
        <v>0.345871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0.896255</v>
      </c>
      <c r="CB286" t="n">
        <v>0.75643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0.207549</v>
      </c>
      <c r="CX286" t="n">
        <v>0.196011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</row>
    <row r="287">
      <c r="A287" t="inlineStr">
        <is>
          <t>07/02/2025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1.097218</v>
      </c>
      <c r="CJ287" t="n">
        <v>1.145548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</row>
    <row r="288">
      <c r="A288" t="inlineStr">
        <is>
          <t>07/01/2025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1.011127</v>
      </c>
      <c r="BB288" t="n">
        <v>1.006747</v>
      </c>
      <c r="BC288" t="inlineStr"/>
      <c r="BD288" t="inlineStr"/>
      <c r="BE288" t="inlineStr"/>
      <c r="BF288" t="inlineStr"/>
      <c r="BG288" t="inlineStr"/>
      <c r="BH288" t="inlineStr"/>
      <c r="BI288" t="n">
        <v>0.807532</v>
      </c>
      <c r="BJ288" t="n">
        <v>0.791204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3.32789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n">
        <v>0.246746</v>
      </c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0.110648</v>
      </c>
      <c r="DW288" t="inlineStr"/>
      <c r="DX288" t="inlineStr"/>
      <c r="DY288" t="inlineStr"/>
      <c r="DZ288" t="inlineStr"/>
    </row>
    <row r="289">
      <c r="A289" t="inlineStr">
        <is>
          <t>06/30/2025</t>
        </is>
      </c>
      <c r="B289" t="inlineStr"/>
      <c r="C289" t="inlineStr"/>
      <c r="D289" t="n">
        <v>0.361578</v>
      </c>
      <c r="E289" t="inlineStr"/>
      <c r="F289" t="n">
        <v>2.288945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</row>
    <row r="290">
      <c r="A290" t="inlineStr">
        <is>
          <t>06/27/2025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0.032525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0.6580279999999999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-1.435782</v>
      </c>
      <c r="CY290" t="inlineStr"/>
      <c r="CZ290" t="n">
        <v>-1.110808</v>
      </c>
      <c r="DA290" t="inlineStr"/>
      <c r="DB290" t="inlineStr"/>
      <c r="DC290" t="inlineStr"/>
      <c r="DD290" t="inlineStr"/>
      <c r="DE290" t="inlineStr"/>
      <c r="DF290" t="n">
        <v>0.020799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</row>
    <row r="291">
      <c r="A291" t="inlineStr">
        <is>
          <t>06/26/2025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-0.225882</v>
      </c>
      <c r="AF291" t="n">
        <v>-0.230259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</row>
    <row r="292">
      <c r="A292" t="inlineStr">
        <is>
          <t>06/25/2025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0.3454</v>
      </c>
      <c r="AF292" t="n">
        <v>0.353405</v>
      </c>
      <c r="AG292" t="inlineStr"/>
      <c r="AH292" t="inlineStr"/>
      <c r="AI292" t="n">
        <v>2.442722</v>
      </c>
      <c r="AJ292" t="n">
        <v>2.446809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1.66433</v>
      </c>
      <c r="BR292" t="n">
        <v>1.664257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1.075118</v>
      </c>
      <c r="CF292" t="inlineStr"/>
      <c r="CG292" t="inlineStr"/>
      <c r="CH292" t="inlineStr"/>
      <c r="CI292" t="n">
        <v>3.116188</v>
      </c>
      <c r="CJ292" t="n">
        <v>3.179591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n">
        <v>-1.809488</v>
      </c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n">
        <v>2.236619</v>
      </c>
      <c r="DI292" t="n">
        <v>1.854862</v>
      </c>
      <c r="DJ292" t="n">
        <v>1.854758</v>
      </c>
      <c r="DK292" t="inlineStr"/>
      <c r="DL292" t="n">
        <v>-1.524778</v>
      </c>
      <c r="DM292" t="inlineStr"/>
      <c r="DN292" t="inlineStr"/>
      <c r="DO292" t="inlineStr"/>
      <c r="DP292" t="inlineStr"/>
      <c r="DQ292" t="n">
        <v>0.668336</v>
      </c>
      <c r="DR292" t="n">
        <v>0.652119</v>
      </c>
      <c r="DS292" t="inlineStr"/>
      <c r="DT292" t="inlineStr"/>
      <c r="DU292" t="inlineStr"/>
      <c r="DV292" t="n">
        <v>-1.856031</v>
      </c>
      <c r="DW292" t="inlineStr"/>
      <c r="DX292" t="inlineStr"/>
      <c r="DY292" t="inlineStr"/>
      <c r="DZ292" t="n">
        <v>1.799012</v>
      </c>
    </row>
    <row r="293">
      <c r="A293" t="inlineStr">
        <is>
          <t>06/24/2025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1.974698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0.118879</v>
      </c>
      <c r="AF293" t="n">
        <v>0.108858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1.858967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</row>
    <row r="294">
      <c r="A294" t="inlineStr">
        <is>
          <t>06/23/2025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1.113304</v>
      </c>
      <c r="J294" t="n">
        <v>1.117858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0.262654</v>
      </c>
      <c r="AB294" t="n">
        <v>0.262465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0.739325</v>
      </c>
      <c r="AN294" t="n">
        <v>0.7332340000000001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-0.444956</v>
      </c>
      <c r="AX294" t="n">
        <v>-0.419607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1.352772</v>
      </c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</row>
    <row r="295">
      <c r="A295" t="inlineStr">
        <is>
          <t>06/20/2025</t>
        </is>
      </c>
      <c r="B295" t="inlineStr"/>
      <c r="C295" t="inlineStr"/>
      <c r="D295" t="inlineStr"/>
      <c r="E295" t="n">
        <v>-0.350228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-0.13666</v>
      </c>
      <c r="P295" t="n">
        <v>1.703788</v>
      </c>
      <c r="Q295" t="n">
        <v>1.707577</v>
      </c>
      <c r="R295" t="n">
        <v>2.971655</v>
      </c>
      <c r="S295" t="n">
        <v>2.944573</v>
      </c>
      <c r="T295" t="inlineStr"/>
      <c r="U295" t="inlineStr"/>
      <c r="V295" t="inlineStr"/>
      <c r="W295" t="inlineStr"/>
      <c r="X295" t="inlineStr"/>
      <c r="Y295" t="n">
        <v>1.786543</v>
      </c>
      <c r="Z295" t="n">
        <v>1.797101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1.895733</v>
      </c>
      <c r="AI295" t="inlineStr"/>
      <c r="AJ295" t="inlineStr"/>
      <c r="AK295" t="n">
        <v>1.201303</v>
      </c>
      <c r="AL295" t="n">
        <v>1.171156</v>
      </c>
      <c r="AM295" t="inlineStr"/>
      <c r="AN295" t="inlineStr"/>
      <c r="AO295" t="inlineStr"/>
      <c r="AP295" t="inlineStr"/>
      <c r="AQ295" t="n">
        <v>0.742138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1.031116</v>
      </c>
      <c r="AZ295" t="n">
        <v>1.031186</v>
      </c>
      <c r="BA295" t="n">
        <v>1.690155</v>
      </c>
      <c r="BB295" t="n">
        <v>1.691367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1.246776</v>
      </c>
      <c r="BN295" t="n">
        <v>1.248105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n">
        <v>1.141343</v>
      </c>
      <c r="CD295" t="inlineStr"/>
      <c r="CE295" t="inlineStr"/>
      <c r="CF295" t="n">
        <v>1.617123</v>
      </c>
      <c r="CG295" t="n">
        <v>2.226226</v>
      </c>
      <c r="CH295" t="n">
        <v>2.197309</v>
      </c>
      <c r="CI295" t="inlineStr"/>
      <c r="CJ295" t="inlineStr"/>
      <c r="CK295" t="inlineStr"/>
      <c r="CL295" t="inlineStr"/>
      <c r="CM295" t="n">
        <v>1.736227</v>
      </c>
      <c r="CN295" t="n">
        <v>1.718434</v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-0.596061</v>
      </c>
      <c r="CY295" t="inlineStr"/>
      <c r="CZ295" t="inlineStr"/>
      <c r="DA295" t="inlineStr"/>
      <c r="DB295" t="inlineStr"/>
      <c r="DC295" t="n">
        <v>1.883295</v>
      </c>
      <c r="DD295" t="n">
        <v>1.877936</v>
      </c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n">
        <v>1.816672</v>
      </c>
      <c r="DZ295" t="inlineStr"/>
    </row>
    <row r="296">
      <c r="A296" t="inlineStr">
        <is>
          <t>06/18/2025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-0.5109</v>
      </c>
      <c r="P296" t="n">
        <v>1.081437</v>
      </c>
      <c r="Q296" t="n">
        <v>1.063174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-0.710933</v>
      </c>
      <c r="AF296" t="n">
        <v>-0.729626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2.407261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n">
        <v>2.336357</v>
      </c>
      <c r="DT296" t="inlineStr"/>
      <c r="DU296" t="inlineStr"/>
      <c r="DV296" t="inlineStr"/>
      <c r="DW296" t="inlineStr"/>
      <c r="DX296" t="inlineStr"/>
      <c r="DY296" t="inlineStr"/>
      <c r="DZ296" t="inlineStr"/>
    </row>
    <row r="297">
      <c r="A297" t="inlineStr">
        <is>
          <t>06/17/2025</t>
        </is>
      </c>
      <c r="B297" t="inlineStr"/>
      <c r="C297" t="inlineStr"/>
      <c r="D297" t="inlineStr"/>
      <c r="E297" t="inlineStr"/>
      <c r="F297" t="n">
        <v>0.900514</v>
      </c>
      <c r="G297" t="inlineStr"/>
      <c r="H297" t="inlineStr"/>
      <c r="I297" t="n">
        <v>-0.041104</v>
      </c>
      <c r="J297" t="n">
        <v>-0.036374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0.132108</v>
      </c>
      <c r="AB297" t="n">
        <v>0.131845</v>
      </c>
      <c r="AC297" t="inlineStr"/>
      <c r="AD297" t="inlineStr"/>
      <c r="AE297" t="n">
        <v>-0.294503</v>
      </c>
      <c r="AF297" t="n">
        <v>-0.274574</v>
      </c>
      <c r="AG297" t="inlineStr"/>
      <c r="AH297" t="inlineStr"/>
      <c r="AI297" t="inlineStr"/>
      <c r="AJ297" t="inlineStr"/>
      <c r="AK297" t="inlineStr"/>
      <c r="AL297" t="inlineStr"/>
      <c r="AM297" t="n">
        <v>0.075561</v>
      </c>
      <c r="AN297" t="n">
        <v>0.06625399999999999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-1.680062</v>
      </c>
      <c r="AX297" t="n">
        <v>-1.686167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2.012158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n">
        <v>1.181485</v>
      </c>
      <c r="DT297" t="inlineStr"/>
      <c r="DU297" t="inlineStr"/>
      <c r="DV297" t="inlineStr"/>
      <c r="DW297" t="inlineStr"/>
      <c r="DX297" t="inlineStr"/>
      <c r="DY297" t="inlineStr"/>
      <c r="DZ297" t="inlineStr"/>
    </row>
    <row r="298">
      <c r="A298" t="inlineStr">
        <is>
          <t>06/16/2025</t>
        </is>
      </c>
      <c r="B298" t="n">
        <v>0.140895</v>
      </c>
      <c r="C298" t="n">
        <v>0.127823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0.38253</v>
      </c>
      <c r="CB298" t="n">
        <v>0.300752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</row>
    <row r="299">
      <c r="A299" t="inlineStr">
        <is>
          <t>06/13/2025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0.944199</v>
      </c>
      <c r="J299" t="n">
        <v>0.926446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0.165413</v>
      </c>
      <c r="AB299" t="n">
        <v>0.198065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0.650325</v>
      </c>
      <c r="AN299" t="n">
        <v>0.628075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-1.011758</v>
      </c>
      <c r="AX299" t="n">
        <v>-1.01584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3.387088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n">
        <v>2.064855</v>
      </c>
      <c r="CJ299" t="n">
        <v>2.017332</v>
      </c>
      <c r="CK299" t="inlineStr"/>
      <c r="CL299" t="inlineStr"/>
      <c r="CM299" t="inlineStr"/>
      <c r="CN299" t="inlineStr"/>
      <c r="CO299" t="n">
        <v>0.171786</v>
      </c>
      <c r="CP299" t="n">
        <v>0.105809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-0.33298</v>
      </c>
      <c r="CY299" t="inlineStr"/>
      <c r="CZ299" t="n">
        <v>3.065305</v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</row>
    <row r="300">
      <c r="A300" t="inlineStr">
        <is>
          <t>06/12/2025</t>
        </is>
      </c>
      <c r="B300" t="n">
        <v>0.31746</v>
      </c>
      <c r="C300" t="n">
        <v>0.298507</v>
      </c>
      <c r="D300" t="inlineStr"/>
      <c r="E300" t="inlineStr"/>
      <c r="F300" t="n">
        <v>1.615865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n">
        <v>0.899714</v>
      </c>
      <c r="CB300" t="n">
        <v>0.91047</v>
      </c>
      <c r="CC300" t="inlineStr"/>
      <c r="CD300" t="inlineStr"/>
      <c r="CE300" t="inlineStr"/>
      <c r="CF300" t="inlineStr"/>
      <c r="CG300" t="inlineStr"/>
      <c r="CH300" t="inlineStr"/>
      <c r="CI300" t="n">
        <v>-0.577115</v>
      </c>
      <c r="CJ300" t="n">
        <v>-0.534936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3.500695</v>
      </c>
      <c r="DW300" t="inlineStr"/>
      <c r="DX300" t="inlineStr"/>
      <c r="DY300" t="inlineStr"/>
      <c r="DZ300" t="inlineStr"/>
    </row>
    <row r="301">
      <c r="A301" t="inlineStr">
        <is>
          <t>06/11/2025</t>
        </is>
      </c>
      <c r="B301" t="inlineStr"/>
      <c r="C301" t="inlineStr"/>
      <c r="D301" t="n">
        <v>-0.100411</v>
      </c>
      <c r="E301" t="inlineStr"/>
      <c r="F301" t="n">
        <v>1.868326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1.211134</v>
      </c>
      <c r="AF301" t="n">
        <v>1.203369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n">
        <v>0.971429</v>
      </c>
      <c r="CJ301" t="n">
        <v>0.945524</v>
      </c>
      <c r="CK301" t="inlineStr"/>
      <c r="CL301" t="inlineStr"/>
      <c r="CM301" t="inlineStr"/>
      <c r="CN301" t="inlineStr"/>
      <c r="CO301" t="n">
        <v>0.743442</v>
      </c>
      <c r="CP301" t="n">
        <v>0.739241</v>
      </c>
      <c r="CQ301" t="inlineStr"/>
      <c r="CR301" t="inlineStr"/>
      <c r="CS301" t="inlineStr"/>
      <c r="CT301" t="inlineStr"/>
      <c r="CU301" t="n">
        <v>0.738507</v>
      </c>
      <c r="CV301" t="inlineStr"/>
      <c r="CW301" t="inlineStr"/>
      <c r="CX301" t="inlineStr"/>
      <c r="CY301" t="inlineStr"/>
      <c r="CZ301" t="n">
        <v>-0.7376549999999999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-0.410219</v>
      </c>
      <c r="DW301" t="inlineStr"/>
      <c r="DX301" t="inlineStr"/>
      <c r="DY301" t="inlineStr"/>
      <c r="DZ301" t="inlineStr"/>
    </row>
    <row r="302">
      <c r="A302" t="inlineStr">
        <is>
          <t>06/10/2025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n">
        <v>-0.461242</v>
      </c>
      <c r="DT302" t="inlineStr"/>
      <c r="DU302" t="inlineStr"/>
      <c r="DV302" t="inlineStr"/>
      <c r="DW302" t="inlineStr"/>
      <c r="DX302" t="inlineStr"/>
      <c r="DY302" t="inlineStr"/>
      <c r="DZ302" t="inlineStr"/>
    </row>
    <row r="303">
      <c r="A303" t="inlineStr">
        <is>
          <t>06/09/2025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1.641986</v>
      </c>
      <c r="AF303" t="n">
        <v>1.631321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0.79454</v>
      </c>
      <c r="CG303" t="inlineStr"/>
      <c r="CH303" t="inlineStr"/>
      <c r="CI303" t="n">
        <v>2.032358</v>
      </c>
      <c r="CJ303" t="n">
        <v>2.049235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</row>
    <row r="304">
      <c r="A304" t="inlineStr">
        <is>
          <t>06/06/2025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0.024969</v>
      </c>
      <c r="CX304" t="n">
        <v>0.028535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</row>
    <row r="305">
      <c r="A305" t="inlineStr">
        <is>
          <t>06/05/2025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1.032859</v>
      </c>
      <c r="J305" t="n">
        <v>1.023677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-0.033056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1.025403</v>
      </c>
      <c r="AN305" t="n">
        <v>1.021095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4.697563</v>
      </c>
      <c r="AX305" t="n">
        <v>4.700516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1.55682</v>
      </c>
      <c r="BJ305" t="n">
        <v>1.572709</v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0.07313600000000001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2.696431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-2.055623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</row>
    <row r="306">
      <c r="A306" t="inlineStr">
        <is>
          <t>06/04/2025</t>
        </is>
      </c>
      <c r="B306" t="inlineStr"/>
      <c r="C306" t="inlineStr"/>
      <c r="D306" t="inlineStr"/>
      <c r="E306" t="inlineStr"/>
      <c r="F306" t="n">
        <v>3.130572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-0.130895</v>
      </c>
      <c r="AF306" t="n">
        <v>-0.13725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n">
        <v>0.174271</v>
      </c>
      <c r="CP306" t="n">
        <v>0.21411</v>
      </c>
      <c r="CQ306" t="inlineStr"/>
      <c r="CR306" t="inlineStr"/>
      <c r="CS306" t="n">
        <v>0.509095</v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n">
        <v>-0.254248</v>
      </c>
      <c r="DP306" t="n">
        <v>-0.259273</v>
      </c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</row>
    <row r="307">
      <c r="A307" t="inlineStr">
        <is>
          <t>06/03/2025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0.299368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0.505264</v>
      </c>
      <c r="DW307" t="inlineStr"/>
      <c r="DX307" t="inlineStr"/>
      <c r="DY307" t="inlineStr"/>
      <c r="DZ307" t="inlineStr"/>
    </row>
    <row r="308">
      <c r="A308" t="inlineStr">
        <is>
          <t>06/02/2025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-0.588452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</row>
    <row r="309">
      <c r="A309" t="inlineStr">
        <is>
          <t>05/30/2025</t>
        </is>
      </c>
      <c r="B309" t="inlineStr"/>
      <c r="C309" t="inlineStr"/>
      <c r="D309" t="inlineStr"/>
      <c r="E309" t="n">
        <v>3.921184</v>
      </c>
      <c r="F309" t="n">
        <v>0.128363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-0.051003</v>
      </c>
      <c r="Q309" t="n">
        <v>-0.05878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-0.365403</v>
      </c>
      <c r="AI309" t="inlineStr"/>
      <c r="AJ309" t="inlineStr"/>
      <c r="AK309" t="inlineStr"/>
      <c r="AL309" t="n">
        <v>0.618949</v>
      </c>
      <c r="AM309" t="inlineStr"/>
      <c r="AN309" t="inlineStr"/>
      <c r="AO309" t="inlineStr"/>
      <c r="AP309" t="inlineStr"/>
      <c r="AQ309" t="n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0.688659</v>
      </c>
      <c r="AZ309" t="n">
        <v>0.696031</v>
      </c>
      <c r="BA309" t="n">
        <v>0.926014</v>
      </c>
      <c r="BB309" t="n">
        <v>0.929219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-0.125293</v>
      </c>
      <c r="BN309" t="n">
        <v>-0.130719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n">
        <v>-0.692865</v>
      </c>
      <c r="CD309" t="inlineStr"/>
      <c r="CE309" t="inlineStr"/>
      <c r="CF309" t="n">
        <v>1.179431</v>
      </c>
      <c r="CG309" t="n">
        <v>0.385497</v>
      </c>
      <c r="CH309" t="n">
        <v>0.372439</v>
      </c>
      <c r="CI309" t="inlineStr"/>
      <c r="CJ309" t="inlineStr"/>
      <c r="CK309" t="inlineStr"/>
      <c r="CL309" t="inlineStr"/>
      <c r="CM309" t="inlineStr"/>
      <c r="CN309" t="inlineStr"/>
      <c r="CO309" t="n">
        <v>1.404615</v>
      </c>
      <c r="CP309" t="n">
        <v>1.403735</v>
      </c>
      <c r="CQ309" t="inlineStr"/>
      <c r="CR309" t="inlineStr"/>
      <c r="CS309" t="inlineStr"/>
      <c r="CT309" t="inlineStr"/>
      <c r="CU309" t="n">
        <v>-0.992282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</row>
    <row r="310">
      <c r="A310" t="inlineStr">
        <is>
          <t>05/29/2025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n">
        <v>0.115581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4.844128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-0.299542</v>
      </c>
      <c r="DW310" t="inlineStr"/>
      <c r="DX310" t="inlineStr"/>
      <c r="DY310" t="inlineStr"/>
      <c r="DZ310" t="inlineStr"/>
    </row>
    <row r="311">
      <c r="A311" t="inlineStr">
        <is>
          <t>05/28/2025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3.030231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n">
        <v>0.06701500000000001</v>
      </c>
      <c r="CJ311" t="n">
        <v>0.06999900000000001</v>
      </c>
      <c r="CK311" t="inlineStr"/>
      <c r="CL311" t="inlineStr"/>
      <c r="CM311" t="inlineStr"/>
      <c r="CN311" t="inlineStr"/>
      <c r="CO311" t="n">
        <v>0.058333</v>
      </c>
      <c r="CP311" t="n">
        <v>0.053932</v>
      </c>
      <c r="CQ311" t="inlineStr"/>
      <c r="CR311" t="inlineStr"/>
      <c r="CS311" t="inlineStr"/>
      <c r="CT311" t="inlineStr"/>
      <c r="CU311" t="inlineStr"/>
      <c r="CV311" t="inlineStr"/>
      <c r="CW311" t="n">
        <v>0.253067</v>
      </c>
      <c r="CX311" t="n">
        <v>0.242465</v>
      </c>
      <c r="CY311" t="inlineStr"/>
      <c r="CZ311" t="n">
        <v>0.296654</v>
      </c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n">
        <v>-1.431849</v>
      </c>
      <c r="DU311" t="inlineStr"/>
      <c r="DV311" t="inlineStr"/>
      <c r="DW311" t="inlineStr"/>
      <c r="DX311" t="inlineStr"/>
      <c r="DY311" t="inlineStr"/>
      <c r="DZ311" t="inlineStr"/>
    </row>
    <row r="312">
      <c r="A312" t="inlineStr">
        <is>
          <t>05/27/2025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n">
        <v>-2.176485</v>
      </c>
      <c r="DP312" t="n">
        <v>-2.172599</v>
      </c>
      <c r="DQ312" t="inlineStr"/>
      <c r="DR312" t="inlineStr"/>
      <c r="DS312" t="n">
        <v>1.816536</v>
      </c>
      <c r="DT312" t="inlineStr"/>
      <c r="DU312" t="inlineStr"/>
      <c r="DV312" t="inlineStr"/>
      <c r="DW312" t="inlineStr"/>
      <c r="DX312" t="inlineStr"/>
      <c r="DY312" t="inlineStr"/>
      <c r="DZ312" t="inlineStr"/>
    </row>
    <row r="313">
      <c r="A313" t="inlineStr">
        <is>
          <t>05/23/2025</t>
        </is>
      </c>
      <c r="B313" t="inlineStr"/>
      <c r="C313" t="inlineStr"/>
      <c r="D313" t="inlineStr"/>
      <c r="E313" t="inlineStr"/>
      <c r="F313" t="n">
        <v>-1.022368</v>
      </c>
      <c r="G313" t="inlineStr"/>
      <c r="H313" t="inlineStr"/>
      <c r="I313" t="n">
        <v>2.028999</v>
      </c>
      <c r="J313" t="n">
        <v>2.019126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0.566869</v>
      </c>
      <c r="AB313" t="n">
        <v>0.565611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1.659504</v>
      </c>
      <c r="AN313" t="n">
        <v>1.657379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3.291929</v>
      </c>
      <c r="AX313" t="n">
        <v>3.278342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n">
        <v>0.660655</v>
      </c>
      <c r="CJ313" t="n">
        <v>0.688654</v>
      </c>
      <c r="CK313" t="inlineStr"/>
      <c r="CL313" t="inlineStr"/>
      <c r="CM313" t="inlineStr"/>
      <c r="CN313" t="inlineStr"/>
      <c r="CO313" t="n">
        <v>1.230971</v>
      </c>
      <c r="CP313" t="n">
        <v>1.189059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8.092131</v>
      </c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</row>
    <row r="314">
      <c r="A314" t="inlineStr">
        <is>
          <t>05/22/2025</t>
        </is>
      </c>
      <c r="B314" t="n">
        <v>0.034977</v>
      </c>
      <c r="C314" t="n">
        <v>0.042283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-0.336977</v>
      </c>
      <c r="AF314" t="n">
        <v>-0.353207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n">
        <v>0</v>
      </c>
      <c r="CB314" t="n">
        <v>-0.146199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0.369828</v>
      </c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</row>
    <row r="315">
      <c r="A315" t="inlineStr">
        <is>
          <t>05/21/2025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n">
        <v>-1.256839</v>
      </c>
      <c r="CJ315" t="n">
        <v>-1.240288</v>
      </c>
      <c r="CK315" t="inlineStr"/>
      <c r="CL315" t="inlineStr"/>
      <c r="CM315" t="inlineStr"/>
      <c r="CN315" t="inlineStr"/>
      <c r="CO315" t="n">
        <v>-0.116735</v>
      </c>
      <c r="CP315" t="n">
        <v>-0.107863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0.650936</v>
      </c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</row>
    <row r="316">
      <c r="A316" t="inlineStr">
        <is>
          <t>05/20/2025</t>
        </is>
      </c>
      <c r="B316" t="n">
        <v>0.667604</v>
      </c>
      <c r="C316" t="n">
        <v>0.679694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-2.604873</v>
      </c>
      <c r="BU316" t="inlineStr"/>
      <c r="BV316" t="inlineStr"/>
      <c r="BW316" t="inlineStr"/>
      <c r="BX316" t="inlineStr"/>
      <c r="BY316" t="inlineStr"/>
      <c r="BZ316" t="inlineStr"/>
      <c r="CA316" t="n">
        <v>2.554947</v>
      </c>
      <c r="CB316" t="n">
        <v>2.714932</v>
      </c>
      <c r="CC316" t="inlineStr"/>
      <c r="CD316" t="inlineStr"/>
      <c r="CE316" t="inlineStr"/>
      <c r="CF316" t="inlineStr"/>
      <c r="CG316" t="inlineStr"/>
      <c r="CH316" t="inlineStr"/>
      <c r="CI316" t="n">
        <v>-1.818219</v>
      </c>
      <c r="CJ316" t="n">
        <v>-1.827151</v>
      </c>
      <c r="CK316" t="inlineStr"/>
      <c r="CL316" t="inlineStr"/>
      <c r="CM316" t="inlineStr"/>
      <c r="CN316" t="inlineStr"/>
      <c r="CO316" t="n">
        <v>-0.29158</v>
      </c>
      <c r="CP316" t="n">
        <v>-0.322546</v>
      </c>
      <c r="CQ316" t="inlineStr"/>
      <c r="CR316" t="inlineStr"/>
      <c r="CS316" t="inlineStr"/>
      <c r="CT316" t="n">
        <v>-1.128281</v>
      </c>
      <c r="CU316" t="inlineStr"/>
      <c r="CV316" t="n">
        <v>1.105237</v>
      </c>
      <c r="CW316" t="inlineStr"/>
      <c r="CX316" t="n">
        <v>1.999135</v>
      </c>
      <c r="CY316" t="inlineStr"/>
      <c r="CZ316" t="n">
        <v>-3.67847</v>
      </c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3.865886</v>
      </c>
      <c r="DW316" t="inlineStr"/>
      <c r="DX316" t="inlineStr"/>
      <c r="DY316" t="inlineStr"/>
      <c r="DZ316" t="inlineStr"/>
    </row>
    <row r="317">
      <c r="A317" t="inlineStr">
        <is>
          <t>05/19/2025</t>
        </is>
      </c>
      <c r="B317" t="inlineStr"/>
      <c r="C317" t="inlineStr"/>
      <c r="D317" t="inlineStr"/>
      <c r="E317" t="n">
        <v>3.139971</v>
      </c>
      <c r="F317" t="n">
        <v>-1.383266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-0.82387</v>
      </c>
      <c r="Z317" t="n">
        <v>-0.833565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-0.560657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-0.695002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1.110941</v>
      </c>
      <c r="CR317" t="inlineStr"/>
      <c r="CS317" t="inlineStr"/>
      <c r="CT317" t="inlineStr"/>
      <c r="CU317" t="inlineStr"/>
      <c r="CV317" t="n">
        <v>0.892875</v>
      </c>
      <c r="CW317" t="inlineStr"/>
      <c r="CX317" t="n">
        <v>2.06019</v>
      </c>
      <c r="CY317" t="inlineStr"/>
      <c r="CZ317" t="n">
        <v>0.081751</v>
      </c>
      <c r="DA317" t="inlineStr"/>
      <c r="DB317" t="inlineStr"/>
      <c r="DC317" t="n">
        <v>-0.771682</v>
      </c>
      <c r="DD317" t="inlineStr"/>
      <c r="DE317" t="inlineStr"/>
      <c r="DF317" t="inlineStr"/>
      <c r="DG317" t="inlineStr"/>
      <c r="DH317" t="n">
        <v>1.028176</v>
      </c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0.526634</v>
      </c>
      <c r="DV317" t="inlineStr"/>
      <c r="DW317" t="inlineStr"/>
      <c r="DX317" t="inlineStr"/>
      <c r="DY317" t="n">
        <v>-0.443077</v>
      </c>
      <c r="DZ317" t="n">
        <v>-0.43759</v>
      </c>
    </row>
    <row r="318">
      <c r="A318" t="inlineStr">
        <is>
          <t>05/16/2025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0.439873</v>
      </c>
      <c r="BJ318" t="n">
        <v>0.422395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n">
        <v>-0.61133</v>
      </c>
      <c r="DT318" t="inlineStr"/>
      <c r="DU318" t="inlineStr"/>
      <c r="DV318" t="inlineStr"/>
      <c r="DW318" t="inlineStr"/>
      <c r="DX318" t="inlineStr"/>
      <c r="DY318" t="inlineStr"/>
      <c r="DZ318" t="inlineStr"/>
    </row>
    <row r="319">
      <c r="A319" t="inlineStr">
        <is>
          <t>05/15/2025</t>
        </is>
      </c>
      <c r="B319" t="inlineStr"/>
      <c r="C319" t="inlineStr"/>
      <c r="D319" t="inlineStr"/>
      <c r="E319" t="inlineStr"/>
      <c r="F319" t="n">
        <v>-0.887198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-0.378191</v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</row>
    <row r="320">
      <c r="A320" t="inlineStr">
        <is>
          <t>05/14/2025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-0.559009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n">
        <v>1.604318</v>
      </c>
      <c r="DU320" t="inlineStr"/>
      <c r="DV320" t="inlineStr"/>
      <c r="DW320" t="inlineStr"/>
      <c r="DX320" t="inlineStr"/>
      <c r="DY320" t="inlineStr"/>
      <c r="DZ320" t="inlineStr"/>
    </row>
    <row r="321">
      <c r="A321" t="inlineStr">
        <is>
          <t>05/13/2025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0.370187</v>
      </c>
      <c r="CL321" t="inlineStr"/>
      <c r="CM321" t="inlineStr"/>
      <c r="CN321" t="inlineStr"/>
      <c r="CO321" t="inlineStr"/>
      <c r="CP321" t="inlineStr"/>
      <c r="CQ321" t="n">
        <v>0.148837</v>
      </c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n">
        <v>-0.9518259999999999</v>
      </c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n">
        <v>0.425131</v>
      </c>
      <c r="DV321" t="inlineStr"/>
      <c r="DW321" t="inlineStr"/>
      <c r="DX321" t="inlineStr"/>
      <c r="DY321" t="inlineStr"/>
      <c r="DZ321" t="inlineStr"/>
    </row>
    <row r="322">
      <c r="A322" t="inlineStr">
        <is>
          <t>05/12/2025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0.447313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</row>
    <row r="323">
      <c r="A323" t="inlineStr">
        <is>
          <t>05/09/2025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3.250478</v>
      </c>
      <c r="J323" t="n">
        <v>3.238022</v>
      </c>
      <c r="K323" t="inlineStr"/>
      <c r="L323" t="n">
        <v>3.419366</v>
      </c>
      <c r="M323" t="inlineStr"/>
      <c r="N323" t="inlineStr"/>
      <c r="O323" t="inlineStr"/>
      <c r="P323" t="n">
        <v>0.15795</v>
      </c>
      <c r="Q323" t="n">
        <v>0.151745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0.970754</v>
      </c>
      <c r="AB323" t="n">
        <v>0.968773</v>
      </c>
      <c r="AC323" t="inlineStr"/>
      <c r="AD323" t="inlineStr"/>
      <c r="AE323" t="n">
        <v>3.630741</v>
      </c>
      <c r="AF323" t="n">
        <v>3.616612</v>
      </c>
      <c r="AG323" t="inlineStr"/>
      <c r="AH323" t="n">
        <v>4.54972</v>
      </c>
      <c r="AI323" t="n">
        <v>5.918524</v>
      </c>
      <c r="AJ323" t="n">
        <v>5.909091</v>
      </c>
      <c r="AK323" t="inlineStr"/>
      <c r="AL323" t="inlineStr"/>
      <c r="AM323" t="n">
        <v>2.599211</v>
      </c>
      <c r="AN323" t="n">
        <v>2.594211</v>
      </c>
      <c r="AO323" t="n">
        <v>3.496167</v>
      </c>
      <c r="AP323" t="inlineStr"/>
      <c r="AQ323" t="n">
        <v>3.528776</v>
      </c>
      <c r="AR323" t="inlineStr"/>
      <c r="AS323" t="inlineStr"/>
      <c r="AT323" t="inlineStr"/>
      <c r="AU323" t="inlineStr"/>
      <c r="AV323" t="inlineStr"/>
      <c r="AW323" t="n">
        <v>6.296432</v>
      </c>
      <c r="AX323" t="n">
        <v>6.298569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3.292402</v>
      </c>
      <c r="BN323" t="n">
        <v>3.287227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n">
        <v>4.038079</v>
      </c>
      <c r="CD323" t="inlineStr"/>
      <c r="CE323" t="n">
        <v>6.866532</v>
      </c>
      <c r="CF323" t="inlineStr"/>
      <c r="CG323" t="n">
        <v>6.835423</v>
      </c>
      <c r="CH323" t="n">
        <v>6.806662</v>
      </c>
      <c r="CI323" t="n">
        <v>0.555077</v>
      </c>
      <c r="CJ323" t="n">
        <v>0.506277</v>
      </c>
      <c r="CK323" t="inlineStr"/>
      <c r="CL323" t="inlineStr"/>
      <c r="CM323" t="inlineStr"/>
      <c r="CN323" t="inlineStr"/>
      <c r="CO323" t="n">
        <v>1.094601</v>
      </c>
      <c r="CP323" t="n">
        <v>1.064908</v>
      </c>
      <c r="CQ323" t="n">
        <v>-2.562046</v>
      </c>
      <c r="CR323" t="n">
        <v>-2.55983</v>
      </c>
      <c r="CS323" t="inlineStr"/>
      <c r="CT323" t="inlineStr"/>
      <c r="CU323" t="inlineStr"/>
      <c r="CV323" t="n">
        <v>-5.532787</v>
      </c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n">
        <v>6.971429</v>
      </c>
      <c r="DG323" t="inlineStr"/>
      <c r="DH323" t="inlineStr"/>
      <c r="DI323" t="n">
        <v>8.033407</v>
      </c>
      <c r="DJ323" t="n">
        <v>8.024314</v>
      </c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n">
        <v>-7.740584</v>
      </c>
      <c r="DU323" t="inlineStr"/>
      <c r="DV323" t="inlineStr"/>
      <c r="DW323" t="inlineStr"/>
      <c r="DX323" t="inlineStr"/>
      <c r="DY323" t="inlineStr"/>
      <c r="DZ323" t="inlineStr"/>
    </row>
    <row r="324">
      <c r="A324" t="inlineStr">
        <is>
          <t>05/08/2025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</row>
    <row r="325">
      <c r="A325" t="inlineStr">
        <is>
          <t>05/07/2025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-2.403674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-1.225391</v>
      </c>
      <c r="DW325" t="inlineStr"/>
      <c r="DX325" t="inlineStr"/>
      <c r="DY325" t="inlineStr"/>
      <c r="DZ325" t="inlineStr"/>
    </row>
    <row r="326">
      <c r="A326" t="inlineStr">
        <is>
          <t>05/06/2025</t>
        </is>
      </c>
      <c r="B326" t="inlineStr"/>
      <c r="C326" t="inlineStr"/>
      <c r="D326" t="inlineStr"/>
      <c r="E326" t="inlineStr"/>
      <c r="F326" t="n">
        <v>-1.281373</v>
      </c>
      <c r="G326" t="inlineStr"/>
      <c r="H326" t="inlineStr"/>
      <c r="I326" t="n">
        <v>0.422847</v>
      </c>
      <c r="J326" t="n">
        <v>0.425559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0.067028</v>
      </c>
      <c r="AB326" t="n">
        <v>0.100494</v>
      </c>
      <c r="AC326" t="inlineStr"/>
      <c r="AD326" t="inlineStr"/>
      <c r="AE326" t="n">
        <v>1.192254</v>
      </c>
      <c r="AF326" t="n">
        <v>1.202053</v>
      </c>
      <c r="AG326" t="inlineStr"/>
      <c r="AH326" t="inlineStr"/>
      <c r="AI326" t="inlineStr"/>
      <c r="AJ326" t="inlineStr"/>
      <c r="AK326" t="inlineStr"/>
      <c r="AL326" t="inlineStr"/>
      <c r="AM326" t="n">
        <v>0.548884</v>
      </c>
      <c r="AN326" t="n">
        <v>0.538004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-2.113059</v>
      </c>
      <c r="AX326" t="n">
        <v>-2.121277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n">
        <v>0.295106</v>
      </c>
      <c r="CJ326" t="n">
        <v>0.230463</v>
      </c>
      <c r="CK326" t="inlineStr"/>
      <c r="CL326" t="inlineStr"/>
      <c r="CM326" t="inlineStr"/>
      <c r="CN326" t="inlineStr"/>
      <c r="CO326" t="n">
        <v>-0.120906</v>
      </c>
      <c r="CP326" t="n">
        <v>-0.167486</v>
      </c>
      <c r="CQ326" t="inlineStr"/>
      <c r="CR326" t="inlineStr"/>
      <c r="CS326" t="inlineStr"/>
      <c r="CT326" t="inlineStr"/>
      <c r="CU326" t="inlineStr"/>
      <c r="CV326" t="n">
        <v>1.324165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</row>
    <row r="327">
      <c r="A327" t="inlineStr">
        <is>
          <t>05/05/2025</t>
        </is>
      </c>
      <c r="B327" t="inlineStr"/>
      <c r="C327" t="inlineStr"/>
      <c r="D327" t="inlineStr"/>
      <c r="E327" t="inlineStr"/>
      <c r="F327" t="n">
        <v>-0.732047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0.374647</v>
      </c>
      <c r="BQ327" t="inlineStr"/>
      <c r="BR327" t="inlineStr"/>
      <c r="BS327" t="inlineStr"/>
      <c r="BT327" t="n">
        <v>-0.724758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-0.900466</v>
      </c>
      <c r="CP327" t="n">
        <v>-0.8859050000000001</v>
      </c>
      <c r="CQ327" t="n">
        <v>-1.176546</v>
      </c>
      <c r="CR327" t="inlineStr"/>
      <c r="CS327" t="inlineStr"/>
      <c r="CT327" t="n">
        <v>-2.14393</v>
      </c>
      <c r="CU327" t="inlineStr"/>
      <c r="CV327" t="inlineStr"/>
      <c r="CW327" t="inlineStr"/>
      <c r="CX327" t="inlineStr"/>
      <c r="CY327" t="inlineStr"/>
      <c r="CZ327" t="n">
        <v>-2.14271</v>
      </c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</row>
    <row r="328">
      <c r="A328" t="inlineStr">
        <is>
          <t>05/02/2025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0.958636</v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1.929226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</row>
    <row r="329">
      <c r="A329" t="inlineStr">
        <is>
          <t>05/01/2025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1.473284</v>
      </c>
      <c r="J329" t="n">
        <v>1.47036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0.301959</v>
      </c>
      <c r="AB329" t="n">
        <v>0.301546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1.064639</v>
      </c>
      <c r="AN329" t="n">
        <v>1.06068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4.185117</v>
      </c>
      <c r="AX329" t="n">
        <v>4.176433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-0.707714</v>
      </c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</row>
    <row r="330">
      <c r="A330" t="inlineStr">
        <is>
          <t>04/30/2025</t>
        </is>
      </c>
      <c r="B330" t="inlineStr"/>
      <c r="C330" t="inlineStr"/>
      <c r="D330" t="inlineStr"/>
      <c r="E330" t="n">
        <v>-0.930508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0.866378</v>
      </c>
      <c r="S330" t="n">
        <v>0.861526</v>
      </c>
      <c r="T330" t="inlineStr"/>
      <c r="U330" t="inlineStr"/>
      <c r="V330" t="inlineStr"/>
      <c r="W330" t="inlineStr"/>
      <c r="X330" t="inlineStr"/>
      <c r="Y330" t="n">
        <v>-0.120831</v>
      </c>
      <c r="Z330" t="n">
        <v>-0.150693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1.064052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1.088923</v>
      </c>
      <c r="AZ330" t="n">
        <v>1.104919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0.585737</v>
      </c>
      <c r="BR330" t="n">
        <v>0.588791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-2.824414</v>
      </c>
      <c r="CL330" t="inlineStr"/>
      <c r="CM330" t="n">
        <v>0.415187</v>
      </c>
      <c r="CN330" t="n">
        <v>0.399245</v>
      </c>
      <c r="CO330" t="inlineStr"/>
      <c r="CP330" t="inlineStr"/>
      <c r="CQ330" t="n">
        <v>0.249522</v>
      </c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n">
        <v>1.273096</v>
      </c>
      <c r="DD330" t="inlineStr"/>
      <c r="DE330" t="inlineStr"/>
      <c r="DF330" t="inlineStr"/>
      <c r="DG330" t="inlineStr"/>
      <c r="DH330" t="n">
        <v>-0.580804</v>
      </c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0.957777</v>
      </c>
      <c r="DR330" t="n">
        <v>0.954001</v>
      </c>
      <c r="DS330" t="inlineStr"/>
      <c r="DT330" t="inlineStr"/>
      <c r="DU330" t="inlineStr"/>
      <c r="DV330" t="inlineStr"/>
      <c r="DW330" t="inlineStr"/>
      <c r="DX330" t="inlineStr"/>
      <c r="DY330" t="n">
        <v>0.663888</v>
      </c>
      <c r="DZ330" t="n">
        <v>0.650353</v>
      </c>
    </row>
    <row r="331">
      <c r="A331" t="inlineStr">
        <is>
          <t>04/29/2025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2.542664</v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n">
        <v>-0.330761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</row>
    <row r="332">
      <c r="A332" t="inlineStr">
        <is>
          <t>04/28/2025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1.149361</v>
      </c>
      <c r="Q332" t="n">
        <v>1.142074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0.725757</v>
      </c>
      <c r="AF332" t="n">
        <v>0.706668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</row>
    <row r="333">
      <c r="A333" t="inlineStr">
        <is>
          <t>04/25/2025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0.524011</v>
      </c>
      <c r="AF333" t="n">
        <v>0.5165960000000001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</row>
    <row r="334">
      <c r="A334" t="inlineStr">
        <is>
          <t>04/24/2025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0.730229</v>
      </c>
      <c r="J334" t="n">
        <v>0.711134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0.100849</v>
      </c>
      <c r="AB334" t="n">
        <v>0.066702</v>
      </c>
      <c r="AC334" t="inlineStr"/>
      <c r="AD334" t="inlineStr"/>
      <c r="AE334" t="n">
        <v>0.745368</v>
      </c>
      <c r="AF334" t="n">
        <v>0.741608</v>
      </c>
      <c r="AG334" t="inlineStr"/>
      <c r="AH334" t="inlineStr"/>
      <c r="AI334" t="inlineStr"/>
      <c r="AJ334" t="inlineStr"/>
      <c r="AK334" t="inlineStr"/>
      <c r="AL334" t="inlineStr"/>
      <c r="AM334" t="n">
        <v>-0.029573</v>
      </c>
      <c r="AN334" t="n">
        <v>-0.034555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0.689164</v>
      </c>
      <c r="AX334" t="n">
        <v>0.688765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</row>
    <row r="335">
      <c r="A335" t="inlineStr">
        <is>
          <t>04/23/2025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2.022129</v>
      </c>
      <c r="J335" t="n">
        <v>2.035979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0.879861</v>
      </c>
      <c r="AB335" t="n">
        <v>0.911933</v>
      </c>
      <c r="AC335" t="inlineStr"/>
      <c r="AD335" t="inlineStr"/>
      <c r="AE335" t="n">
        <v>1.83424</v>
      </c>
      <c r="AF335" t="n">
        <v>1.828299</v>
      </c>
      <c r="AG335" t="inlineStr"/>
      <c r="AH335" t="inlineStr"/>
      <c r="AI335" t="inlineStr"/>
      <c r="AJ335" t="inlineStr"/>
      <c r="AK335" t="inlineStr"/>
      <c r="AL335" t="inlineStr"/>
      <c r="AM335" t="n">
        <v>1.370351</v>
      </c>
      <c r="AN335" t="n">
        <v>1.378122</v>
      </c>
      <c r="AO335" t="inlineStr"/>
      <c r="AP335" t="n">
        <v>2.061776</v>
      </c>
      <c r="AQ335" t="inlineStr"/>
      <c r="AR335" t="inlineStr"/>
      <c r="AS335" t="inlineStr"/>
      <c r="AT335" t="n">
        <v>1.884659</v>
      </c>
      <c r="AU335" t="inlineStr"/>
      <c r="AV335" t="inlineStr"/>
      <c r="AW335" t="n">
        <v>5.192018</v>
      </c>
      <c r="AX335" t="n">
        <v>5.184514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-1.175131</v>
      </c>
      <c r="BJ335" t="n">
        <v>-1.210109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n">
        <v>4.152025</v>
      </c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</row>
    <row r="336">
      <c r="A336" t="inlineStr">
        <is>
          <t>04/22/2025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1.669556</v>
      </c>
      <c r="J336" t="n">
        <v>1.659778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0.51058</v>
      </c>
      <c r="AB336" t="n">
        <v>0.475126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0.877964</v>
      </c>
      <c r="AN336" t="n">
        <v>0.871874</v>
      </c>
      <c r="AO336" t="inlineStr"/>
      <c r="AP336" t="n">
        <v>1.333804</v>
      </c>
      <c r="AQ336" t="inlineStr"/>
      <c r="AR336" t="inlineStr"/>
      <c r="AS336" t="inlineStr"/>
      <c r="AT336" t="n">
        <v>0.874525</v>
      </c>
      <c r="AU336" t="inlineStr"/>
      <c r="AV336" t="inlineStr"/>
      <c r="AW336" t="n">
        <v>-1.238498</v>
      </c>
      <c r="AX336" t="n">
        <v>-1.229875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n">
        <v>2.633089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</row>
    <row r="337">
      <c r="A337" t="inlineStr">
        <is>
          <t>04/21/2025</t>
        </is>
      </c>
      <c r="B337" t="inlineStr"/>
      <c r="C337" t="inlineStr"/>
      <c r="D337" t="inlineStr"/>
      <c r="E337" t="n">
        <v>4.338292</v>
      </c>
      <c r="F337" t="inlineStr"/>
      <c r="G337" t="inlineStr"/>
      <c r="H337" t="inlineStr"/>
      <c r="I337" t="n">
        <v>2.503525</v>
      </c>
      <c r="J337" t="n">
        <v>2.499445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4.901438</v>
      </c>
      <c r="Z337" t="n">
        <v>4.883721</v>
      </c>
      <c r="AA337" t="n">
        <v>0.375528</v>
      </c>
      <c r="AB337" t="n">
        <v>0.374564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2.710684</v>
      </c>
      <c r="AL337" t="inlineStr"/>
      <c r="AM337" t="n">
        <v>2.291445</v>
      </c>
      <c r="AN337" t="n">
        <v>2.289707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1.075837</v>
      </c>
      <c r="AX337" t="n">
        <v>1.084991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2.693112</v>
      </c>
      <c r="BR337" t="n">
        <v>2.703122</v>
      </c>
      <c r="BS337" t="inlineStr"/>
      <c r="BT337" t="n">
        <v>3.041378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n">
        <v>4.686013</v>
      </c>
      <c r="CJ337" t="n">
        <v>4.714013</v>
      </c>
      <c r="CK337" t="inlineStr"/>
      <c r="CL337" t="inlineStr"/>
      <c r="CM337" t="inlineStr"/>
      <c r="CN337" t="inlineStr"/>
      <c r="CO337" t="n">
        <v>2.254756</v>
      </c>
      <c r="CP337" t="n">
        <v>2.256888</v>
      </c>
      <c r="CQ337" t="inlineStr"/>
      <c r="CR337" t="inlineStr"/>
      <c r="CS337" t="inlineStr"/>
      <c r="CT337" t="n">
        <v>5.955602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n">
        <v>5.020234</v>
      </c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5.170837</v>
      </c>
      <c r="DR337" t="n">
        <v>5.176126</v>
      </c>
      <c r="DS337" t="inlineStr"/>
      <c r="DT337" t="n">
        <v>-5.190486</v>
      </c>
      <c r="DU337" t="inlineStr"/>
      <c r="DV337" t="inlineStr"/>
      <c r="DW337" t="inlineStr"/>
      <c r="DX337" t="inlineStr"/>
      <c r="DY337" t="inlineStr"/>
      <c r="DZ337" t="n">
        <v>3.913405</v>
      </c>
    </row>
    <row r="338">
      <c r="A338" t="inlineStr">
        <is>
          <t>04/17/2025</t>
        </is>
      </c>
      <c r="B338" t="n">
        <v>0.617708</v>
      </c>
      <c r="C338" t="n">
        <v>0.580191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-1.507445</v>
      </c>
      <c r="Q338" t="n">
        <v>-1.499629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-5.19047</v>
      </c>
      <c r="BU338" t="inlineStr"/>
      <c r="BV338" t="inlineStr"/>
      <c r="BW338" t="inlineStr"/>
      <c r="BX338" t="inlineStr"/>
      <c r="BY338" t="inlineStr"/>
      <c r="BZ338" t="inlineStr"/>
      <c r="CA338" t="n">
        <v>2.106857</v>
      </c>
      <c r="CB338" t="n">
        <v>2.189781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-0.504678</v>
      </c>
      <c r="CL338" t="inlineStr"/>
      <c r="CM338" t="inlineStr"/>
      <c r="CN338" t="inlineStr"/>
      <c r="CO338" t="inlineStr"/>
      <c r="CP338" t="inlineStr"/>
      <c r="CQ338" t="n">
        <v>-1.709158</v>
      </c>
      <c r="CR338" t="inlineStr"/>
      <c r="CS338" t="inlineStr"/>
      <c r="CT338" t="n">
        <v>4.025221</v>
      </c>
      <c r="CU338" t="inlineStr"/>
      <c r="CV338" t="n">
        <v>-4.065514</v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n">
        <v>-1.259522</v>
      </c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n">
        <v>4.982146</v>
      </c>
      <c r="DV338" t="inlineStr"/>
      <c r="DW338" t="inlineStr"/>
      <c r="DX338" t="inlineStr"/>
      <c r="DY338" t="inlineStr"/>
      <c r="DZ338" t="inlineStr"/>
    </row>
    <row r="339">
      <c r="A339" t="inlineStr">
        <is>
          <t>04/16/2025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0.124002</v>
      </c>
      <c r="J339" t="n">
        <v>0.123205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0.580609</v>
      </c>
      <c r="AB339" t="n">
        <v>0.5787060000000001</v>
      </c>
      <c r="AC339" t="inlineStr"/>
      <c r="AD339" t="inlineStr"/>
      <c r="AE339" t="n">
        <v>-0.972683</v>
      </c>
      <c r="AF339" t="n">
        <v>-0.97266</v>
      </c>
      <c r="AG339" t="inlineStr"/>
      <c r="AH339" t="inlineStr"/>
      <c r="AI339" t="inlineStr"/>
      <c r="AJ339" t="inlineStr"/>
      <c r="AK339" t="inlineStr"/>
      <c r="AL339" t="inlineStr"/>
      <c r="AM339" t="n">
        <v>0.223198</v>
      </c>
      <c r="AN339" t="n">
        <v>0.213322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5.992872</v>
      </c>
      <c r="AX339" t="n">
        <v>5.996832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n">
        <v>4.511239</v>
      </c>
      <c r="CJ339" t="n">
        <v>4.525986</v>
      </c>
      <c r="CK339" t="inlineStr"/>
      <c r="CL339" t="inlineStr"/>
      <c r="CM339" t="inlineStr"/>
      <c r="CN339" t="inlineStr"/>
      <c r="CO339" t="n">
        <v>0.708713</v>
      </c>
      <c r="CP339" t="n">
        <v>0.652749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n">
        <v>-2.019726</v>
      </c>
      <c r="DU339" t="inlineStr"/>
      <c r="DV339" t="inlineStr"/>
      <c r="DW339" t="inlineStr"/>
      <c r="DX339" t="inlineStr"/>
      <c r="DY339" t="inlineStr"/>
      <c r="DZ339" t="inlineStr"/>
    </row>
    <row r="340">
      <c r="A340" t="inlineStr">
        <is>
          <t>04/15/2025</t>
        </is>
      </c>
      <c r="B340" t="n">
        <v>0</v>
      </c>
      <c r="C340" t="n">
        <v>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-1.514217</v>
      </c>
      <c r="AF340" t="n">
        <v>-1.52731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0.183462</v>
      </c>
      <c r="BB340" t="n">
        <v>0.18402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0.245576</v>
      </c>
      <c r="CB340" t="n">
        <v>0.143885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-0.448797</v>
      </c>
      <c r="CP340" t="n">
        <v>-0.413667</v>
      </c>
      <c r="CQ340" t="inlineStr"/>
      <c r="CR340" t="inlineStr"/>
      <c r="CS340" t="inlineStr"/>
      <c r="CT340" t="inlineStr"/>
      <c r="CU340" t="n">
        <v>6.64543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</row>
    <row r="341">
      <c r="A341" t="inlineStr">
        <is>
          <t>04/14/2025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</row>
    <row r="342">
      <c r="A342" t="inlineStr">
        <is>
          <t>04/11/2025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0.776843</v>
      </c>
      <c r="J342" t="n">
        <v>0.767086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0.481456</v>
      </c>
      <c r="AB342" t="n">
        <v>0.480177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1.045501</v>
      </c>
      <c r="AN342" t="n">
        <v>1.032518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0</v>
      </c>
      <c r="AX342" t="n">
        <v>0.022795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-0.795813</v>
      </c>
      <c r="BJ342" t="n">
        <v>-0.82824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n">
        <v>1.98392</v>
      </c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</row>
    <row r="343">
      <c r="A343" t="inlineStr">
        <is>
          <t>04/10/2025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1.798714</v>
      </c>
      <c r="J343" t="n">
        <v>1.808581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0.310646</v>
      </c>
      <c r="AB343" t="n">
        <v>0.275192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1.686606</v>
      </c>
      <c r="AN343" t="n">
        <v>1.682179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5.231635</v>
      </c>
      <c r="AX343" t="n">
        <v>5.229072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4.727829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5.640244</v>
      </c>
      <c r="CJ343" t="n">
        <v>5.587168</v>
      </c>
      <c r="CK343" t="inlineStr"/>
      <c r="CL343" t="inlineStr"/>
      <c r="CM343" t="inlineStr"/>
      <c r="CN343" t="inlineStr"/>
      <c r="CO343" t="n">
        <v>3.171494</v>
      </c>
      <c r="CP343" t="n">
        <v>3.16996</v>
      </c>
      <c r="CQ343" t="inlineStr"/>
      <c r="CR343" t="inlineStr"/>
      <c r="CS343" t="inlineStr"/>
      <c r="CT343" t="n">
        <v>7.156826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</row>
    <row r="344">
      <c r="A344" t="inlineStr">
        <is>
          <t>04/09/2025</t>
        </is>
      </c>
      <c r="B344" t="n">
        <v>1.612903</v>
      </c>
      <c r="C344" t="n">
        <v>1.657688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3.347002</v>
      </c>
      <c r="BJ344" t="n">
        <v>3.330671</v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2.043559</v>
      </c>
      <c r="CB344" t="n">
        <v>2.124646</v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</row>
    <row r="345">
      <c r="A345" t="inlineStr">
        <is>
          <t>04/08/2025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9.292441999999999</v>
      </c>
      <c r="J345" t="n">
        <v>9.289453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2.682319</v>
      </c>
      <c r="AB345" t="n">
        <v>2.638854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7.75065</v>
      </c>
      <c r="AN345" t="n">
        <v>7.735486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20.263313</v>
      </c>
      <c r="AX345" t="n">
        <v>20.239282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28.062286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12.942719</v>
      </c>
      <c r="CJ345" t="n">
        <v>12.887977</v>
      </c>
      <c r="CK345" t="inlineStr"/>
      <c r="CL345" t="inlineStr"/>
      <c r="CM345" t="inlineStr"/>
      <c r="CN345" t="inlineStr"/>
      <c r="CO345" t="n">
        <v>6.508399</v>
      </c>
      <c r="CP345" t="n">
        <v>6.443237</v>
      </c>
      <c r="CQ345" t="inlineStr"/>
      <c r="CR345" t="inlineStr"/>
      <c r="CS345" t="inlineStr"/>
      <c r="CT345" t="n">
        <v>2.991361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</row>
    <row r="346">
      <c r="A346" t="inlineStr">
        <is>
          <t>04/07/2025</t>
        </is>
      </c>
      <c r="B346" t="n">
        <v>0.469799</v>
      </c>
      <c r="C346" t="n">
        <v>0.445705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2.438936</v>
      </c>
      <c r="CB346" t="n">
        <v>2.46238</v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</row>
    <row r="347">
      <c r="A347" t="inlineStr">
        <is>
          <t>04/04/2025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-0.938438</v>
      </c>
      <c r="AF347" t="n">
        <v>-0.940522</v>
      </c>
      <c r="AG347" t="inlineStr"/>
      <c r="AH347" t="inlineStr"/>
      <c r="AI347" t="n">
        <v>1.495098</v>
      </c>
      <c r="AJ347" t="n">
        <v>1.505792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3.732</v>
      </c>
      <c r="BJ347" t="n">
        <v>3.757192</v>
      </c>
      <c r="BK347" t="inlineStr"/>
      <c r="BL347" t="inlineStr"/>
      <c r="BM347" t="inlineStr"/>
      <c r="BN347" t="inlineStr"/>
      <c r="BO347" t="inlineStr"/>
      <c r="BP347" t="inlineStr"/>
      <c r="BQ347" t="n">
        <v>-0.932671</v>
      </c>
      <c r="BR347" t="n">
        <v>-0.936926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n">
        <v>0.802261</v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0.329807</v>
      </c>
      <c r="DJ347" t="n">
        <v>0.326613</v>
      </c>
      <c r="DK347" t="inlineStr"/>
      <c r="DL347" t="inlineStr"/>
      <c r="DM347" t="inlineStr"/>
      <c r="DN347" t="inlineStr"/>
      <c r="DO347" t="inlineStr"/>
      <c r="DP347" t="inlineStr"/>
      <c r="DQ347" t="n">
        <v>-6.688935</v>
      </c>
      <c r="DR347" t="n">
        <v>-6.701167</v>
      </c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</row>
    <row r="348">
      <c r="A348" t="inlineStr">
        <is>
          <t>04/03/2025</t>
        </is>
      </c>
      <c r="B348" t="n">
        <v>1.442308</v>
      </c>
      <c r="C348" t="n">
        <v>1.409619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n">
        <v>6.070974</v>
      </c>
      <c r="BY348" t="inlineStr"/>
      <c r="BZ348" t="inlineStr"/>
      <c r="CA348" t="n">
        <v>4.60735</v>
      </c>
      <c r="CB348" t="n">
        <v>4.692082</v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10.15385</v>
      </c>
      <c r="CR348" t="n">
        <v>10.151479</v>
      </c>
      <c r="CS348" t="inlineStr"/>
      <c r="CT348" t="inlineStr"/>
      <c r="CU348" t="n">
        <v>17.560337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12.057416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n">
        <v>13.438862</v>
      </c>
      <c r="DU348" t="inlineStr"/>
      <c r="DV348" t="inlineStr"/>
      <c r="DW348" t="inlineStr"/>
      <c r="DX348" t="inlineStr"/>
      <c r="DY348" t="inlineStr"/>
      <c r="DZ348" t="n">
        <v>-8.570738</v>
      </c>
    </row>
    <row r="349">
      <c r="A349" t="inlineStr">
        <is>
          <t>04/02/2025</t>
        </is>
      </c>
      <c r="B349" t="n">
        <v>1.251739</v>
      </c>
      <c r="C349" t="n">
        <v>1.259446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3.081136</v>
      </c>
      <c r="CB349" t="n">
        <v>3.021148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n">
        <v>7.908999</v>
      </c>
      <c r="DV349" t="inlineStr"/>
      <c r="DW349" t="inlineStr"/>
      <c r="DX349" t="inlineStr"/>
      <c r="DY349" t="inlineStr"/>
      <c r="DZ349" t="inlineStr"/>
    </row>
    <row r="350">
      <c r="A350" t="inlineStr">
        <is>
          <t>04/01/2025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n">
        <v>1.134926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</row>
    <row r="351">
      <c r="A351" t="inlineStr">
        <is>
          <t>03/31/2025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0.308431</v>
      </c>
      <c r="Q351" t="n">
        <v>0.310789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n">
        <v>-1.858967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</row>
    <row r="352">
      <c r="A352" t="inlineStr">
        <is>
          <t>03/28/2025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1.323116</v>
      </c>
      <c r="AF352" t="n">
        <v>1.31516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n">
        <v>0.051416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-0.852602</v>
      </c>
      <c r="CT352" t="inlineStr"/>
      <c r="CU352" t="n">
        <v>1.130343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</row>
    <row r="353">
      <c r="A353" t="inlineStr">
        <is>
          <t>03/27/2025</t>
        </is>
      </c>
      <c r="B353" t="n">
        <v>0.207972</v>
      </c>
      <c r="C353" t="n">
        <v>0.167364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-3.096232</v>
      </c>
      <c r="BU353" t="inlineStr"/>
      <c r="BV353" t="inlineStr"/>
      <c r="BW353" t="inlineStr"/>
      <c r="BX353" t="inlineStr"/>
      <c r="BY353" t="inlineStr"/>
      <c r="BZ353" t="inlineStr"/>
      <c r="CA353" t="n">
        <v>0</v>
      </c>
      <c r="CB353" t="n">
        <v>0</v>
      </c>
      <c r="CC353" t="inlineStr"/>
      <c r="CD353" t="inlineStr"/>
      <c r="CE353" t="inlineStr"/>
      <c r="CF353" t="inlineStr"/>
      <c r="CG353" t="inlineStr"/>
      <c r="CH353" t="inlineStr"/>
      <c r="CI353" t="n">
        <v>-2.212643</v>
      </c>
      <c r="CJ353" t="n">
        <v>-2.159665</v>
      </c>
      <c r="CK353" t="inlineStr"/>
      <c r="CL353" t="inlineStr"/>
      <c r="CM353" t="inlineStr"/>
      <c r="CN353" t="inlineStr"/>
      <c r="CO353" t="n">
        <v>-0.726406</v>
      </c>
      <c r="CP353" t="n">
        <v>-0.779427</v>
      </c>
      <c r="CQ353" t="n">
        <v>1.812398</v>
      </c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n">
        <v>-5.402375</v>
      </c>
      <c r="DA353" t="inlineStr"/>
      <c r="DB353" t="inlineStr"/>
      <c r="DC353" t="inlineStr"/>
      <c r="DD353" t="inlineStr"/>
      <c r="DE353" t="inlineStr"/>
      <c r="DF353" t="inlineStr"/>
      <c r="DG353" t="inlineStr"/>
      <c r="DH353" t="n">
        <v>-1.696274</v>
      </c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n">
        <v>3.682953</v>
      </c>
      <c r="DU353" t="inlineStr"/>
      <c r="DV353" t="n">
        <v>3.395931</v>
      </c>
      <c r="DW353" t="inlineStr"/>
      <c r="DX353" t="inlineStr"/>
      <c r="DY353" t="inlineStr"/>
      <c r="DZ353" t="inlineStr"/>
    </row>
    <row r="354">
      <c r="A354" t="inlineStr">
        <is>
          <t>03/26/2025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-3.366152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2.481024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n">
        <v>-0.376768</v>
      </c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</row>
    <row r="355">
      <c r="A355" t="inlineStr">
        <is>
          <t>03/25/2025</t>
        </is>
      </c>
      <c r="B355" t="n">
        <v>0.41841</v>
      </c>
      <c r="C355" t="n">
        <v>0.420875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-0.557712</v>
      </c>
      <c r="AF355" t="n">
        <v>-0.569868</v>
      </c>
      <c r="AG355" t="inlineStr"/>
      <c r="AH355" t="inlineStr"/>
      <c r="AI355" t="inlineStr"/>
      <c r="AJ355" t="inlineStr"/>
      <c r="AK355" t="inlineStr"/>
      <c r="AL355" t="n">
        <v>-2.198408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-1.83342</v>
      </c>
      <c r="AZ355" t="n">
        <v>-1.813724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-0.504022</v>
      </c>
      <c r="CB355" t="n">
        <v>-0.593472</v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n">
        <v>-2.281079</v>
      </c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0.739715</v>
      </c>
      <c r="DV355" t="inlineStr"/>
      <c r="DW355" t="inlineStr"/>
      <c r="DX355" t="inlineStr"/>
      <c r="DY355" t="n">
        <v>-1.287904</v>
      </c>
      <c r="DZ355" t="inlineStr"/>
    </row>
    <row r="356">
      <c r="A356" t="inlineStr">
        <is>
          <t>03/24/2025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</row>
    <row r="357">
      <c r="A357" t="inlineStr">
        <is>
          <t>03/21/2025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1.747646</v>
      </c>
      <c r="J357" t="n">
        <v>1.72635</v>
      </c>
      <c r="K357" t="inlineStr"/>
      <c r="L357" t="inlineStr"/>
      <c r="M357" t="inlineStr"/>
      <c r="N357" t="inlineStr"/>
      <c r="O357" t="n">
        <v>5.279619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0.265099</v>
      </c>
      <c r="AB357" t="n">
        <v>0.264939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1.039997</v>
      </c>
      <c r="AN357" t="n">
        <v>1.036728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3.678239</v>
      </c>
      <c r="AX357" t="n">
        <v>3.660276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</row>
    <row r="358">
      <c r="A358" t="inlineStr">
        <is>
          <t>03/20/2025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-0.475583</v>
      </c>
      <c r="AF358" t="n">
        <v>-0.468494</v>
      </c>
      <c r="AG358" t="inlineStr"/>
      <c r="AH358" t="inlineStr"/>
      <c r="AI358" t="n">
        <v>1.117988</v>
      </c>
      <c r="AJ358" t="n">
        <v>1.13172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0.674938</v>
      </c>
      <c r="BB358" t="n">
        <v>0.695063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-0.56802</v>
      </c>
      <c r="BR358" t="n">
        <v>-0.563303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n">
        <v>0.378837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n">
        <v>1.143509</v>
      </c>
      <c r="CR358" t="n">
        <v>1.142734</v>
      </c>
      <c r="CS358" t="inlineStr"/>
      <c r="CT358" t="inlineStr"/>
      <c r="CU358" t="inlineStr"/>
      <c r="CV358" t="inlineStr"/>
      <c r="CW358" t="inlineStr"/>
      <c r="CX358" t="inlineStr"/>
      <c r="CY358" t="inlineStr"/>
      <c r="CZ358" t="n">
        <v>-0.404242</v>
      </c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0.743463</v>
      </c>
      <c r="DJ358" t="n">
        <v>0.741982</v>
      </c>
      <c r="DK358" t="inlineStr"/>
      <c r="DL358" t="n">
        <v>-0.104712</v>
      </c>
      <c r="DM358" t="inlineStr"/>
      <c r="DN358" t="inlineStr"/>
      <c r="DO358" t="inlineStr"/>
      <c r="DP358" t="inlineStr"/>
      <c r="DQ358" t="n">
        <v>-1.391398</v>
      </c>
      <c r="DR358" t="n">
        <v>-1.425755</v>
      </c>
      <c r="DS358" t="inlineStr"/>
      <c r="DT358" t="inlineStr"/>
      <c r="DU358" t="inlineStr"/>
      <c r="DV358" t="n">
        <v>-0.185382</v>
      </c>
      <c r="DW358" t="inlineStr"/>
      <c r="DX358" t="inlineStr"/>
      <c r="DY358" t="inlineStr"/>
      <c r="DZ358" t="n">
        <v>1.20696</v>
      </c>
    </row>
    <row r="359">
      <c r="A359" t="inlineStr">
        <is>
          <t>03/19/2025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</row>
    <row r="360">
      <c r="A360" t="inlineStr">
        <is>
          <t>03/18/2025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1.069988</v>
      </c>
      <c r="J360" t="n">
        <v>1.072293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0.665691</v>
      </c>
      <c r="AB360" t="n">
        <v>0.631745</v>
      </c>
      <c r="AC360" t="inlineStr"/>
      <c r="AD360" t="inlineStr"/>
      <c r="AE360" t="n">
        <v>0.009357000000000001</v>
      </c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n">
        <v>0.587256</v>
      </c>
      <c r="AN360" t="n">
        <v>0.585557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2.700871</v>
      </c>
      <c r="AX360" t="n">
        <v>2.702271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n">
        <v>1.591155</v>
      </c>
      <c r="CJ360" t="n">
        <v>1.654778</v>
      </c>
      <c r="CK360" t="inlineStr"/>
      <c r="CL360" t="inlineStr"/>
      <c r="CM360" t="inlineStr"/>
      <c r="CN360" t="inlineStr"/>
      <c r="CO360" t="n">
        <v>0.05952</v>
      </c>
      <c r="CP360" t="n">
        <v>0.054312</v>
      </c>
      <c r="CQ360" t="inlineStr"/>
      <c r="CR360" t="inlineStr"/>
      <c r="CS360" t="inlineStr"/>
      <c r="CT360" t="inlineStr"/>
      <c r="CU360" t="inlineStr"/>
      <c r="CV360" t="n">
        <v>3.334655</v>
      </c>
      <c r="CW360" t="inlineStr"/>
      <c r="CX360" t="inlineStr"/>
      <c r="CY360" t="inlineStr"/>
      <c r="CZ360" t="n">
        <v>0.374751</v>
      </c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-1.826318</v>
      </c>
      <c r="DW360" t="inlineStr"/>
      <c r="DX360" t="inlineStr"/>
      <c r="DY360" t="inlineStr"/>
      <c r="DZ360" t="inlineStr"/>
    </row>
    <row r="361">
      <c r="A361" t="inlineStr">
        <is>
          <t>03/17/2025</t>
        </is>
      </c>
      <c r="B361" t="n">
        <v>0.173671</v>
      </c>
      <c r="C361" t="n">
        <v>0.167645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-0.785541</v>
      </c>
      <c r="AQ361" t="inlineStr"/>
      <c r="AR361" t="inlineStr"/>
      <c r="AS361" t="inlineStr"/>
      <c r="AT361" t="n">
        <v>-0.40764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n">
        <v>-0.171988</v>
      </c>
      <c r="BJ361" t="n">
        <v>-0.183983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n">
        <v>0.640371</v>
      </c>
      <c r="CB361" t="n">
        <v>0.60241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n">
        <v>-1.595052</v>
      </c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</row>
    <row r="362">
      <c r="A362" t="inlineStr">
        <is>
          <t>03/14/2025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0.647791</v>
      </c>
      <c r="J362" t="n">
        <v>0.628993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0.232759</v>
      </c>
      <c r="AB362" t="n">
        <v>0.1996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1.020149</v>
      </c>
      <c r="AN362" t="n">
        <v>1.023024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2.154187</v>
      </c>
      <c r="AX362" t="n">
        <v>2.142974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</row>
    <row r="363">
      <c r="A363" t="inlineStr">
        <is>
          <t>03/13/2025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2.116995</v>
      </c>
      <c r="J363" t="n">
        <v>2.141679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0.434689</v>
      </c>
      <c r="AB363" t="n">
        <v>0.467685</v>
      </c>
      <c r="AC363" t="inlineStr"/>
      <c r="AD363" t="inlineStr"/>
      <c r="AE363" t="n">
        <v>1.155457</v>
      </c>
      <c r="AF363" t="n">
        <v>1.148591</v>
      </c>
      <c r="AG363" t="inlineStr"/>
      <c r="AH363" t="inlineStr"/>
      <c r="AI363" t="inlineStr"/>
      <c r="AJ363" t="inlineStr"/>
      <c r="AK363" t="inlineStr"/>
      <c r="AL363" t="inlineStr"/>
      <c r="AM363" t="n">
        <v>1.667122</v>
      </c>
      <c r="AN363" t="n">
        <v>1.650267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5.046939</v>
      </c>
      <c r="AX363" t="n">
        <v>5.052415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n">
        <v>7.484875</v>
      </c>
      <c r="CJ363" t="n">
        <v>7.464441</v>
      </c>
      <c r="CK363" t="inlineStr"/>
      <c r="CL363" t="inlineStr"/>
      <c r="CM363" t="inlineStr"/>
      <c r="CN363" t="inlineStr"/>
      <c r="CO363" t="n">
        <v>2.206736</v>
      </c>
      <c r="CP363" t="n">
        <v>2.201235</v>
      </c>
      <c r="CQ363" t="inlineStr"/>
      <c r="CR363" t="inlineStr"/>
      <c r="CS363" t="inlineStr"/>
      <c r="CT363" t="inlineStr"/>
      <c r="CU363" t="inlineStr"/>
      <c r="CV363" t="n">
        <v>-6.005243</v>
      </c>
      <c r="CW363" t="inlineStr"/>
      <c r="CX363" t="inlineStr"/>
      <c r="CY363" t="inlineStr"/>
      <c r="CZ363" t="n">
        <v>4.936287</v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</row>
    <row r="364">
      <c r="A364" t="inlineStr">
        <is>
          <t>03/12/2025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</row>
    <row r="365">
      <c r="A365" t="inlineStr">
        <is>
          <t>03/11/2025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0.480732</v>
      </c>
      <c r="J365" t="n">
        <v>0.482096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0.132907</v>
      </c>
      <c r="AB365" t="n">
        <v>0.0998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-0.563835</v>
      </c>
      <c r="AN365" t="n">
        <v>-0.568362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1.126862</v>
      </c>
      <c r="AX365" t="n">
        <v>1.114865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6.556481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n">
        <v>0.946634</v>
      </c>
      <c r="CJ365" t="n">
        <v>0.984511</v>
      </c>
      <c r="CK365" t="inlineStr"/>
      <c r="CL365" t="inlineStr"/>
      <c r="CM365" t="inlineStr"/>
      <c r="CN365" t="inlineStr"/>
      <c r="CO365" t="n">
        <v>0</v>
      </c>
      <c r="CP365" t="n">
        <v>0</v>
      </c>
      <c r="CQ365" t="inlineStr"/>
      <c r="CR365" t="inlineStr"/>
      <c r="CS365" t="inlineStr"/>
      <c r="CT365" t="inlineStr"/>
      <c r="CU365" t="inlineStr"/>
      <c r="CV365" t="n">
        <v>0.957918</v>
      </c>
      <c r="CW365" t="inlineStr"/>
      <c r="CX365" t="inlineStr"/>
      <c r="CY365" t="inlineStr"/>
      <c r="CZ365" t="n">
        <v>3.147239</v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</row>
    <row r="366">
      <c r="A366" t="inlineStr">
        <is>
          <t>03/10/2025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5.532411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-1.692577</v>
      </c>
      <c r="AF366" t="n">
        <v>-1.706921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n">
        <v>0.284086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-7.139213</v>
      </c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</row>
    <row r="367">
      <c r="A367" t="inlineStr">
        <is>
          <t>03/07/2025</t>
        </is>
      </c>
      <c r="B367" t="n">
        <v>0.419141</v>
      </c>
      <c r="C367" t="n">
        <v>0.379267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n">
        <v>1.031451</v>
      </c>
      <c r="CB367" t="n">
        <v>1.062215</v>
      </c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</row>
    <row r="368">
      <c r="A368" t="inlineStr">
        <is>
          <t>03/06/2025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0.551727</v>
      </c>
      <c r="J368" t="n">
        <v>0.543062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0.165315</v>
      </c>
      <c r="AB368" t="n">
        <v>0.132119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0.775837</v>
      </c>
      <c r="AN368" t="n">
        <v>0.762805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5.092924</v>
      </c>
      <c r="AX368" t="n">
        <v>5.076661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4.725384</v>
      </c>
      <c r="BU368" t="inlineStr"/>
      <c r="BV368" t="inlineStr"/>
      <c r="BW368" t="inlineStr"/>
      <c r="BX368" t="n">
        <v>-0.718633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n">
        <v>0.986311</v>
      </c>
      <c r="DZ368" t="inlineStr"/>
    </row>
    <row r="369">
      <c r="A369" t="inlineStr">
        <is>
          <t>03/05/2025</t>
        </is>
      </c>
      <c r="B369" t="n">
        <v>0.420168</v>
      </c>
      <c r="C369" t="n">
        <v>0.380068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n">
        <v>2.768076</v>
      </c>
      <c r="CB369" t="n">
        <v>2.790698</v>
      </c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1.212533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</row>
    <row r="370">
      <c r="A370" t="inlineStr">
        <is>
          <t>03/04/2025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1.095561</v>
      </c>
      <c r="J370" t="n">
        <v>1.115916</v>
      </c>
      <c r="K370" t="inlineStr"/>
      <c r="L370" t="n">
        <v>3.946242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0.06584</v>
      </c>
      <c r="AB370" t="n">
        <v>0.032837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0.83334</v>
      </c>
      <c r="AN370" t="n">
        <v>0.829624</v>
      </c>
      <c r="AO370" t="n">
        <v>1.194445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-0.504888</v>
      </c>
      <c r="AX370" t="n">
        <v>-0.4995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0.324492</v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n">
        <v>5.182172</v>
      </c>
      <c r="CJ370" t="n">
        <v>5.134368</v>
      </c>
      <c r="CK370" t="inlineStr"/>
      <c r="CL370" t="inlineStr"/>
      <c r="CM370" t="inlineStr"/>
      <c r="CN370" t="inlineStr"/>
      <c r="CO370" t="n">
        <v>2.537815</v>
      </c>
      <c r="CP370" t="n">
        <v>2.557265</v>
      </c>
      <c r="CQ370" t="inlineStr"/>
      <c r="CR370" t="inlineStr"/>
      <c r="CS370" t="inlineStr"/>
      <c r="CT370" t="n">
        <v>5.940669</v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n">
        <v>2.399481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</row>
    <row r="371">
      <c r="A371" t="inlineStr">
        <is>
          <t>03/03/2025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1.172185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0.351989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-3.092488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3.146217</v>
      </c>
      <c r="DW371" t="n">
        <v>0.190138</v>
      </c>
      <c r="DX371" t="inlineStr"/>
      <c r="DY371" t="inlineStr"/>
      <c r="DZ371" t="inlineStr"/>
    </row>
    <row r="372">
      <c r="A372" t="inlineStr">
        <is>
          <t>02/28/2025</t>
        </is>
      </c>
      <c r="B372" t="n">
        <v>0.245614</v>
      </c>
      <c r="C372" t="n">
        <v>0.211595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n">
        <v>-0.787113</v>
      </c>
      <c r="CB372" t="n">
        <v>-0.770416</v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</row>
    <row r="373">
      <c r="A373" t="inlineStr">
        <is>
          <t>02/27/2025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1.592483</v>
      </c>
      <c r="J373" t="n">
        <v>1.576089</v>
      </c>
      <c r="K373" t="inlineStr"/>
      <c r="L373" t="inlineStr"/>
      <c r="M373" t="inlineStr"/>
      <c r="N373" t="inlineStr"/>
      <c r="O373" t="n">
        <v>0.998103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0.2637</v>
      </c>
      <c r="AB373" t="n">
        <v>0.263369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1.322835</v>
      </c>
      <c r="AN373" t="n">
        <v>1.326477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0.05099</v>
      </c>
      <c r="AX373" t="n">
        <v>0.044072</v>
      </c>
      <c r="AY373" t="inlineStr"/>
      <c r="AZ373" t="inlineStr"/>
      <c r="BA373" t="n">
        <v>-0.201072</v>
      </c>
      <c r="BB373" t="n">
        <v>-0.202356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0.876297</v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-5.540971</v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</row>
    <row r="374">
      <c r="A374" t="inlineStr">
        <is>
          <t>02/26/2025</t>
        </is>
      </c>
      <c r="B374" t="n">
        <v>0.210379</v>
      </c>
      <c r="C374" t="n">
        <v>0.169133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-0.627417</v>
      </c>
      <c r="AF374" t="n">
        <v>-0.636869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n">
        <v>-0.388969</v>
      </c>
      <c r="CB374" t="n">
        <v>-0.456621</v>
      </c>
      <c r="CC374" t="inlineStr"/>
      <c r="CD374" t="inlineStr"/>
      <c r="CE374" t="inlineStr"/>
      <c r="CF374" t="inlineStr"/>
      <c r="CG374" t="inlineStr"/>
      <c r="CH374" t="inlineStr"/>
      <c r="CI374" t="n">
        <v>-2.186958</v>
      </c>
      <c r="CJ374" t="n">
        <v>-2.194844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</row>
    <row r="375">
      <c r="A375" t="inlineStr">
        <is>
          <t>02/25/2025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-4.147164</v>
      </c>
      <c r="P375" t="n">
        <v>-2.982123</v>
      </c>
      <c r="Q375" t="n">
        <v>-2.973978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n">
        <v>-0.195739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7.103093</v>
      </c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n">
        <v>0.544968</v>
      </c>
      <c r="DP375" t="n">
        <v>0.541269</v>
      </c>
      <c r="DQ375" t="inlineStr"/>
      <c r="DR375" t="inlineStr"/>
      <c r="DS375" t="inlineStr"/>
      <c r="DT375" t="inlineStr"/>
      <c r="DU375" t="inlineStr"/>
      <c r="DV375" t="n">
        <v>0.901076</v>
      </c>
      <c r="DW375" t="inlineStr"/>
      <c r="DX375" t="inlineStr"/>
      <c r="DY375" t="inlineStr"/>
      <c r="DZ375" t="inlineStr"/>
    </row>
    <row r="376">
      <c r="A376" t="inlineStr">
        <is>
          <t>02/24/2025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2.20981</v>
      </c>
      <c r="Q376" t="n">
        <v>2.191701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-0.096813</v>
      </c>
      <c r="BB376" t="n">
        <v>-0.06984799999999999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0.425953</v>
      </c>
      <c r="CP376" t="n">
        <v>0.391238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</row>
    <row r="377">
      <c r="A377" t="inlineStr">
        <is>
          <t>02/21/2025</t>
        </is>
      </c>
      <c r="B377" t="inlineStr"/>
      <c r="C377" t="inlineStr"/>
      <c r="D377" t="inlineStr"/>
      <c r="E377" t="inlineStr"/>
      <c r="F377" t="n">
        <v>0.727475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13.095534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n">
        <v>1.12989</v>
      </c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</row>
    <row r="378">
      <c r="A378" t="inlineStr">
        <is>
          <t>02/20/2025</t>
        </is>
      </c>
      <c r="B378" t="n">
        <v>0.20979</v>
      </c>
      <c r="C378" t="n">
        <v>0.168634</v>
      </c>
      <c r="D378" t="inlineStr"/>
      <c r="E378" t="inlineStr"/>
      <c r="F378" t="n">
        <v>4.010647</v>
      </c>
      <c r="G378" t="inlineStr"/>
      <c r="H378" t="inlineStr"/>
      <c r="I378" t="inlineStr"/>
      <c r="J378" t="inlineStr"/>
      <c r="K378" t="inlineStr"/>
      <c r="L378" t="n">
        <v>-2.682735</v>
      </c>
      <c r="M378" t="inlineStr"/>
      <c r="N378" t="inlineStr"/>
      <c r="O378" t="inlineStr"/>
      <c r="P378" t="n">
        <v>1.870408</v>
      </c>
      <c r="Q378" t="n">
        <v>1.867623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-0.723722</v>
      </c>
      <c r="AF378" t="n">
        <v>-0.721938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-2.412863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0.906701</v>
      </c>
      <c r="CB378" t="n">
        <v>0.761035</v>
      </c>
      <c r="CC378" t="inlineStr"/>
      <c r="CD378" t="inlineStr"/>
      <c r="CE378" t="inlineStr"/>
      <c r="CF378" t="inlineStr"/>
      <c r="CG378" t="inlineStr"/>
      <c r="CH378" t="inlineStr"/>
      <c r="CI378" t="n">
        <v>-2.55496</v>
      </c>
      <c r="CJ378" t="n">
        <v>-2.509351</v>
      </c>
      <c r="CK378" t="inlineStr"/>
      <c r="CL378" t="inlineStr"/>
      <c r="CM378" t="inlineStr"/>
      <c r="CN378" t="inlineStr"/>
      <c r="CO378" t="n">
        <v>-0.423019</v>
      </c>
      <c r="CP378" t="n">
        <v>-0.38928</v>
      </c>
      <c r="CQ378" t="inlineStr"/>
      <c r="CR378" t="inlineStr"/>
      <c r="CS378" t="inlineStr"/>
      <c r="CT378" t="inlineStr"/>
      <c r="CU378" t="inlineStr"/>
      <c r="CV378" t="n">
        <v>3.266947</v>
      </c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n">
        <v>-4.823151</v>
      </c>
      <c r="DG378" t="inlineStr"/>
      <c r="DH378" t="inlineStr"/>
      <c r="DI378" t="inlineStr"/>
      <c r="DJ378" t="inlineStr"/>
      <c r="DK378" t="n">
        <v>3.401531</v>
      </c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3.38805</v>
      </c>
      <c r="DW378" t="inlineStr"/>
      <c r="DX378" t="inlineStr"/>
      <c r="DY378" t="inlineStr"/>
      <c r="DZ378" t="inlineStr"/>
    </row>
    <row r="379">
      <c r="A379" t="inlineStr">
        <is>
          <t>02/19/2025</t>
        </is>
      </c>
      <c r="B379" t="inlineStr"/>
      <c r="C379" t="inlineStr"/>
      <c r="D379" t="inlineStr"/>
      <c r="E379" t="inlineStr"/>
      <c r="F379" t="n">
        <v>-2.472558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1.921814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</row>
    <row r="380">
      <c r="A380" t="inlineStr">
        <is>
          <t>02/18/2025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n">
        <v>0.6328780000000001</v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-1.359327</v>
      </c>
      <c r="CJ380" t="n">
        <v>-1.338034</v>
      </c>
      <c r="CK380" t="n">
        <v>1.276435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n">
        <v>1.924628</v>
      </c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</row>
    <row r="381">
      <c r="A381" t="inlineStr">
        <is>
          <t>02/14/2025</t>
        </is>
      </c>
      <c r="B381" t="inlineStr"/>
      <c r="C381" t="inlineStr"/>
      <c r="D381" t="inlineStr"/>
      <c r="E381" t="inlineStr"/>
      <c r="F381" t="n">
        <v>3.583291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-0.360884</v>
      </c>
      <c r="AF381" t="n">
        <v>-0.369355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0.096529</v>
      </c>
      <c r="BB381" t="n">
        <v>0.116174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0.356665</v>
      </c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</row>
    <row r="382">
      <c r="A382" t="inlineStr">
        <is>
          <t>02/13/2025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5.433107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n">
        <v>-0.626633</v>
      </c>
      <c r="DP382" t="n">
        <v>-0.628679</v>
      </c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</row>
    <row r="383">
      <c r="A383" t="inlineStr">
        <is>
          <t>02/12/2025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1.032551</v>
      </c>
      <c r="J383" t="n">
        <v>1.02908</v>
      </c>
      <c r="K383" t="inlineStr"/>
      <c r="L383" t="n">
        <v>2.555765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0.431659</v>
      </c>
      <c r="AB383" t="n">
        <v>0.463965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0.772687</v>
      </c>
      <c r="AN383" t="n">
        <v>0.771841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1.343041</v>
      </c>
      <c r="AX383" t="n">
        <v>1.33704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-0.544037</v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0.420729</v>
      </c>
      <c r="CP383" t="n">
        <v>0.386911</v>
      </c>
      <c r="CQ383" t="inlineStr"/>
      <c r="CR383" t="inlineStr"/>
      <c r="CS383" t="inlineStr"/>
      <c r="CT383" t="inlineStr"/>
      <c r="CU383" t="inlineStr"/>
      <c r="CV383" t="n">
        <v>-3.940568</v>
      </c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</row>
    <row r="384">
      <c r="A384" t="inlineStr">
        <is>
          <t>02/11/2025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-0.137233</v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-0.260146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3.873658</v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</row>
    <row r="385">
      <c r="A385" t="inlineStr">
        <is>
          <t>02/10/2025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0.017781</v>
      </c>
      <c r="AI385" t="inlineStr"/>
      <c r="AJ385" t="inlineStr"/>
      <c r="AK385" t="inlineStr"/>
      <c r="AL385" t="n">
        <v>-0.383621</v>
      </c>
      <c r="AM385" t="inlineStr"/>
      <c r="AN385" t="inlineStr"/>
      <c r="AO385" t="inlineStr"/>
      <c r="AP385" t="inlineStr"/>
      <c r="AQ385" t="n">
        <v>-0.951837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-0.280637</v>
      </c>
      <c r="AZ385" t="n">
        <v>-0.281047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-0.582649</v>
      </c>
      <c r="BN385" t="n">
        <v>-0.584229</v>
      </c>
      <c r="BO385" t="inlineStr"/>
      <c r="BP385" t="n">
        <v>0.713318</v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n">
        <v>0.4277</v>
      </c>
      <c r="CD385" t="inlineStr"/>
      <c r="CE385" t="inlineStr"/>
      <c r="CF385" t="n">
        <v>-0.035741</v>
      </c>
      <c r="CG385" t="n">
        <v>-1.103956</v>
      </c>
      <c r="CH385" t="n">
        <v>-1.106476</v>
      </c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0.262974</v>
      </c>
      <c r="CR385" t="n">
        <v>0.259404</v>
      </c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n">
        <v>0.06612800000000001</v>
      </c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n">
        <v>-0.626434</v>
      </c>
      <c r="DV385" t="inlineStr"/>
      <c r="DW385" t="inlineStr"/>
      <c r="DX385" t="inlineStr"/>
      <c r="DY385" t="inlineStr"/>
      <c r="DZ385" t="inlineStr"/>
    </row>
    <row r="386">
      <c r="A386" t="inlineStr">
        <is>
          <t>02/07/2025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0.113007</v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0.228938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n">
        <v>-2.214017</v>
      </c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</row>
    <row r="387">
      <c r="A387" t="inlineStr">
        <is>
          <t>02/06/2025</t>
        </is>
      </c>
      <c r="B387" t="n">
        <v>0.314246</v>
      </c>
      <c r="C387" t="n">
        <v>0.3367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0.385474</v>
      </c>
      <c r="CB387" t="n">
        <v>0.451807</v>
      </c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</row>
    <row r="388">
      <c r="A388" t="inlineStr">
        <is>
          <t>02/05/2025</t>
        </is>
      </c>
      <c r="B388" t="inlineStr"/>
      <c r="C388" t="inlineStr"/>
      <c r="D388" t="n">
        <v>-2.248473</v>
      </c>
      <c r="E388" t="inlineStr"/>
      <c r="F388" t="n">
        <v>0.485374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3.777209</v>
      </c>
      <c r="CJ388" t="n">
        <v>3.846544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3.884985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n">
        <v>-0.73124</v>
      </c>
      <c r="DL388" t="inlineStr"/>
      <c r="DM388" t="inlineStr"/>
      <c r="DN388" t="inlineStr"/>
      <c r="DO388" t="n">
        <v>-0.097149</v>
      </c>
      <c r="DP388" t="n">
        <v>-0.104181</v>
      </c>
      <c r="DQ388" t="inlineStr"/>
      <c r="DR388" t="inlineStr"/>
      <c r="DS388" t="inlineStr"/>
      <c r="DT388" t="inlineStr"/>
      <c r="DU388" t="inlineStr"/>
      <c r="DV388" t="n">
        <v>0.636756</v>
      </c>
      <c r="DW388" t="inlineStr"/>
      <c r="DX388" t="inlineStr"/>
      <c r="DY388" t="inlineStr"/>
      <c r="DZ388" t="inlineStr"/>
    </row>
    <row r="389">
      <c r="A389" t="inlineStr">
        <is>
          <t>02/04/2025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0.389766</v>
      </c>
      <c r="J389" t="n">
        <v>0.391205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0.265003</v>
      </c>
      <c r="AB389" t="n">
        <v>0.264151</v>
      </c>
      <c r="AC389" t="inlineStr"/>
      <c r="AD389" t="inlineStr"/>
      <c r="AE389" t="n">
        <v>1.52048</v>
      </c>
      <c r="AF389" t="n">
        <v>1.52361</v>
      </c>
      <c r="AG389" t="inlineStr"/>
      <c r="AH389" t="inlineStr"/>
      <c r="AI389" t="inlineStr"/>
      <c r="AJ389" t="inlineStr"/>
      <c r="AK389" t="inlineStr"/>
      <c r="AL389" t="inlineStr"/>
      <c r="AM389" t="n">
        <v>0.376568</v>
      </c>
      <c r="AN389" t="n">
        <v>0.374561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0.796228</v>
      </c>
      <c r="AX389" t="n">
        <v>0.790615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</row>
    <row r="390">
      <c r="A390" t="inlineStr">
        <is>
          <t>02/03/2025</t>
        </is>
      </c>
      <c r="B390" t="inlineStr"/>
      <c r="C390" t="inlineStr"/>
      <c r="D390" t="inlineStr"/>
      <c r="E390" t="inlineStr"/>
      <c r="F390" t="n">
        <v>2.685212</v>
      </c>
      <c r="G390" t="inlineStr"/>
      <c r="H390" t="inlineStr"/>
      <c r="I390" t="n">
        <v>0.717589</v>
      </c>
      <c r="J390" t="n">
        <v>0.716427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0.298762</v>
      </c>
      <c r="AB390" t="n">
        <v>0.298309</v>
      </c>
      <c r="AC390" t="inlineStr"/>
      <c r="AD390" t="inlineStr"/>
      <c r="AE390" t="inlineStr"/>
      <c r="AF390" t="inlineStr"/>
      <c r="AG390" t="inlineStr"/>
      <c r="AH390" t="inlineStr"/>
      <c r="AI390" t="n">
        <v>1.16204</v>
      </c>
      <c r="AJ390" t="n">
        <v>1.167513</v>
      </c>
      <c r="AK390" t="inlineStr"/>
      <c r="AL390" t="inlineStr"/>
      <c r="AM390" t="n">
        <v>0.267071</v>
      </c>
      <c r="AN390" t="n">
        <v>0.268181</v>
      </c>
      <c r="AO390" t="inlineStr"/>
      <c r="AP390" t="n">
        <v>0.586595</v>
      </c>
      <c r="AQ390" t="inlineStr"/>
      <c r="AR390" t="inlineStr"/>
      <c r="AS390" t="inlineStr"/>
      <c r="AT390" t="n">
        <v>0.71736</v>
      </c>
      <c r="AU390" t="inlineStr"/>
      <c r="AV390" t="inlineStr"/>
      <c r="AW390" t="n">
        <v>4.230618</v>
      </c>
      <c r="AX390" t="n">
        <v>4.226475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-0.308457</v>
      </c>
      <c r="BJ390" t="n">
        <v>-0.330371</v>
      </c>
      <c r="BK390" t="inlineStr"/>
      <c r="BL390" t="inlineStr"/>
      <c r="BM390" t="inlineStr"/>
      <c r="BN390" t="inlineStr"/>
      <c r="BO390" t="inlineStr"/>
      <c r="BP390" t="inlineStr"/>
      <c r="BQ390" t="n">
        <v>1.412006</v>
      </c>
      <c r="BR390" t="n">
        <v>1.40201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2.189226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n">
        <v>1.181858</v>
      </c>
      <c r="CP390" t="n">
        <v>1.200554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n">
        <v>1.191154</v>
      </c>
      <c r="DF390" t="inlineStr"/>
      <c r="DG390" t="inlineStr"/>
      <c r="DH390" t="inlineStr"/>
      <c r="DI390" t="n">
        <v>2.504794</v>
      </c>
      <c r="DJ390" t="n">
        <v>2.508859</v>
      </c>
      <c r="DK390" t="inlineStr"/>
      <c r="DL390" t="inlineStr"/>
      <c r="DM390" t="inlineStr"/>
      <c r="DN390" t="inlineStr"/>
      <c r="DO390" t="inlineStr"/>
      <c r="DP390" t="inlineStr"/>
      <c r="DQ390" t="n">
        <v>4.370746</v>
      </c>
      <c r="DR390" t="n">
        <v>4.360929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</row>
    <row r="391">
      <c r="A391" t="inlineStr">
        <is>
          <t>01/31/2025</t>
        </is>
      </c>
      <c r="B391" t="n">
        <v>0.139324</v>
      </c>
      <c r="C391" t="n">
        <v>0.167926</v>
      </c>
      <c r="D391" t="n">
        <v>-2.110583</v>
      </c>
      <c r="E391" t="inlineStr"/>
      <c r="F391" t="n">
        <v>0.077557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-0.041832</v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n">
        <v>0.252648</v>
      </c>
      <c r="CB391" t="n">
        <v>0.296296</v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-0.09891800000000001</v>
      </c>
      <c r="CL391" t="inlineStr"/>
      <c r="CM391" t="inlineStr"/>
      <c r="CN391" t="inlineStr"/>
      <c r="CO391" t="inlineStr"/>
      <c r="CP391" t="inlineStr"/>
      <c r="CQ391" t="n">
        <v>-0.414976</v>
      </c>
      <c r="CR391" t="inlineStr"/>
      <c r="CS391" t="inlineStr"/>
      <c r="CT391" t="n">
        <v>2.363247</v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n">
        <v>-2.40973</v>
      </c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n">
        <v>2.417537</v>
      </c>
      <c r="DX391" t="inlineStr"/>
      <c r="DY391" t="inlineStr"/>
      <c r="DZ391" t="inlineStr"/>
    </row>
    <row r="392">
      <c r="A392" t="inlineStr">
        <is>
          <t>01/30/2025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n">
        <v>1.050422</v>
      </c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</row>
    <row r="393">
      <c r="A393" t="inlineStr">
        <is>
          <t>01/29/2025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1.490826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0.863777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0.482739</v>
      </c>
      <c r="AZ393" t="n">
        <v>0.485136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-0.097583</v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n">
        <v>1.738949</v>
      </c>
      <c r="CP393" t="n">
        <v>1.827327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</row>
    <row r="394">
      <c r="A394" t="inlineStr">
        <is>
          <t>01/28/2025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-0.398048</v>
      </c>
      <c r="S394" t="n">
        <v>-0.403877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-0.875395</v>
      </c>
      <c r="AF394" t="n">
        <v>-0.875964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n">
        <v>-0.618246</v>
      </c>
      <c r="CN394" t="n">
        <v>-0.622939</v>
      </c>
      <c r="CO394" t="inlineStr"/>
      <c r="CP394" t="inlineStr"/>
      <c r="CQ394" t="n">
        <v>-2.338768</v>
      </c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n">
        <v>-0.190221</v>
      </c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n">
        <v>0.656709</v>
      </c>
      <c r="DZ394" t="inlineStr"/>
    </row>
    <row r="395">
      <c r="A395" t="inlineStr">
        <is>
          <t>01/27/2025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0.890499</v>
      </c>
      <c r="J395" t="n">
        <v>0.89211</v>
      </c>
      <c r="K395" t="inlineStr"/>
      <c r="L395" t="inlineStr"/>
      <c r="M395" t="inlineStr"/>
      <c r="N395" t="inlineStr"/>
      <c r="O395" t="inlineStr"/>
      <c r="P395" t="n">
        <v>-2.430963</v>
      </c>
      <c r="Q395" t="n">
        <v>-2.430134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-0.033222</v>
      </c>
      <c r="AB395" t="n">
        <v>-0.066206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-0.263121</v>
      </c>
      <c r="AN395" t="n">
        <v>-0.264267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-1.27042</v>
      </c>
      <c r="AX395" t="n">
        <v>-1.264238</v>
      </c>
      <c r="AY395" t="inlineStr"/>
      <c r="AZ395" t="inlineStr"/>
      <c r="BA395" t="n">
        <v>-0.352511</v>
      </c>
      <c r="BB395" t="n">
        <v>-0.357908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0.038106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4.442759</v>
      </c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</row>
    <row r="396">
      <c r="A396" t="inlineStr">
        <is>
          <t>01/24/2025</t>
        </is>
      </c>
      <c r="B396" t="n">
        <v>-0.03488</v>
      </c>
      <c r="C396" t="n">
        <v>-0.042017</v>
      </c>
      <c r="D396" t="n">
        <v>0.211554</v>
      </c>
      <c r="E396" t="inlineStr"/>
      <c r="F396" t="n">
        <v>3.37484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4.09854</v>
      </c>
      <c r="Q396" t="n">
        <v>4.094862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0.447177</v>
      </c>
      <c r="BB396" t="n">
        <v>0.445125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n">
        <v>-0.888293</v>
      </c>
      <c r="CB396" t="n">
        <v>-1.038576</v>
      </c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n">
        <v>-0.06161</v>
      </c>
      <c r="CP396" t="n">
        <v>-0.056715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3.078128</v>
      </c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</row>
    <row r="397">
      <c r="A397" t="inlineStr">
        <is>
          <t>01/23/2025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1.365014</v>
      </c>
      <c r="CL397" t="inlineStr"/>
      <c r="CM397" t="inlineStr"/>
      <c r="CN397" t="inlineStr"/>
      <c r="CO397" t="inlineStr"/>
      <c r="CP397" t="inlineStr"/>
      <c r="CQ397" t="n">
        <v>-0.878738</v>
      </c>
      <c r="CR397" t="inlineStr"/>
      <c r="CS397" t="inlineStr"/>
      <c r="CT397" t="n">
        <v>4.153688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n">
        <v>1.086234</v>
      </c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</row>
    <row r="398">
      <c r="A398" t="inlineStr">
        <is>
          <t>01/22/2025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-0.07147199999999999</v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0.841507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</row>
    <row r="399">
      <c r="A399" t="inlineStr">
        <is>
          <t>01/21/2025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0.088016</v>
      </c>
      <c r="BP399" t="inlineStr"/>
      <c r="BQ399" t="inlineStr"/>
      <c r="BR399" t="inlineStr"/>
      <c r="BS399" t="inlineStr"/>
      <c r="BT399" t="inlineStr"/>
      <c r="BU399" t="inlineStr"/>
      <c r="BV399" t="n">
        <v>1.732594</v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</row>
    <row r="400">
      <c r="A400" t="inlineStr">
        <is>
          <t>01/17/2025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0.865733</v>
      </c>
      <c r="J400" t="n">
        <v>0.8583730000000001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0.232716</v>
      </c>
      <c r="AB400" t="n">
        <v>0.232059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0.7216360000000001</v>
      </c>
      <c r="AN400" t="n">
        <v>0.711122</v>
      </c>
      <c r="AO400" t="inlineStr"/>
      <c r="AP400" t="n">
        <v>1.606356</v>
      </c>
      <c r="AQ400" t="inlineStr"/>
      <c r="AR400" t="inlineStr"/>
      <c r="AS400" t="inlineStr"/>
      <c r="AT400" t="n">
        <v>1.363587</v>
      </c>
      <c r="AU400" t="inlineStr"/>
      <c r="AV400" t="inlineStr"/>
      <c r="AW400" t="n">
        <v>0.118801</v>
      </c>
      <c r="AX400" t="n">
        <v>0.114155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0.580886</v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n">
        <v>3.223056</v>
      </c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</row>
    <row r="401">
      <c r="A401" t="inlineStr">
        <is>
          <t>01/16/2025</t>
        </is>
      </c>
      <c r="B401" t="inlineStr"/>
      <c r="C401" t="inlineStr"/>
      <c r="D401" t="inlineStr"/>
      <c r="E401" t="inlineStr"/>
      <c r="F401" t="n">
        <v>-4.569872</v>
      </c>
      <c r="G401" t="inlineStr"/>
      <c r="H401" t="inlineStr"/>
      <c r="I401" t="inlineStr"/>
      <c r="J401" t="inlineStr"/>
      <c r="K401" t="inlineStr"/>
      <c r="L401" t="n">
        <v>1.042233</v>
      </c>
      <c r="M401" t="inlineStr"/>
      <c r="N401" t="inlineStr"/>
      <c r="O401" t="inlineStr"/>
      <c r="P401" t="n">
        <v>0.926717</v>
      </c>
      <c r="Q401" t="n">
        <v>0.9198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0.41395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1.073594</v>
      </c>
      <c r="BB401" t="n">
        <v>1.077645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-0.740951</v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0.802042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-1.476999</v>
      </c>
      <c r="DW401" t="inlineStr"/>
      <c r="DX401" t="inlineStr"/>
      <c r="DY401" t="inlineStr"/>
      <c r="DZ401" t="inlineStr"/>
    </row>
    <row r="402">
      <c r="A402" t="inlineStr">
        <is>
          <t>01/15/2025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0.623611</v>
      </c>
      <c r="AF402" t="n">
        <v>0.620501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-0.263227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0.419519</v>
      </c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n">
        <v>3.852752</v>
      </c>
      <c r="DP402" t="n">
        <v>3.85679</v>
      </c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</row>
    <row r="403">
      <c r="A403" t="inlineStr">
        <is>
          <t>01/14/2025</t>
        </is>
      </c>
      <c r="B403" t="inlineStr"/>
      <c r="C403" t="inlineStr"/>
      <c r="D403" t="inlineStr"/>
      <c r="E403" t="n">
        <v>3.254673</v>
      </c>
      <c r="F403" t="n">
        <v>-3.249865</v>
      </c>
      <c r="G403" t="inlineStr"/>
      <c r="H403" t="inlineStr"/>
      <c r="I403" t="n">
        <v>1.832315</v>
      </c>
      <c r="J403" t="n">
        <v>1.816533</v>
      </c>
      <c r="K403" t="inlineStr"/>
      <c r="L403" t="inlineStr"/>
      <c r="M403" t="inlineStr"/>
      <c r="N403" t="inlineStr"/>
      <c r="O403" t="inlineStr"/>
      <c r="P403" t="n">
        <v>-0.451779</v>
      </c>
      <c r="Q403" t="n">
        <v>-0.454324</v>
      </c>
      <c r="R403" t="n">
        <v>3.791404</v>
      </c>
      <c r="S403" t="n">
        <v>3.787227</v>
      </c>
      <c r="T403" t="inlineStr"/>
      <c r="U403" t="inlineStr"/>
      <c r="V403" t="inlineStr"/>
      <c r="W403" t="inlineStr"/>
      <c r="X403" t="inlineStr"/>
      <c r="Y403" t="n">
        <v>3.866602</v>
      </c>
      <c r="Z403" t="n">
        <v>3.878533</v>
      </c>
      <c r="AA403" t="n">
        <v>0.8734690000000001</v>
      </c>
      <c r="AB403" t="n">
        <v>0.904439</v>
      </c>
      <c r="AC403" t="inlineStr"/>
      <c r="AD403" t="inlineStr"/>
      <c r="AE403" t="inlineStr"/>
      <c r="AF403" t="inlineStr"/>
      <c r="AG403" t="inlineStr"/>
      <c r="AH403" t="n">
        <v>1.00353</v>
      </c>
      <c r="AI403" t="inlineStr"/>
      <c r="AJ403" t="inlineStr"/>
      <c r="AK403" t="n">
        <v>2.372596</v>
      </c>
      <c r="AL403" t="inlineStr"/>
      <c r="AM403" t="n">
        <v>1.254883</v>
      </c>
      <c r="AN403" t="n">
        <v>1.241284</v>
      </c>
      <c r="AO403" t="inlineStr"/>
      <c r="AP403" t="inlineStr"/>
      <c r="AQ403" t="n">
        <v>1.330204</v>
      </c>
      <c r="AR403" t="inlineStr"/>
      <c r="AS403" t="inlineStr"/>
      <c r="AT403" t="inlineStr"/>
      <c r="AU403" t="inlineStr"/>
      <c r="AV403" t="inlineStr"/>
      <c r="AW403" t="n">
        <v>4.390164</v>
      </c>
      <c r="AX403" t="n">
        <v>4.382999</v>
      </c>
      <c r="AY403" t="n">
        <v>2.306712</v>
      </c>
      <c r="AZ403" t="n">
        <v>2.322916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n">
        <v>1.685442</v>
      </c>
      <c r="BN403" t="n">
        <v>1.687961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n">
        <v>1.564645</v>
      </c>
      <c r="CD403" t="inlineStr"/>
      <c r="CE403" t="inlineStr"/>
      <c r="CF403" t="n">
        <v>2.994049</v>
      </c>
      <c r="CG403" t="n">
        <v>3.956339</v>
      </c>
      <c r="CH403" t="n">
        <v>3.967037</v>
      </c>
      <c r="CI403" t="n">
        <v>4.177419</v>
      </c>
      <c r="CJ403" t="n">
        <v>4.159634</v>
      </c>
      <c r="CK403" t="inlineStr"/>
      <c r="CL403" t="inlineStr"/>
      <c r="CM403" t="n">
        <v>3.303313</v>
      </c>
      <c r="CN403" t="n">
        <v>3.301586</v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n">
        <v>1.029347</v>
      </c>
      <c r="DB403" t="inlineStr"/>
      <c r="DC403" t="n">
        <v>3.65262</v>
      </c>
      <c r="DD403" t="n">
        <v>3.641162</v>
      </c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-3.290011</v>
      </c>
      <c r="DV403" t="inlineStr"/>
      <c r="DW403" t="inlineStr"/>
      <c r="DX403" t="inlineStr"/>
      <c r="DY403" t="inlineStr"/>
      <c r="DZ403" t="inlineStr"/>
    </row>
    <row r="404">
      <c r="A404" t="inlineStr">
        <is>
          <t>01/13/2025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n">
        <v>0.138232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-3.017587</v>
      </c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</row>
    <row r="405">
      <c r="A405" t="inlineStr">
        <is>
          <t>01/10/2025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n">
        <v>0.26071</v>
      </c>
      <c r="CJ405" t="n">
        <v>0.271268</v>
      </c>
      <c r="CK405" t="inlineStr"/>
      <c r="CL405" t="inlineStr"/>
      <c r="CM405" t="inlineStr"/>
      <c r="CN405" t="inlineStr"/>
      <c r="CO405" t="n">
        <v>-0.579349</v>
      </c>
      <c r="CP405" t="n">
        <v>-0.591302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n">
        <v>0.174126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</row>
    <row r="406">
      <c r="A406" t="inlineStr">
        <is>
          <t>01/08/2025</t>
        </is>
      </c>
      <c r="B406" t="n">
        <v>0.55325</v>
      </c>
      <c r="C406" t="n">
        <v>0.541441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n">
        <v>2.57658</v>
      </c>
      <c r="CB406" t="n">
        <v>2.43553</v>
      </c>
      <c r="CC406" t="inlineStr"/>
      <c r="CD406" t="inlineStr"/>
      <c r="CE406" t="inlineStr"/>
      <c r="CF406" t="inlineStr"/>
      <c r="CG406" t="inlineStr"/>
      <c r="CH406" t="inlineStr"/>
      <c r="CI406" t="n">
        <v>-1.541939</v>
      </c>
      <c r="CJ406" t="n">
        <v>-1.512993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n">
        <v>3.507368</v>
      </c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3.266285</v>
      </c>
      <c r="DW406" t="inlineStr"/>
      <c r="DX406" t="inlineStr"/>
      <c r="DY406" t="inlineStr"/>
      <c r="DZ406" t="inlineStr"/>
    </row>
    <row r="407">
      <c r="A407" t="inlineStr">
        <is>
          <t>01/07/2025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n">
        <v>-2.343152</v>
      </c>
      <c r="CJ407" t="n">
        <v>-2.345338</v>
      </c>
      <c r="CK407" t="n">
        <v>2.779594</v>
      </c>
      <c r="CL407" t="inlineStr"/>
      <c r="CM407" t="inlineStr"/>
      <c r="CN407" t="inlineStr"/>
      <c r="CO407" t="n">
        <v>-0.253643</v>
      </c>
      <c r="CP407" t="n">
        <v>-0.233391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n">
        <v>2.410929</v>
      </c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-0.478212</v>
      </c>
      <c r="DW407" t="inlineStr"/>
      <c r="DX407" t="inlineStr"/>
      <c r="DY407" t="inlineStr"/>
      <c r="DZ407" t="inlineStr"/>
    </row>
    <row r="408">
      <c r="A408" t="inlineStr">
        <is>
          <t>01/06/2025</t>
        </is>
      </c>
      <c r="B408" t="n">
        <v>0.31185</v>
      </c>
      <c r="C408" t="n">
        <v>0.33389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n">
        <v>0.737429</v>
      </c>
      <c r="CB408" t="n">
        <v>0.718391</v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-0.362681</v>
      </c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</row>
    <row r="409">
      <c r="A409" t="inlineStr">
        <is>
          <t>01/03/2025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n">
        <v>1.300662</v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0.881575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</row>
    <row r="410">
      <c r="A410" t="inlineStr">
        <is>
          <t>01/02/2025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1.285217</v>
      </c>
      <c r="J410" t="n">
        <v>1.278569</v>
      </c>
      <c r="K410" t="inlineStr"/>
      <c r="L410" t="n">
        <v>0.035304</v>
      </c>
      <c r="M410" t="inlineStr"/>
      <c r="N410" t="inlineStr"/>
      <c r="O410" t="inlineStr"/>
      <c r="P410" t="n">
        <v>0</v>
      </c>
      <c r="Q410" t="n">
        <v>-0.015618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0.133965</v>
      </c>
      <c r="AB410" t="n">
        <v>0.167057</v>
      </c>
      <c r="AC410" t="inlineStr"/>
      <c r="AD410" t="inlineStr"/>
      <c r="AE410" t="n">
        <v>1.51084</v>
      </c>
      <c r="AF410" t="n">
        <v>1.496738</v>
      </c>
      <c r="AG410" t="inlineStr"/>
      <c r="AH410" t="inlineStr"/>
      <c r="AI410" t="inlineStr"/>
      <c r="AJ410" t="inlineStr"/>
      <c r="AK410" t="inlineStr"/>
      <c r="AL410" t="inlineStr"/>
      <c r="AM410" t="n">
        <v>0.756809</v>
      </c>
      <c r="AN410" t="n">
        <v>0.7596079999999999</v>
      </c>
      <c r="AO410" t="n">
        <v>1.221322</v>
      </c>
      <c r="AP410" t="n">
        <v>1.213258</v>
      </c>
      <c r="AQ410" t="inlineStr"/>
      <c r="AR410" t="inlineStr"/>
      <c r="AS410" t="inlineStr"/>
      <c r="AT410" t="n">
        <v>0.871336</v>
      </c>
      <c r="AU410" t="inlineStr"/>
      <c r="AV410" t="inlineStr"/>
      <c r="AW410" t="n">
        <v>1.617812</v>
      </c>
      <c r="AX410" t="n">
        <v>1.621139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n">
        <v>0.495622</v>
      </c>
      <c r="BJ410" t="n">
        <v>0.47976</v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n">
        <v>0.583479</v>
      </c>
      <c r="CP410" t="n">
        <v>0.595174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n">
        <v>2.500479</v>
      </c>
      <c r="DE410" t="n">
        <v>2.423971</v>
      </c>
      <c r="DF410" t="n">
        <v>2.418568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2026-08-05T13:37:08Z</dcterms:created>
  <dcterms:modified xmlns:dcterms="http://purl.org/dc/terms/" xmlns:xsi="http://www.w3.org/2001/XMLSchema-instance" xsi:type="dcterms:W3CDTF">2026-08-05T13:37:09Z</dcterms:modified>
</cp:coreProperties>
</file>