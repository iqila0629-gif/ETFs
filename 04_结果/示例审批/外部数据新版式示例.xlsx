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&quot;%&quot;"/>
    <numFmt numFmtId="165" formatCode="0.00&quot;bp&quot;"/>
    <numFmt numFmtId="166" formatCode="0.0000"/>
  </numFmts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外部数据新版式示例</t>
        </is>
      </c>
    </row>
    <row r="3">
      <c r="A3" t="inlineStr">
        <is>
          <t>布局说明：</t>
        </is>
      </c>
    </row>
    <row r="4">
      <c r="A4" t="inlineStr">
        <is>
          <t>1. VIX/TNX 原始数据按 ETF 格式展示：第14行=名称，第15行=Open/High/Low/Close（只保留 OHLC，不展示 Adj Close/Volume）。</t>
        </is>
      </c>
    </row>
    <row r="5">
      <c r="A5" t="inlineStr">
        <is>
          <t>2. VIX/TNX 回报与变化指标集中放一起，第15行直接写名称（如 VIX回报、VIX_Chg%、TNX_ChgBp），后面用空列分隔。</t>
        </is>
      </c>
    </row>
    <row r="6">
      <c r="A6" t="inlineStr">
        <is>
          <t>3. 其他派生外部列：第14行=指标名称，第15行=计算公式（谁减谁），数据区为 Excel 公式。</t>
        </is>
      </c>
    </row>
    <row r="7">
      <c r="A7" t="inlineStr">
        <is>
          <t>4. ETF 回报、VIX/TNX 回报、派生指标均用公式计算，回报率保留4位小数。</t>
        </is>
      </c>
    </row>
    <row r="8">
      <c r="A8" t="inlineStr">
        <is>
          <t>5. ETF 原始 OHLCV 集中排列；全部 ETF 原始数据之后另起 ETF 回报区，回报列集中排列。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4:CT40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</cols>
  <sheetData>
    <row r="14" ht="30" customHeight="1">
      <c r="A14" s="2" t="inlineStr">
        <is>
          <t>日期</t>
        </is>
      </c>
      <c r="B14" s="2" t="n"/>
      <c r="C14" s="2" t="n"/>
      <c r="D14" s="2" t="inlineStr">
        <is>
          <t>SPY</t>
        </is>
      </c>
      <c r="E14" s="2" t="n"/>
      <c r="F14" s="2" t="n"/>
      <c r="G14" s="2" t="n"/>
      <c r="H14" s="2" t="n"/>
      <c r="I14" s="2" t="n"/>
      <c r="J14" s="2" t="n"/>
      <c r="K14" s="2" t="inlineStr">
        <is>
          <t>TLT</t>
        </is>
      </c>
      <c r="L14" s="2" t="n"/>
      <c r="M14" s="2" t="n"/>
      <c r="N14" s="2" t="n"/>
      <c r="O14" s="2" t="n"/>
      <c r="P14" s="2" t="n"/>
      <c r="Q14" s="2" t="n"/>
      <c r="R14" s="2" t="inlineStr">
        <is>
          <t>HYG</t>
        </is>
      </c>
      <c r="S14" s="2" t="n"/>
      <c r="T14" s="2" t="n"/>
      <c r="U14" s="2" t="n"/>
      <c r="V14" s="2" t="n"/>
      <c r="W14" s="2" t="n"/>
      <c r="X14" s="2" t="n"/>
      <c r="Y14" s="2" t="inlineStr">
        <is>
          <t>JNK</t>
        </is>
      </c>
      <c r="Z14" s="2" t="n"/>
      <c r="AA14" s="2" t="n"/>
      <c r="AB14" s="2" t="n"/>
      <c r="AC14" s="2" t="n"/>
      <c r="AD14" s="2" t="n"/>
      <c r="AE14" s="2" t="n"/>
      <c r="AF14" s="2" t="inlineStr">
        <is>
          <t>UUP</t>
        </is>
      </c>
      <c r="AG14" s="2" t="n"/>
      <c r="AH14" s="2" t="n"/>
      <c r="AI14" s="2" t="n"/>
      <c r="AJ14" s="2" t="n"/>
      <c r="AK14" s="2" t="n"/>
      <c r="AL14" s="2" t="n"/>
      <c r="AM14" s="2" t="inlineStr">
        <is>
          <t>GLD</t>
        </is>
      </c>
      <c r="AN14" s="2" t="n"/>
      <c r="AO14" s="2" t="n"/>
      <c r="AP14" s="2" t="n"/>
      <c r="AQ14" s="2" t="n"/>
      <c r="AR14" s="2" t="n"/>
      <c r="AS14" s="2" t="n"/>
      <c r="AT14" s="2" t="inlineStr">
        <is>
          <t>XLK</t>
        </is>
      </c>
      <c r="AU14" s="2" t="n"/>
      <c r="AV14" s="2" t="n"/>
      <c r="AW14" s="2" t="n"/>
      <c r="AX14" s="2" t="n"/>
      <c r="AY14" s="2" t="n"/>
      <c r="AZ14" s="2" t="n"/>
      <c r="BA14" s="2" t="inlineStr">
        <is>
          <t>XLF</t>
        </is>
      </c>
      <c r="BB14" s="2" t="n"/>
      <c r="BC14" s="2" t="n"/>
      <c r="BD14" s="2" t="n"/>
      <c r="BE14" s="2" t="n"/>
      <c r="BF14" s="2" t="n"/>
      <c r="BG14" s="2" t="n"/>
      <c r="BH14" s="2" t="inlineStr">
        <is>
          <t>TIP</t>
        </is>
      </c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inlineStr">
        <is>
          <t>VIX</t>
        </is>
      </c>
      <c r="BY14" s="2" t="n"/>
      <c r="BZ14" s="2" t="n"/>
      <c r="CA14" s="2" t="n"/>
      <c r="CB14" s="2" t="n"/>
      <c r="CC14" s="2" t="inlineStr">
        <is>
          <t>TNX</t>
        </is>
      </c>
      <c r="CD14" s="2" t="n"/>
      <c r="CE14" s="2" t="n"/>
      <c r="CF14" s="2" t="n"/>
      <c r="CG14" s="2" t="n"/>
      <c r="CH14" s="2" t="inlineStr">
        <is>
          <t>VIX_Chg%</t>
        </is>
      </c>
      <c r="CI14" s="2" t="inlineStr">
        <is>
          <t>VIX_5dChg</t>
        </is>
      </c>
      <c r="CJ14" s="2" t="inlineStr">
        <is>
          <t>VIX_20dVol</t>
        </is>
      </c>
      <c r="CK14" s="2" t="n"/>
      <c r="CL14" s="2" t="inlineStr">
        <is>
          <t>TNX_ChgBp</t>
        </is>
      </c>
      <c r="CM14" s="2" t="n"/>
      <c r="CN14" s="2" t="inlineStr">
        <is>
          <t>CreditSpread</t>
        </is>
      </c>
      <c r="CO14" s="2" t="inlineStr">
        <is>
          <t>JNKSpread</t>
        </is>
      </c>
      <c r="CP14" s="2" t="inlineStr">
        <is>
          <t>StkBonCorr</t>
        </is>
      </c>
      <c r="CQ14" s="2" t="inlineStr">
        <is>
          <t>USDGoldRatio</t>
        </is>
      </c>
      <c r="CR14" s="2" t="inlineStr">
        <is>
          <t>SectRotation</t>
        </is>
      </c>
      <c r="CS14" s="2" t="inlineStr">
        <is>
          <t>VIX_TNX_Ratio</t>
        </is>
      </c>
      <c r="CT14" s="2" t="inlineStr">
        <is>
          <t>YldCurveProxy</t>
        </is>
      </c>
    </row>
    <row r="15" ht="30" customHeight="1">
      <c r="A15" s="2" t="inlineStr">
        <is>
          <t>日期</t>
        </is>
      </c>
      <c r="B15" s="2" t="inlineStr">
        <is>
          <t>Open</t>
        </is>
      </c>
      <c r="C15" s="2" t="inlineStr">
        <is>
          <t>High</t>
        </is>
      </c>
      <c r="D15" s="2" t="inlineStr">
        <is>
          <t>Low</t>
        </is>
      </c>
      <c r="E15" s="2" t="inlineStr">
        <is>
          <t>Close</t>
        </is>
      </c>
      <c r="F15" s="2" t="inlineStr">
        <is>
          <t>Adj Close</t>
        </is>
      </c>
      <c r="G15" s="2" t="inlineStr">
        <is>
          <t>Volume</t>
        </is>
      </c>
      <c r="H15" s="2" t="n"/>
      <c r="I15" s="2" t="inlineStr">
        <is>
          <t>Open</t>
        </is>
      </c>
      <c r="J15" s="2" t="inlineStr">
        <is>
          <t>High</t>
        </is>
      </c>
      <c r="K15" s="2" t="inlineStr">
        <is>
          <t>Low</t>
        </is>
      </c>
      <c r="L15" s="2" t="inlineStr">
        <is>
          <t>Close</t>
        </is>
      </c>
      <c r="M15" s="2" t="inlineStr">
        <is>
          <t>Adj Close</t>
        </is>
      </c>
      <c r="N15" s="2" t="inlineStr">
        <is>
          <t>Volume</t>
        </is>
      </c>
      <c r="O15" s="2" t="n"/>
      <c r="P15" s="2" t="inlineStr">
        <is>
          <t>Open</t>
        </is>
      </c>
      <c r="Q15" s="2" t="inlineStr">
        <is>
          <t>High</t>
        </is>
      </c>
      <c r="R15" s="2" t="inlineStr">
        <is>
          <t>Low</t>
        </is>
      </c>
      <c r="S15" s="2" t="inlineStr">
        <is>
          <t>Close</t>
        </is>
      </c>
      <c r="T15" s="2" t="inlineStr">
        <is>
          <t>Adj Close</t>
        </is>
      </c>
      <c r="U15" s="2" t="inlineStr">
        <is>
          <t>Volume</t>
        </is>
      </c>
      <c r="V15" s="2" t="n"/>
      <c r="W15" s="2" t="inlineStr">
        <is>
          <t>Open</t>
        </is>
      </c>
      <c r="X15" s="2" t="inlineStr">
        <is>
          <t>High</t>
        </is>
      </c>
      <c r="Y15" s="2" t="inlineStr">
        <is>
          <t>Low</t>
        </is>
      </c>
      <c r="Z15" s="2" t="inlineStr">
        <is>
          <t>Close</t>
        </is>
      </c>
      <c r="AA15" s="2" t="inlineStr">
        <is>
          <t>Adj Close</t>
        </is>
      </c>
      <c r="AB15" s="2" t="inlineStr">
        <is>
          <t>Volume</t>
        </is>
      </c>
      <c r="AC15" s="2" t="n"/>
      <c r="AD15" s="2" t="inlineStr">
        <is>
          <t>Open</t>
        </is>
      </c>
      <c r="AE15" s="2" t="inlineStr">
        <is>
          <t>High</t>
        </is>
      </c>
      <c r="AF15" s="2" t="inlineStr">
        <is>
          <t>Low</t>
        </is>
      </c>
      <c r="AG15" s="2" t="inlineStr">
        <is>
          <t>Close</t>
        </is>
      </c>
      <c r="AH15" s="2" t="inlineStr">
        <is>
          <t>Adj Close</t>
        </is>
      </c>
      <c r="AI15" s="2" t="inlineStr">
        <is>
          <t>Volume</t>
        </is>
      </c>
      <c r="AJ15" s="2" t="n"/>
      <c r="AK15" s="2" t="inlineStr">
        <is>
          <t>Open</t>
        </is>
      </c>
      <c r="AL15" s="2" t="inlineStr">
        <is>
          <t>High</t>
        </is>
      </c>
      <c r="AM15" s="2" t="inlineStr">
        <is>
          <t>Low</t>
        </is>
      </c>
      <c r="AN15" s="2" t="inlineStr">
        <is>
          <t>Close</t>
        </is>
      </c>
      <c r="AO15" s="2" t="inlineStr">
        <is>
          <t>Adj Close</t>
        </is>
      </c>
      <c r="AP15" s="2" t="inlineStr">
        <is>
          <t>Volume</t>
        </is>
      </c>
      <c r="AQ15" s="2" t="n"/>
      <c r="AR15" s="2" t="inlineStr">
        <is>
          <t>Open</t>
        </is>
      </c>
      <c r="AS15" s="2" t="inlineStr">
        <is>
          <t>High</t>
        </is>
      </c>
      <c r="AT15" s="2" t="inlineStr">
        <is>
          <t>Low</t>
        </is>
      </c>
      <c r="AU15" s="2" t="inlineStr">
        <is>
          <t>Close</t>
        </is>
      </c>
      <c r="AV15" s="2" t="inlineStr">
        <is>
          <t>Adj Close</t>
        </is>
      </c>
      <c r="AW15" s="2" t="inlineStr">
        <is>
          <t>Volume</t>
        </is>
      </c>
      <c r="AX15" s="2" t="n"/>
      <c r="AY15" s="2" t="inlineStr">
        <is>
          <t>Open</t>
        </is>
      </c>
      <c r="AZ15" s="2" t="inlineStr">
        <is>
          <t>High</t>
        </is>
      </c>
      <c r="BA15" s="2" t="inlineStr">
        <is>
          <t>Low</t>
        </is>
      </c>
      <c r="BB15" s="2" t="inlineStr">
        <is>
          <t>Close</t>
        </is>
      </c>
      <c r="BC15" s="2" t="inlineStr">
        <is>
          <t>Adj Close</t>
        </is>
      </c>
      <c r="BD15" s="2" t="inlineStr">
        <is>
          <t>Volume</t>
        </is>
      </c>
      <c r="BE15" s="2" t="n"/>
      <c r="BF15" s="2" t="inlineStr">
        <is>
          <t>Open</t>
        </is>
      </c>
      <c r="BG15" s="2" t="inlineStr">
        <is>
          <t>High</t>
        </is>
      </c>
      <c r="BH15" s="2" t="inlineStr">
        <is>
          <t>Low</t>
        </is>
      </c>
      <c r="BI15" s="2" t="inlineStr">
        <is>
          <t>Close</t>
        </is>
      </c>
      <c r="BJ15" s="2" t="inlineStr">
        <is>
          <t>Adj Close</t>
        </is>
      </c>
      <c r="BK15" s="2" t="inlineStr">
        <is>
          <t>Volume</t>
        </is>
      </c>
      <c r="BL15" s="2" t="n"/>
      <c r="BM15" s="2" t="inlineStr">
        <is>
          <t>SPY回报</t>
        </is>
      </c>
      <c r="BN15" s="2" t="inlineStr">
        <is>
          <t>TLT回报</t>
        </is>
      </c>
      <c r="BO15" s="2" t="inlineStr">
        <is>
          <t>HYG回报</t>
        </is>
      </c>
      <c r="BP15" s="2" t="inlineStr">
        <is>
          <t>JNK回报</t>
        </is>
      </c>
      <c r="BQ15" s="2" t="inlineStr">
        <is>
          <t>UUP回报</t>
        </is>
      </c>
      <c r="BR15" s="2" t="inlineStr">
        <is>
          <t>GLD回报</t>
        </is>
      </c>
      <c r="BS15" s="2" t="inlineStr">
        <is>
          <t>XLK回报</t>
        </is>
      </c>
      <c r="BT15" s="2" t="inlineStr">
        <is>
          <t>XLF回报</t>
        </is>
      </c>
      <c r="BU15" s="2" t="inlineStr">
        <is>
          <t>TIP回报</t>
        </is>
      </c>
      <c r="BV15" s="2" t="n"/>
      <c r="BW15" s="2" t="inlineStr">
        <is>
          <t>Open</t>
        </is>
      </c>
      <c r="BX15" s="2" t="inlineStr">
        <is>
          <t>High</t>
        </is>
      </c>
      <c r="BY15" s="2" t="inlineStr">
        <is>
          <t>Low</t>
        </is>
      </c>
      <c r="BZ15" s="2" t="inlineStr">
        <is>
          <t>Close</t>
        </is>
      </c>
      <c r="CA15" s="2" t="n"/>
      <c r="CB15" s="2" t="inlineStr">
        <is>
          <t>Open</t>
        </is>
      </c>
      <c r="CC15" s="2" t="inlineStr">
        <is>
          <t>High</t>
        </is>
      </c>
      <c r="CD15" s="2" t="inlineStr">
        <is>
          <t>Low</t>
        </is>
      </c>
      <c r="CE15" s="2" t="inlineStr">
        <is>
          <t>Close</t>
        </is>
      </c>
      <c r="CF15" s="2" t="n"/>
      <c r="CG15" s="2" t="inlineStr">
        <is>
          <t>VIX回报</t>
        </is>
      </c>
      <c r="CH15" s="2" t="inlineStr">
        <is>
          <t>VIX_close/昨VIX_close-1</t>
        </is>
      </c>
      <c r="CI15" s="2" t="inlineStr">
        <is>
          <t>VIX_close/5日前VIX_close-1</t>
        </is>
      </c>
      <c r="CJ15" s="2" t="inlineStr">
        <is>
          <t>STDEV(VIX日变化,近20日)</t>
        </is>
      </c>
      <c r="CK15" s="2" t="inlineStr">
        <is>
          <t>TNX回报</t>
        </is>
      </c>
      <c r="CL15" s="2" t="inlineStr">
        <is>
          <t>(TNX_close-昨TNX_close)*100</t>
        </is>
      </c>
      <c r="CM15" s="2" t="n"/>
      <c r="CN15" s="2" t="inlineStr">
        <is>
          <t>HYG-TLT</t>
        </is>
      </c>
      <c r="CO15" s="2" t="inlineStr">
        <is>
          <t>JNK-TLT</t>
        </is>
      </c>
      <c r="CP15" s="2" t="inlineStr">
        <is>
          <t>CORREL(SPY,TLT,近20日)</t>
        </is>
      </c>
      <c r="CQ15" s="2" t="inlineStr">
        <is>
          <t>UUP-GLD</t>
        </is>
      </c>
      <c r="CR15" s="2" t="inlineStr">
        <is>
          <t>XLK-XLF</t>
        </is>
      </c>
      <c r="CS15" s="2" t="inlineStr">
        <is>
          <t>VIX_close/TNX_close</t>
        </is>
      </c>
      <c r="CT15" s="2" t="inlineStr">
        <is>
          <t>TLT-TIP</t>
        </is>
      </c>
    </row>
    <row r="16">
      <c r="A16" s="3" t="inlineStr">
        <is>
          <t>2026/08/07</t>
        </is>
      </c>
      <c r="B16" s="3" t="n">
        <v>771.02</v>
      </c>
      <c r="C16" s="3" t="n">
        <v>773.92</v>
      </c>
      <c r="D16" s="3" t="n">
        <v>769.61</v>
      </c>
      <c r="E16" s="3" t="n">
        <v>773.26</v>
      </c>
      <c r="F16" s="3" t="n">
        <v>773.26</v>
      </c>
      <c r="G16" s="3" t="n">
        <v>43557000</v>
      </c>
      <c r="H16" s="3" t="n"/>
      <c r="I16" s="3" t="n">
        <v>82.8</v>
      </c>
      <c r="J16" s="3" t="n">
        <v>82.84999999999999</v>
      </c>
      <c r="K16" s="3" t="n">
        <v>82.48</v>
      </c>
      <c r="L16" s="3" t="n">
        <v>82.76000000000001</v>
      </c>
      <c r="M16" s="3" t="n">
        <v>82.76000000000001</v>
      </c>
      <c r="N16" s="3" t="n">
        <v>96118900</v>
      </c>
      <c r="O16" s="3" t="n"/>
      <c r="P16" s="3" t="n">
        <v>79.67</v>
      </c>
      <c r="Q16" s="3" t="n">
        <v>79.69</v>
      </c>
      <c r="R16" s="3" t="n">
        <v>79.56999999999999</v>
      </c>
      <c r="S16" s="3" t="n">
        <v>79.61</v>
      </c>
      <c r="T16" s="3" t="n">
        <v>79.61</v>
      </c>
      <c r="U16" s="3" t="n">
        <v>23458100</v>
      </c>
      <c r="V16" s="3" t="n"/>
      <c r="W16" s="3" t="n">
        <v>95.84999999999999</v>
      </c>
      <c r="X16" s="3" t="n">
        <v>95.90000000000001</v>
      </c>
      <c r="Y16" s="3" t="n">
        <v>95.76000000000001</v>
      </c>
      <c r="Z16" s="3" t="n">
        <v>95.81</v>
      </c>
      <c r="AA16" s="3" t="n">
        <v>95.81</v>
      </c>
      <c r="AB16" s="3" t="n">
        <v>9024100</v>
      </c>
      <c r="AC16" s="3" t="n"/>
      <c r="AD16" s="3" t="n">
        <v>28.06</v>
      </c>
      <c r="AE16" s="3" t="n">
        <v>28.11</v>
      </c>
      <c r="AF16" s="3" t="n">
        <v>28.05</v>
      </c>
      <c r="AG16" s="3" t="n">
        <v>28.07</v>
      </c>
      <c r="AH16" s="3" t="n">
        <v>28.07</v>
      </c>
      <c r="AI16" s="3" t="n">
        <v>1718300</v>
      </c>
      <c r="AJ16" s="3" t="n"/>
      <c r="AK16" s="3" t="n">
        <v>399.6</v>
      </c>
      <c r="AL16" s="3" t="n">
        <v>400.66</v>
      </c>
      <c r="AM16" s="3" t="n">
        <v>396.95</v>
      </c>
      <c r="AN16" s="3" t="n">
        <v>398.47</v>
      </c>
      <c r="AO16" s="3" t="n">
        <v>398.47</v>
      </c>
      <c r="AP16" s="3" t="n">
        <v>13301600</v>
      </c>
      <c r="AQ16" s="3" t="n"/>
      <c r="AR16" s="3" t="n">
        <v>187.99</v>
      </c>
      <c r="AS16" s="3" t="n">
        <v>188.73</v>
      </c>
      <c r="AT16" s="3" t="n">
        <v>185.74</v>
      </c>
      <c r="AU16" s="3" t="n">
        <v>187.97</v>
      </c>
      <c r="AV16" s="3" t="n">
        <v>187.97</v>
      </c>
      <c r="AW16" s="3" t="n">
        <v>6357700</v>
      </c>
      <c r="AX16" s="3" t="n"/>
      <c r="AY16" s="3" t="n">
        <v>57.61</v>
      </c>
      <c r="AZ16" s="3" t="n">
        <v>57.79</v>
      </c>
      <c r="BA16" s="3" t="n">
        <v>57.34</v>
      </c>
      <c r="BB16" s="3" t="n">
        <v>57.6</v>
      </c>
      <c r="BC16" s="3" t="n">
        <v>57.6</v>
      </c>
      <c r="BD16" s="3" t="n">
        <v>20778200</v>
      </c>
      <c r="BE16" s="3" t="n"/>
      <c r="BF16" s="3" t="n">
        <v>107.11</v>
      </c>
      <c r="BG16" s="3" t="n">
        <v>107.14</v>
      </c>
      <c r="BH16" s="3" t="n">
        <v>106.99</v>
      </c>
      <c r="BI16" s="3" t="n">
        <v>107.08</v>
      </c>
      <c r="BJ16" s="3" t="n">
        <v>107.08</v>
      </c>
      <c r="BK16" s="3" t="n">
        <v>1146300</v>
      </c>
      <c r="BL16" s="3" t="n"/>
      <c r="BM16" s="4">
        <f>IF(COUNT(F16:F17)=2,ROUND((F16/F17-1)*100,4),"")</f>
        <v/>
      </c>
      <c r="BN16" s="4">
        <f>IF(COUNT(M16:M17)=2,ROUND((M16/M17-1)*100,4),"")</f>
        <v/>
      </c>
      <c r="BO16" s="4">
        <f>IF(COUNT(T16:T17)=2,ROUND((T16/T17-1)*100,4),"")</f>
        <v/>
      </c>
      <c r="BP16" s="4">
        <f>IF(COUNT(AA16:AA17)=2,ROUND((AA16/AA17-1)*100,4),"")</f>
        <v/>
      </c>
      <c r="BQ16" s="4">
        <f>IF(COUNT(AH16:AH17)=2,ROUND((AH16/AH17-1)*100,4),"")</f>
        <v/>
      </c>
      <c r="BR16" s="4">
        <f>IF(COUNT(AO16:AO17)=2,ROUND((AO16/AO17-1)*100,4),"")</f>
        <v/>
      </c>
      <c r="BS16" s="4">
        <f>IF(COUNT(AV16:AV17)=2,ROUND((AV16/AV17-1)*100,4),"")</f>
        <v/>
      </c>
      <c r="BT16" s="4">
        <f>IF(COUNT(BC16:BC17)=2,ROUND((BC16/BC17-1)*100,4),"")</f>
        <v/>
      </c>
      <c r="BU16" s="4">
        <f>IF(COUNT(BJ16:BJ17)=2,ROUND((BJ16/BJ17-1)*100,4),"")</f>
        <v/>
      </c>
      <c r="BV16" s="3" t="n"/>
      <c r="BW16" s="3" t="n">
        <v>15.3</v>
      </c>
      <c r="BX16" s="3" t="n">
        <v>15.36</v>
      </c>
      <c r="BY16" s="3" t="n">
        <v>14.77</v>
      </c>
      <c r="BZ16" s="3" t="n">
        <v>14.9</v>
      </c>
      <c r="CA16" s="3" t="n"/>
      <c r="CB16" s="3" t="n">
        <v>4.664</v>
      </c>
      <c r="CC16" s="3" t="n">
        <v>4.672</v>
      </c>
      <c r="CD16" s="3" t="n">
        <v>4.603</v>
      </c>
      <c r="CE16" s="3" t="n">
        <v>4.66</v>
      </c>
      <c r="CF16" s="3" t="n"/>
      <c r="CG16" s="4">
        <f>IF(COUNT(BZ16:BZ17)=2,ROUND((BZ16/BZ17-1)*100,4),"")</f>
        <v/>
      </c>
      <c r="CH16" s="4">
        <f>IF(COUNT(BZ16:BZ17)=2,ROUND((BZ16/BZ17-1)*100,4),"")</f>
        <v/>
      </c>
      <c r="CI16" s="4">
        <f>IF(COUNT(BZ16:BZ21)=6,ROUND((BZ16/BZ21-1)*100,4),"")</f>
        <v/>
      </c>
      <c r="CJ16" s="4">
        <f>IF(COUNT(CH16:CH35)=20,IFERROR(ROUND(STDEV(CH16:CH35),4),""),"")</f>
        <v/>
      </c>
      <c r="CK16" s="4">
        <f>IF(COUNT(CE16:CE17)=2,ROUND((CE16/CE17-1)*100,4),"")</f>
        <v/>
      </c>
      <c r="CL16" s="5">
        <f>IF(COUNT(CE16:CE17)=2,(CE16-CE17)*100,"")</f>
        <v/>
      </c>
      <c r="CM16" s="3" t="n"/>
      <c r="CN16" s="4">
        <f>IFERROR(BO16-BN16,"")</f>
        <v/>
      </c>
      <c r="CO16" s="4">
        <f>IFERROR(BP16-BN16,"")</f>
        <v/>
      </c>
      <c r="CP16" s="6">
        <f>IF(COUNT(BM16:BM35)=20,IFERROR(CORREL(BM16:BM35,BN16:BN35),""),"")</f>
        <v/>
      </c>
      <c r="CQ16" s="4">
        <f>IFERROR(BQ16-BR16,"")</f>
        <v/>
      </c>
      <c r="CR16" s="4">
        <f>IFERROR(BS16-BT16,"")</f>
        <v/>
      </c>
      <c r="CS16" s="6">
        <f>BZ16/CE16</f>
        <v/>
      </c>
      <c r="CT16" s="4">
        <f>IFERROR(BN16-BU16,"")</f>
        <v/>
      </c>
    </row>
    <row r="17">
      <c r="A17" s="3" t="inlineStr">
        <is>
          <t>2026/08/06</t>
        </is>
      </c>
      <c r="B17" s="3" t="n">
        <v>770.21</v>
      </c>
      <c r="C17" s="3" t="n">
        <v>771.8200000000001</v>
      </c>
      <c r="D17" s="3" t="n">
        <v>767.46</v>
      </c>
      <c r="E17" s="3" t="n">
        <v>768.5599999999999</v>
      </c>
      <c r="F17" s="3" t="n">
        <v>768.5599999999999</v>
      </c>
      <c r="G17" s="3" t="n">
        <v>38416900</v>
      </c>
      <c r="H17" s="3" t="n"/>
      <c r="I17" s="3" t="n">
        <v>82.77</v>
      </c>
      <c r="J17" s="3" t="n">
        <v>82.92</v>
      </c>
      <c r="K17" s="3" t="n">
        <v>82.40000000000001</v>
      </c>
      <c r="L17" s="3" t="n">
        <v>82.52</v>
      </c>
      <c r="M17" s="3" t="n">
        <v>82.52</v>
      </c>
      <c r="N17" s="3" t="n">
        <v>27566600</v>
      </c>
      <c r="O17" s="3" t="n"/>
      <c r="P17" s="3" t="n">
        <v>79.51000000000001</v>
      </c>
      <c r="Q17" s="3" t="n">
        <v>79.51000000000001</v>
      </c>
      <c r="R17" s="3" t="n">
        <v>79.41</v>
      </c>
      <c r="S17" s="3" t="n">
        <v>79.45999999999999</v>
      </c>
      <c r="T17" s="3" t="n">
        <v>79.45999999999999</v>
      </c>
      <c r="U17" s="3" t="n">
        <v>25818200</v>
      </c>
      <c r="V17" s="3" t="n"/>
      <c r="W17" s="3" t="n">
        <v>95.7</v>
      </c>
      <c r="X17" s="3" t="n">
        <v>95.73999999999999</v>
      </c>
      <c r="Y17" s="3" t="n">
        <v>95.56999999999999</v>
      </c>
      <c r="Z17" s="3" t="n">
        <v>95.61</v>
      </c>
      <c r="AA17" s="3" t="n">
        <v>95.61</v>
      </c>
      <c r="AB17" s="3" t="n">
        <v>2389400</v>
      </c>
      <c r="AC17" s="3" t="n"/>
      <c r="AD17" s="3" t="n">
        <v>28.12</v>
      </c>
      <c r="AE17" s="3" t="n">
        <v>28.2</v>
      </c>
      <c r="AF17" s="3" t="n">
        <v>28.11</v>
      </c>
      <c r="AG17" s="3" t="n">
        <v>28.19</v>
      </c>
      <c r="AH17" s="3" t="n">
        <v>28.19</v>
      </c>
      <c r="AI17" s="3" t="n">
        <v>1666000</v>
      </c>
      <c r="AJ17" s="3" t="n"/>
      <c r="AK17" s="3" t="n">
        <v>389.5</v>
      </c>
      <c r="AL17" s="3" t="n">
        <v>392.12</v>
      </c>
      <c r="AM17" s="3" t="n">
        <v>387.27</v>
      </c>
      <c r="AN17" s="3" t="n">
        <v>389.67</v>
      </c>
      <c r="AO17" s="3" t="n">
        <v>389.67</v>
      </c>
      <c r="AP17" s="3" t="n">
        <v>10954300</v>
      </c>
      <c r="AQ17" s="3" t="n"/>
      <c r="AR17" s="3" t="n">
        <v>183.19</v>
      </c>
      <c r="AS17" s="3" t="n">
        <v>186.91</v>
      </c>
      <c r="AT17" s="3" t="n">
        <v>182.06</v>
      </c>
      <c r="AU17" s="3" t="n">
        <v>185.33</v>
      </c>
      <c r="AV17" s="3" t="n">
        <v>185.33</v>
      </c>
      <c r="AW17" s="3" t="n">
        <v>6706000</v>
      </c>
      <c r="AX17" s="3" t="n"/>
      <c r="AY17" s="3" t="n">
        <v>58.38</v>
      </c>
      <c r="AZ17" s="3" t="n">
        <v>58.38</v>
      </c>
      <c r="BA17" s="3" t="n">
        <v>57.59</v>
      </c>
      <c r="BB17" s="3" t="n">
        <v>57.81</v>
      </c>
      <c r="BC17" s="3" t="n">
        <v>57.81</v>
      </c>
      <c r="BD17" s="3" t="n">
        <v>27704200</v>
      </c>
      <c r="BE17" s="3" t="n"/>
      <c r="BF17" s="3" t="n">
        <v>106.94</v>
      </c>
      <c r="BG17" s="3" t="n">
        <v>106.97</v>
      </c>
      <c r="BH17" s="3" t="n">
        <v>106.8</v>
      </c>
      <c r="BI17" s="3" t="n">
        <v>106.87</v>
      </c>
      <c r="BJ17" s="3" t="n">
        <v>106.87</v>
      </c>
      <c r="BK17" s="3" t="n">
        <v>1962900</v>
      </c>
      <c r="BL17" s="3" t="n"/>
      <c r="BM17" s="4">
        <f>IF(COUNT(F17:F18)=2,ROUND((F17/F18-1)*100,4),"")</f>
        <v/>
      </c>
      <c r="BN17" s="4">
        <f>IF(COUNT(M17:M18)=2,ROUND((M17/M18-1)*100,4),"")</f>
        <v/>
      </c>
      <c r="BO17" s="4">
        <f>IF(COUNT(T17:T18)=2,ROUND((T17/T18-1)*100,4),"")</f>
        <v/>
      </c>
      <c r="BP17" s="4">
        <f>IF(COUNT(AA17:AA18)=2,ROUND((AA17/AA18-1)*100,4),"")</f>
        <v/>
      </c>
      <c r="BQ17" s="4">
        <f>IF(COUNT(AH17:AH18)=2,ROUND((AH17/AH18-1)*100,4),"")</f>
        <v/>
      </c>
      <c r="BR17" s="4">
        <f>IF(COUNT(AO17:AO18)=2,ROUND((AO17/AO18-1)*100,4),"")</f>
        <v/>
      </c>
      <c r="BS17" s="4">
        <f>IF(COUNT(AV17:AV18)=2,ROUND((AV17/AV18-1)*100,4),"")</f>
        <v/>
      </c>
      <c r="BT17" s="4">
        <f>IF(COUNT(BC17:BC18)=2,ROUND((BC17/BC18-1)*100,4),"")</f>
        <v/>
      </c>
      <c r="BU17" s="4">
        <f>IF(COUNT(BJ17:BJ18)=2,ROUND((BJ17/BJ18-1)*100,4),"")</f>
        <v/>
      </c>
      <c r="BV17" s="3" t="n"/>
      <c r="BW17" s="3" t="n">
        <v>15.83</v>
      </c>
      <c r="BX17" s="3" t="n">
        <v>16.03</v>
      </c>
      <c r="BY17" s="3" t="n">
        <v>15.11</v>
      </c>
      <c r="BZ17" s="3" t="n">
        <v>15.15</v>
      </c>
      <c r="CA17" s="3" t="n"/>
      <c r="CB17" s="3" t="n">
        <v>4.643</v>
      </c>
      <c r="CC17" s="3" t="n">
        <v>4.676</v>
      </c>
      <c r="CD17" s="3" t="n">
        <v>4.635</v>
      </c>
      <c r="CE17" s="3" t="n">
        <v>4.67</v>
      </c>
      <c r="CF17" s="3" t="n"/>
      <c r="CG17" s="4">
        <f>IF(COUNT(BZ17:BZ18)=2,ROUND((BZ17/BZ18-1)*100,4),"")</f>
        <v/>
      </c>
      <c r="CH17" s="4">
        <f>IF(COUNT(BZ17:BZ18)=2,ROUND((BZ17/BZ18-1)*100,4),"")</f>
        <v/>
      </c>
      <c r="CI17" s="4">
        <f>IF(COUNT(BZ17:BZ22)=6,ROUND((BZ17/BZ22-1)*100,4),"")</f>
        <v/>
      </c>
      <c r="CJ17" s="4">
        <f>IF(COUNT(CH17:CH36)=20,IFERROR(ROUND(STDEV(CH17:CH36),4),""),"")</f>
        <v/>
      </c>
      <c r="CK17" s="4">
        <f>IF(COUNT(CE17:CE18)=2,ROUND((CE17/CE18-1)*100,4),"")</f>
        <v/>
      </c>
      <c r="CL17" s="5">
        <f>IF(COUNT(CE17:CE18)=2,(CE17-CE18)*100,"")</f>
        <v/>
      </c>
      <c r="CM17" s="3" t="n"/>
      <c r="CN17" s="4">
        <f>IFERROR(BO17-BN17,"")</f>
        <v/>
      </c>
      <c r="CO17" s="4">
        <f>IFERROR(BP17-BN17,"")</f>
        <v/>
      </c>
      <c r="CP17" s="6">
        <f>IF(COUNT(BM17:BM36)=20,IFERROR(CORREL(BM17:BM36,BN17:BN36),""),"")</f>
        <v/>
      </c>
      <c r="CQ17" s="4">
        <f>IFERROR(BQ17-BR17,"")</f>
        <v/>
      </c>
      <c r="CR17" s="4">
        <f>IFERROR(BS17-BT17,"")</f>
        <v/>
      </c>
      <c r="CS17" s="6">
        <f>BZ17/CE17</f>
        <v/>
      </c>
      <c r="CT17" s="4">
        <f>IFERROR(BN17-BU17,"")</f>
        <v/>
      </c>
    </row>
    <row r="18">
      <c r="A18" s="3" t="inlineStr">
        <is>
          <t>2026/08/05</t>
        </is>
      </c>
      <c r="B18" s="3" t="n">
        <v>775.85</v>
      </c>
      <c r="C18" s="3" t="n">
        <v>776.85</v>
      </c>
      <c r="D18" s="3" t="n">
        <v>769.51</v>
      </c>
      <c r="E18" s="3" t="n">
        <v>769.79</v>
      </c>
      <c r="F18" s="3" t="n">
        <v>769.79</v>
      </c>
      <c r="G18" s="3" t="n">
        <v>44689100</v>
      </c>
      <c r="H18" s="3" t="n"/>
      <c r="I18" s="3" t="n">
        <v>82.95</v>
      </c>
      <c r="J18" s="3" t="n">
        <v>83.15000000000001</v>
      </c>
      <c r="K18" s="3" t="n">
        <v>82.8</v>
      </c>
      <c r="L18" s="3" t="n">
        <v>83</v>
      </c>
      <c r="M18" s="3" t="n">
        <v>83</v>
      </c>
      <c r="N18" s="3" t="n">
        <v>29465800</v>
      </c>
      <c r="O18" s="3" t="n"/>
      <c r="P18" s="3" t="n">
        <v>79.55</v>
      </c>
      <c r="Q18" s="3" t="n">
        <v>79.56</v>
      </c>
      <c r="R18" s="3" t="n">
        <v>79.44</v>
      </c>
      <c r="S18" s="3" t="n">
        <v>79.52</v>
      </c>
      <c r="T18" s="3" t="n">
        <v>79.52</v>
      </c>
      <c r="U18" s="3" t="n">
        <v>25771800</v>
      </c>
      <c r="V18" s="3" t="n"/>
      <c r="W18" s="3" t="n">
        <v>95.77</v>
      </c>
      <c r="X18" s="3" t="n">
        <v>95.79000000000001</v>
      </c>
      <c r="Y18" s="3" t="n">
        <v>95.64</v>
      </c>
      <c r="Z18" s="3" t="n">
        <v>95.67</v>
      </c>
      <c r="AA18" s="3" t="n">
        <v>95.67</v>
      </c>
      <c r="AB18" s="3" t="n">
        <v>3009000</v>
      </c>
      <c r="AC18" s="3" t="n"/>
      <c r="AD18" s="3" t="n">
        <v>28.1</v>
      </c>
      <c r="AE18" s="3" t="n">
        <v>28.12</v>
      </c>
      <c r="AF18" s="3" t="n">
        <v>28.08</v>
      </c>
      <c r="AG18" s="3" t="n">
        <v>28.09</v>
      </c>
      <c r="AH18" s="3" t="n">
        <v>28.09</v>
      </c>
      <c r="AI18" s="3" t="n">
        <v>2092700</v>
      </c>
      <c r="AJ18" s="3" t="n"/>
      <c r="AK18" s="3" t="n">
        <v>384.96</v>
      </c>
      <c r="AL18" s="3" t="n">
        <v>391.51</v>
      </c>
      <c r="AM18" s="3" t="n">
        <v>384.32</v>
      </c>
      <c r="AN18" s="3" t="n">
        <v>389.64</v>
      </c>
      <c r="AO18" s="3" t="n">
        <v>389.64</v>
      </c>
      <c r="AP18" s="3" t="n">
        <v>14758700</v>
      </c>
      <c r="AQ18" s="3" t="n"/>
      <c r="AR18" s="3" t="n">
        <v>187.34</v>
      </c>
      <c r="AS18" s="3" t="n">
        <v>188.62</v>
      </c>
      <c r="AT18" s="3" t="n">
        <v>185.71</v>
      </c>
      <c r="AU18" s="3" t="n">
        <v>185.91</v>
      </c>
      <c r="AV18" s="3" t="n">
        <v>185.91</v>
      </c>
      <c r="AW18" s="3" t="n">
        <v>7571400</v>
      </c>
      <c r="AX18" s="3" t="n"/>
      <c r="AY18" s="3" t="n">
        <v>58.18</v>
      </c>
      <c r="AZ18" s="3" t="n">
        <v>58.41</v>
      </c>
      <c r="BA18" s="3" t="n">
        <v>57.8</v>
      </c>
      <c r="BB18" s="3" t="n">
        <v>58</v>
      </c>
      <c r="BC18" s="3" t="n">
        <v>58</v>
      </c>
      <c r="BD18" s="3" t="n">
        <v>34275600</v>
      </c>
      <c r="BE18" s="3" t="n"/>
      <c r="BF18" s="3" t="n">
        <v>107.05</v>
      </c>
      <c r="BG18" s="3" t="n">
        <v>107.11</v>
      </c>
      <c r="BH18" s="3" t="n">
        <v>106.92</v>
      </c>
      <c r="BI18" s="3" t="n">
        <v>107</v>
      </c>
      <c r="BJ18" s="3" t="n">
        <v>107</v>
      </c>
      <c r="BK18" s="3" t="n">
        <v>1768800</v>
      </c>
      <c r="BL18" s="3" t="n"/>
      <c r="BM18" s="4">
        <f>IF(COUNT(F18:F19)=2,ROUND((F18/F19-1)*100,4),"")</f>
        <v/>
      </c>
      <c r="BN18" s="4">
        <f>IF(COUNT(M18:M19)=2,ROUND((M18/M19-1)*100,4),"")</f>
        <v/>
      </c>
      <c r="BO18" s="4">
        <f>IF(COUNT(T18:T19)=2,ROUND((T18/T19-1)*100,4),"")</f>
        <v/>
      </c>
      <c r="BP18" s="4">
        <f>IF(COUNT(AA18:AA19)=2,ROUND((AA18/AA19-1)*100,4),"")</f>
        <v/>
      </c>
      <c r="BQ18" s="4">
        <f>IF(COUNT(AH18:AH19)=2,ROUND((AH18/AH19-1)*100,4),"")</f>
        <v/>
      </c>
      <c r="BR18" s="4">
        <f>IF(COUNT(AO18:AO19)=2,ROUND((AO18/AO19-1)*100,4),"")</f>
        <v/>
      </c>
      <c r="BS18" s="4">
        <f>IF(COUNT(AV18:AV19)=2,ROUND((AV18/AV19-1)*100,4),"")</f>
        <v/>
      </c>
      <c r="BT18" s="4">
        <f>IF(COUNT(BC18:BC19)=2,ROUND((BC18/BC19-1)*100,4),"")</f>
        <v/>
      </c>
      <c r="BU18" s="4">
        <f>IF(COUNT(BJ18:BJ19)=2,ROUND((BJ18/BJ19-1)*100,4),"")</f>
        <v/>
      </c>
      <c r="BV18" s="3" t="n"/>
      <c r="BW18" s="3" t="n">
        <v>16.15</v>
      </c>
      <c r="BX18" s="3" t="n">
        <v>18.43</v>
      </c>
      <c r="BY18" s="3" t="n">
        <v>15.48</v>
      </c>
      <c r="BZ18" s="3" t="n">
        <v>15.81</v>
      </c>
      <c r="CA18" s="3" t="n"/>
      <c r="CB18" s="3" t="n">
        <v>4.609</v>
      </c>
      <c r="CC18" s="3" t="n">
        <v>4.639</v>
      </c>
      <c r="CD18" s="3" t="n">
        <v>4.607</v>
      </c>
      <c r="CE18" s="3" t="n">
        <v>4.617</v>
      </c>
      <c r="CF18" s="3" t="n"/>
      <c r="CG18" s="4">
        <f>IF(COUNT(BZ18:BZ19)=2,ROUND((BZ18/BZ19-1)*100,4),"")</f>
        <v/>
      </c>
      <c r="CH18" s="4">
        <f>IF(COUNT(BZ18:BZ19)=2,ROUND((BZ18/BZ19-1)*100,4),"")</f>
        <v/>
      </c>
      <c r="CI18" s="4">
        <f>IF(COUNT(BZ18:BZ23)=6,ROUND((BZ18/BZ23-1)*100,4),"")</f>
        <v/>
      </c>
      <c r="CJ18" s="4">
        <f>IF(COUNT(CH18:CH37)=20,IFERROR(ROUND(STDEV(CH18:CH37),4),""),"")</f>
        <v/>
      </c>
      <c r="CK18" s="4">
        <f>IF(COUNT(CE18:CE19)=2,ROUND((CE18/CE19-1)*100,4),"")</f>
        <v/>
      </c>
      <c r="CL18" s="5">
        <f>IF(COUNT(CE18:CE19)=2,(CE18-CE19)*100,"")</f>
        <v/>
      </c>
      <c r="CM18" s="3" t="n"/>
      <c r="CN18" s="4">
        <f>IFERROR(BO18-BN18,"")</f>
        <v/>
      </c>
      <c r="CO18" s="4">
        <f>IFERROR(BP18-BN18,"")</f>
        <v/>
      </c>
      <c r="CP18" s="6">
        <f>IF(COUNT(BM18:BM37)=20,IFERROR(CORREL(BM18:BM37,BN18:BN37),""),"")</f>
        <v/>
      </c>
      <c r="CQ18" s="4">
        <f>IFERROR(BQ18-BR18,"")</f>
        <v/>
      </c>
      <c r="CR18" s="4">
        <f>IFERROR(BS18-BT18,"")</f>
        <v/>
      </c>
      <c r="CS18" s="6">
        <f>BZ18/CE18</f>
        <v/>
      </c>
      <c r="CT18" s="4">
        <f>IFERROR(BN18-BU18,"")</f>
        <v/>
      </c>
    </row>
    <row r="19">
      <c r="A19" s="3" t="inlineStr">
        <is>
          <t>2026/08/04</t>
        </is>
      </c>
      <c r="B19" s="3" t="n">
        <v>760.63</v>
      </c>
      <c r="C19" s="3" t="n">
        <v>773.41</v>
      </c>
      <c r="D19" s="3" t="n">
        <v>760.52</v>
      </c>
      <c r="E19" s="3" t="n">
        <v>771.33</v>
      </c>
      <c r="F19" s="3" t="n">
        <v>771.33</v>
      </c>
      <c r="G19" s="3" t="n">
        <v>69154800</v>
      </c>
      <c r="H19" s="3" t="n"/>
      <c r="I19" s="3" t="n">
        <v>82.65000000000001</v>
      </c>
      <c r="J19" s="3" t="n">
        <v>82.84</v>
      </c>
      <c r="K19" s="3" t="n">
        <v>82.56999999999999</v>
      </c>
      <c r="L19" s="3" t="n">
        <v>82.81999999999999</v>
      </c>
      <c r="M19" s="3" t="n">
        <v>82.81999999999999</v>
      </c>
      <c r="N19" s="3" t="n">
        <v>38408600</v>
      </c>
      <c r="O19" s="3" t="n"/>
      <c r="P19" s="3" t="n">
        <v>79.37</v>
      </c>
      <c r="Q19" s="3" t="n">
        <v>79.59999999999999</v>
      </c>
      <c r="R19" s="3" t="n">
        <v>79.37</v>
      </c>
      <c r="S19" s="3" t="n">
        <v>79.55</v>
      </c>
      <c r="T19" s="3" t="n">
        <v>79.55</v>
      </c>
      <c r="U19" s="3" t="n">
        <v>46524700</v>
      </c>
      <c r="V19" s="3" t="n"/>
      <c r="W19" s="3" t="n">
        <v>95.48999999999999</v>
      </c>
      <c r="X19" s="3" t="n">
        <v>95.81999999999999</v>
      </c>
      <c r="Y19" s="3" t="n">
        <v>95.45</v>
      </c>
      <c r="Z19" s="3" t="n">
        <v>95.75</v>
      </c>
      <c r="AA19" s="3" t="n">
        <v>95.75</v>
      </c>
      <c r="AB19" s="3" t="n">
        <v>3982700</v>
      </c>
      <c r="AC19" s="3" t="n"/>
      <c r="AD19" s="3" t="n">
        <v>28.16</v>
      </c>
      <c r="AE19" s="3" t="n">
        <v>28.17</v>
      </c>
      <c r="AF19" s="3" t="n">
        <v>28.13</v>
      </c>
      <c r="AG19" s="3" t="n">
        <v>28.16</v>
      </c>
      <c r="AH19" s="3" t="n">
        <v>28.16</v>
      </c>
      <c r="AI19" s="3" t="n">
        <v>2144400</v>
      </c>
      <c r="AJ19" s="3" t="n"/>
      <c r="AK19" s="3" t="n">
        <v>374.14</v>
      </c>
      <c r="AL19" s="3" t="n">
        <v>376.69</v>
      </c>
      <c r="AM19" s="3" t="n">
        <v>373.71</v>
      </c>
      <c r="AN19" s="3" t="n">
        <v>374.16</v>
      </c>
      <c r="AO19" s="3" t="n">
        <v>374.16</v>
      </c>
      <c r="AP19" s="3" t="n">
        <v>5723100</v>
      </c>
      <c r="AQ19" s="3" t="n"/>
      <c r="AR19" s="3" t="n">
        <v>182.52</v>
      </c>
      <c r="AS19" s="3" t="n">
        <v>187.71</v>
      </c>
      <c r="AT19" s="3" t="n">
        <v>181.87</v>
      </c>
      <c r="AU19" s="3" t="n">
        <v>186.9</v>
      </c>
      <c r="AV19" s="3" t="n">
        <v>186.9</v>
      </c>
      <c r="AW19" s="3" t="n">
        <v>13495800</v>
      </c>
      <c r="AX19" s="3" t="n"/>
      <c r="AY19" s="3" t="n">
        <v>57.22</v>
      </c>
      <c r="AZ19" s="3" t="n">
        <v>58.02</v>
      </c>
      <c r="BA19" s="3" t="n">
        <v>57.19</v>
      </c>
      <c r="BB19" s="3" t="n">
        <v>57.88</v>
      </c>
      <c r="BC19" s="3" t="n">
        <v>57.88</v>
      </c>
      <c r="BD19" s="3" t="n">
        <v>31466100</v>
      </c>
      <c r="BE19" s="3" t="n"/>
      <c r="BF19" s="3" t="n">
        <v>107.1</v>
      </c>
      <c r="BG19" s="3" t="n">
        <v>107.13</v>
      </c>
      <c r="BH19" s="3" t="n">
        <v>106.99</v>
      </c>
      <c r="BI19" s="3" t="n">
        <v>107.05</v>
      </c>
      <c r="BJ19" s="3" t="n">
        <v>107.05</v>
      </c>
      <c r="BK19" s="3" t="n">
        <v>2324900</v>
      </c>
      <c r="BL19" s="3" t="n"/>
      <c r="BM19" s="4">
        <f>IF(COUNT(F19:F20)=2,ROUND((F19/F20-1)*100,4),"")</f>
        <v/>
      </c>
      <c r="BN19" s="4">
        <f>IF(COUNT(M19:M20)=2,ROUND((M19/M20-1)*100,4),"")</f>
        <v/>
      </c>
      <c r="BO19" s="4">
        <f>IF(COUNT(T19:T20)=2,ROUND((T19/T20-1)*100,4),"")</f>
        <v/>
      </c>
      <c r="BP19" s="4">
        <f>IF(COUNT(AA19:AA20)=2,ROUND((AA19/AA20-1)*100,4),"")</f>
        <v/>
      </c>
      <c r="BQ19" s="4">
        <f>IF(COUNT(AH19:AH20)=2,ROUND((AH19/AH20-1)*100,4),"")</f>
        <v/>
      </c>
      <c r="BR19" s="4">
        <f>IF(COUNT(AO19:AO20)=2,ROUND((AO19/AO20-1)*100,4),"")</f>
        <v/>
      </c>
      <c r="BS19" s="4">
        <f>IF(COUNT(AV19:AV20)=2,ROUND((AV19/AV20-1)*100,4),"")</f>
        <v/>
      </c>
      <c r="BT19" s="4">
        <f>IF(COUNT(BC19:BC20)=2,ROUND((BC19/BC20-1)*100,4),"")</f>
        <v/>
      </c>
      <c r="BU19" s="4">
        <f>IF(COUNT(BJ19:BJ20)=2,ROUND((BJ19/BJ20-1)*100,4),"")</f>
        <v/>
      </c>
      <c r="BV19" s="3" t="n"/>
      <c r="BW19" s="3" t="n">
        <v>15.76</v>
      </c>
      <c r="BX19" s="3" t="n">
        <v>16.65</v>
      </c>
      <c r="BY19" s="3" t="n">
        <v>15.51</v>
      </c>
      <c r="BZ19" s="3" t="n">
        <v>16.5</v>
      </c>
      <c r="CA19" s="3" t="n"/>
      <c r="CB19" s="3" t="n">
        <v>4.665</v>
      </c>
      <c r="CC19" s="3" t="n">
        <v>4.668</v>
      </c>
      <c r="CD19" s="3" t="n">
        <v>4.619</v>
      </c>
      <c r="CE19" s="3" t="n">
        <v>4.627</v>
      </c>
      <c r="CF19" s="3" t="n"/>
      <c r="CG19" s="4">
        <f>IF(COUNT(BZ19:BZ20)=2,ROUND((BZ19/BZ20-1)*100,4),"")</f>
        <v/>
      </c>
      <c r="CH19" s="4">
        <f>IF(COUNT(BZ19:BZ20)=2,ROUND((BZ19/BZ20-1)*100,4),"")</f>
        <v/>
      </c>
      <c r="CI19" s="4">
        <f>IF(COUNT(BZ19:BZ24)=6,ROUND((BZ19/BZ24-1)*100,4),"")</f>
        <v/>
      </c>
      <c r="CJ19" s="4">
        <f>IF(COUNT(CH19:CH38)=20,IFERROR(ROUND(STDEV(CH19:CH38),4),""),"")</f>
        <v/>
      </c>
      <c r="CK19" s="4">
        <f>IF(COUNT(CE19:CE20)=2,ROUND((CE19/CE20-1)*100,4),"")</f>
        <v/>
      </c>
      <c r="CL19" s="5">
        <f>IF(COUNT(CE19:CE20)=2,(CE19-CE20)*100,"")</f>
        <v/>
      </c>
      <c r="CM19" s="3" t="n"/>
      <c r="CN19" s="4">
        <f>IFERROR(BO19-BN19,"")</f>
        <v/>
      </c>
      <c r="CO19" s="4">
        <f>IFERROR(BP19-BN19,"")</f>
        <v/>
      </c>
      <c r="CP19" s="6">
        <f>IF(COUNT(BM19:BM38)=20,IFERROR(CORREL(BM19:BM38,BN19:BN38),""),"")</f>
        <v/>
      </c>
      <c r="CQ19" s="4">
        <f>IFERROR(BQ19-BR19,"")</f>
        <v/>
      </c>
      <c r="CR19" s="4">
        <f>IFERROR(BS19-BT19,"")</f>
        <v/>
      </c>
      <c r="CS19" s="6">
        <f>BZ19/CE19</f>
        <v/>
      </c>
      <c r="CT19" s="4">
        <f>IFERROR(BN19-BU19,"")</f>
        <v/>
      </c>
    </row>
    <row r="20">
      <c r="A20" s="3" t="inlineStr">
        <is>
          <t>2026/08/03</t>
        </is>
      </c>
      <c r="B20" s="3" t="n">
        <v>749.4400000000001</v>
      </c>
      <c r="C20" s="3" t="n">
        <v>758.58</v>
      </c>
      <c r="D20" s="3" t="n">
        <v>748.8</v>
      </c>
      <c r="E20" s="3" t="n">
        <v>757.67</v>
      </c>
      <c r="F20" s="3" t="n">
        <v>757.67</v>
      </c>
      <c r="G20" s="3" t="n">
        <v>59927500</v>
      </c>
      <c r="H20" s="3" t="n"/>
      <c r="I20" s="3" t="n">
        <v>82.23999999999999</v>
      </c>
      <c r="J20" s="3" t="n">
        <v>82.34999999999999</v>
      </c>
      <c r="K20" s="3" t="n">
        <v>82.01000000000001</v>
      </c>
      <c r="L20" s="3" t="n">
        <v>82.19</v>
      </c>
      <c r="M20" s="3" t="n">
        <v>82.19</v>
      </c>
      <c r="N20" s="3" t="n">
        <v>32050800</v>
      </c>
      <c r="O20" s="3" t="n"/>
      <c r="P20" s="3" t="n">
        <v>79.25</v>
      </c>
      <c r="Q20" s="3" t="n">
        <v>79.33</v>
      </c>
      <c r="R20" s="3" t="n">
        <v>79.15000000000001</v>
      </c>
      <c r="S20" s="3" t="n">
        <v>79.31</v>
      </c>
      <c r="T20" s="3" t="n">
        <v>79.31</v>
      </c>
      <c r="U20" s="3" t="n">
        <v>30860100</v>
      </c>
      <c r="V20" s="3" t="n"/>
      <c r="W20" s="3" t="n">
        <v>95.29000000000001</v>
      </c>
      <c r="X20" s="3" t="n">
        <v>95.47</v>
      </c>
      <c r="Y20" s="3" t="n">
        <v>95.23</v>
      </c>
      <c r="Z20" s="3" t="n">
        <v>95.45</v>
      </c>
      <c r="AA20" s="3" t="n">
        <v>95.45</v>
      </c>
      <c r="AB20" s="3" t="n">
        <v>3460600</v>
      </c>
      <c r="AC20" s="3" t="n"/>
      <c r="AD20" s="3" t="n">
        <v>28.11</v>
      </c>
      <c r="AE20" s="3" t="n">
        <v>28.19</v>
      </c>
      <c r="AF20" s="3" t="n">
        <v>28.11</v>
      </c>
      <c r="AG20" s="3" t="n">
        <v>28.17</v>
      </c>
      <c r="AH20" s="3" t="n">
        <v>28.17</v>
      </c>
      <c r="AI20" s="3" t="n">
        <v>2506000</v>
      </c>
      <c r="AJ20" s="3" t="n"/>
      <c r="AK20" s="3" t="n">
        <v>370.1</v>
      </c>
      <c r="AL20" s="3" t="n">
        <v>372.04</v>
      </c>
      <c r="AM20" s="3" t="n">
        <v>368.64</v>
      </c>
      <c r="AN20" s="3" t="n">
        <v>371.71</v>
      </c>
      <c r="AO20" s="3" t="n">
        <v>371.71</v>
      </c>
      <c r="AP20" s="3" t="n">
        <v>4968900</v>
      </c>
      <c r="AQ20" s="3" t="n"/>
      <c r="AR20" s="3" t="n">
        <v>174.01</v>
      </c>
      <c r="AS20" s="3" t="n">
        <v>178.92</v>
      </c>
      <c r="AT20" s="3" t="n">
        <v>173.04</v>
      </c>
      <c r="AU20" s="3" t="n">
        <v>178.04</v>
      </c>
      <c r="AV20" s="3" t="n">
        <v>178.04</v>
      </c>
      <c r="AW20" s="3" t="n">
        <v>9343400</v>
      </c>
      <c r="AX20" s="3" t="n"/>
      <c r="AY20" s="3" t="n">
        <v>57.29</v>
      </c>
      <c r="AZ20" s="3" t="n">
        <v>57.55</v>
      </c>
      <c r="BA20" s="3" t="n">
        <v>57</v>
      </c>
      <c r="BB20" s="3" t="n">
        <v>57.38</v>
      </c>
      <c r="BC20" s="3" t="n">
        <v>57.38</v>
      </c>
      <c r="BD20" s="3" t="n">
        <v>31019400</v>
      </c>
      <c r="BE20" s="3" t="n"/>
      <c r="BF20" s="3" t="n">
        <v>106.89</v>
      </c>
      <c r="BG20" s="3" t="n">
        <v>106.97</v>
      </c>
      <c r="BH20" s="3" t="n">
        <v>106.76</v>
      </c>
      <c r="BI20" s="3" t="n">
        <v>106.86</v>
      </c>
      <c r="BJ20" s="3" t="n">
        <v>106.86</v>
      </c>
      <c r="BK20" s="3" t="n">
        <v>2609900</v>
      </c>
      <c r="BL20" s="3" t="n"/>
      <c r="BM20" s="4">
        <f>IF(COUNT(F20:F21)=2,ROUND((F20/F21-1)*100,4),"")</f>
        <v/>
      </c>
      <c r="BN20" s="4">
        <f>IF(COUNT(M20:M21)=2,ROUND((M20/M21-1)*100,4),"")</f>
        <v/>
      </c>
      <c r="BO20" s="4">
        <f>IF(COUNT(T20:T21)=2,ROUND((T20/T21-1)*100,4),"")</f>
        <v/>
      </c>
      <c r="BP20" s="4">
        <f>IF(COUNT(AA20:AA21)=2,ROUND((AA20/AA21-1)*100,4),"")</f>
        <v/>
      </c>
      <c r="BQ20" s="4">
        <f>IF(COUNT(AH20:AH21)=2,ROUND((AH20/AH21-1)*100,4),"")</f>
        <v/>
      </c>
      <c r="BR20" s="4">
        <f>IF(COUNT(AO20:AO21)=2,ROUND((AO20/AO21-1)*100,4),"")</f>
        <v/>
      </c>
      <c r="BS20" s="4">
        <f>IF(COUNT(AV20:AV21)=2,ROUND((AV20/AV21-1)*100,4),"")</f>
        <v/>
      </c>
      <c r="BT20" s="4">
        <f>IF(COUNT(BC20:BC21)=2,ROUND((BC20/BC21-1)*100,4),"")</f>
        <v/>
      </c>
      <c r="BU20" s="4">
        <f>IF(COUNT(BJ20:BJ21)=2,ROUND((BJ20/BJ21-1)*100,4),"")</f>
        <v/>
      </c>
      <c r="BV20" s="3" t="n"/>
      <c r="BW20" s="3" t="n">
        <v>16.03</v>
      </c>
      <c r="BX20" s="3" t="n">
        <v>16.3</v>
      </c>
      <c r="BY20" s="3" t="n">
        <v>15.54</v>
      </c>
      <c r="BZ20" s="3" t="n">
        <v>15.86</v>
      </c>
      <c r="CA20" s="3" t="n"/>
      <c r="CB20" s="3" t="n">
        <v>4.671</v>
      </c>
      <c r="CC20" s="3" t="n">
        <v>4.702</v>
      </c>
      <c r="CD20" s="3" t="n">
        <v>4.671</v>
      </c>
      <c r="CE20" s="3" t="n">
        <v>4.686</v>
      </c>
      <c r="CF20" s="3" t="n"/>
      <c r="CG20" s="4">
        <f>IF(COUNT(BZ20:BZ21)=2,ROUND((BZ20/BZ21-1)*100,4),"")</f>
        <v/>
      </c>
      <c r="CH20" s="4">
        <f>IF(COUNT(BZ20:BZ21)=2,ROUND((BZ20/BZ21-1)*100,4),"")</f>
        <v/>
      </c>
      <c r="CI20" s="4">
        <f>IF(COUNT(BZ20:BZ25)=6,ROUND((BZ20/BZ25-1)*100,4),"")</f>
        <v/>
      </c>
      <c r="CJ20" s="4">
        <f>IF(COUNT(CH20:CH39)=20,IFERROR(ROUND(STDEV(CH20:CH39),4),""),"")</f>
        <v/>
      </c>
      <c r="CK20" s="4">
        <f>IF(COUNT(CE20:CE21)=2,ROUND((CE20/CE21-1)*100,4),"")</f>
        <v/>
      </c>
      <c r="CL20" s="5">
        <f>IF(COUNT(CE20:CE21)=2,(CE20-CE21)*100,"")</f>
        <v/>
      </c>
      <c r="CM20" s="3" t="n"/>
      <c r="CN20" s="4">
        <f>IFERROR(BO20-BN20,"")</f>
        <v/>
      </c>
      <c r="CO20" s="4">
        <f>IFERROR(BP20-BN20,"")</f>
        <v/>
      </c>
      <c r="CP20" s="6">
        <f>IF(COUNT(BM20:BM39)=20,IFERROR(CORREL(BM20:BM39,BN20:BN39),""),"")</f>
        <v/>
      </c>
      <c r="CQ20" s="4">
        <f>IFERROR(BQ20-BR20,"")</f>
        <v/>
      </c>
      <c r="CR20" s="4">
        <f>IFERROR(BS20-BT20,"")</f>
        <v/>
      </c>
      <c r="CS20" s="6">
        <f>BZ20/CE20</f>
        <v/>
      </c>
      <c r="CT20" s="4">
        <f>IFERROR(BN20-BU20,"")</f>
        <v/>
      </c>
    </row>
    <row r="21">
      <c r="A21" s="3" t="inlineStr">
        <is>
          <t>2026/07/31</t>
        </is>
      </c>
      <c r="B21" s="3" t="n">
        <v>744.6799999999999</v>
      </c>
      <c r="C21" s="3" t="n">
        <v>748.9</v>
      </c>
      <c r="D21" s="3" t="n">
        <v>737.6799999999999</v>
      </c>
      <c r="E21" s="3" t="n">
        <v>747.03</v>
      </c>
      <c r="F21" s="3" t="n">
        <v>747.03</v>
      </c>
      <c r="G21" s="3" t="n">
        <v>62445900</v>
      </c>
      <c r="H21" s="3" t="n"/>
      <c r="I21" s="3" t="n">
        <v>82.45</v>
      </c>
      <c r="J21" s="3" t="n">
        <v>82.45</v>
      </c>
      <c r="K21" s="3" t="n">
        <v>81.89</v>
      </c>
      <c r="L21" s="3" t="n">
        <v>82.25</v>
      </c>
      <c r="M21" s="3" t="n">
        <v>81.92</v>
      </c>
      <c r="N21" s="3" t="n">
        <v>50359800</v>
      </c>
      <c r="O21" s="3" t="n"/>
      <c r="P21" s="3" t="n">
        <v>79.45999999999999</v>
      </c>
      <c r="Q21" s="3" t="n">
        <v>79.54000000000001</v>
      </c>
      <c r="R21" s="3" t="n">
        <v>79.23999999999999</v>
      </c>
      <c r="S21" s="3" t="n">
        <v>79.48</v>
      </c>
      <c r="T21" s="3" t="n">
        <v>79.096</v>
      </c>
      <c r="U21" s="3" t="n">
        <v>38659800</v>
      </c>
      <c r="V21" s="3" t="n"/>
      <c r="W21" s="3" t="n">
        <v>95.65000000000001</v>
      </c>
      <c r="X21" s="3" t="n">
        <v>95.76000000000001</v>
      </c>
      <c r="Y21" s="3" t="n">
        <v>95.37</v>
      </c>
      <c r="Z21" s="3" t="n">
        <v>95.68000000000001</v>
      </c>
      <c r="AA21" s="3" t="n">
        <v>95.15300000000001</v>
      </c>
      <c r="AB21" s="3" t="n">
        <v>4787100</v>
      </c>
      <c r="AC21" s="3" t="n"/>
      <c r="AD21" s="3" t="n">
        <v>28.24</v>
      </c>
      <c r="AE21" s="3" t="n">
        <v>28.31</v>
      </c>
      <c r="AF21" s="3" t="n">
        <v>28.13</v>
      </c>
      <c r="AG21" s="3" t="n">
        <v>28.17</v>
      </c>
      <c r="AH21" s="3" t="n">
        <v>28.17</v>
      </c>
      <c r="AI21" s="3" t="n">
        <v>2731200</v>
      </c>
      <c r="AJ21" s="3" t="n"/>
      <c r="AK21" s="3" t="n">
        <v>370.84</v>
      </c>
      <c r="AL21" s="3" t="n">
        <v>372.01</v>
      </c>
      <c r="AM21" s="3" t="n">
        <v>368.82</v>
      </c>
      <c r="AN21" s="3" t="n">
        <v>371.54</v>
      </c>
      <c r="AO21" s="3" t="n">
        <v>371.54</v>
      </c>
      <c r="AP21" s="3" t="n">
        <v>6825900</v>
      </c>
      <c r="AQ21" s="3" t="n"/>
      <c r="AR21" s="3" t="n">
        <v>177.46</v>
      </c>
      <c r="AS21" s="3" t="n">
        <v>178.62</v>
      </c>
      <c r="AT21" s="3" t="n">
        <v>172.7</v>
      </c>
      <c r="AU21" s="3" t="n">
        <v>175.35</v>
      </c>
      <c r="AV21" s="3" t="n">
        <v>175.35</v>
      </c>
      <c r="AW21" s="3" t="n">
        <v>9146200</v>
      </c>
      <c r="AX21" s="3" t="n"/>
      <c r="AY21" s="3" t="n">
        <v>56.81</v>
      </c>
      <c r="AZ21" s="3" t="n">
        <v>57.12</v>
      </c>
      <c r="BA21" s="3" t="n">
        <v>56.69</v>
      </c>
      <c r="BB21" s="3" t="n">
        <v>56.94</v>
      </c>
      <c r="BC21" s="3" t="n">
        <v>56.94</v>
      </c>
      <c r="BD21" s="3" t="n">
        <v>32543500</v>
      </c>
      <c r="BE21" s="3" t="n"/>
      <c r="BF21" s="3" t="n">
        <v>107.55</v>
      </c>
      <c r="BG21" s="3" t="n">
        <v>107.63</v>
      </c>
      <c r="BH21" s="3" t="n">
        <v>107.34</v>
      </c>
      <c r="BI21" s="3" t="n">
        <v>107.63</v>
      </c>
      <c r="BJ21" s="3" t="n">
        <v>106.846</v>
      </c>
      <c r="BK21" s="3" t="n">
        <v>3868300</v>
      </c>
      <c r="BL21" s="3" t="n"/>
      <c r="BM21" s="4">
        <f>IF(COUNT(F21:F22)=2,ROUND((F21/F22-1)*100,4),"")</f>
        <v/>
      </c>
      <c r="BN21" s="4">
        <f>IF(COUNT(M21:M22)=2,ROUND((M21/M22-1)*100,4),"")</f>
        <v/>
      </c>
      <c r="BO21" s="4">
        <f>IF(COUNT(T21:T22)=2,ROUND((T21/T22-1)*100,4),"")</f>
        <v/>
      </c>
      <c r="BP21" s="4">
        <f>IF(COUNT(AA21:AA22)=2,ROUND((AA21/AA22-1)*100,4),"")</f>
        <v/>
      </c>
      <c r="BQ21" s="4">
        <f>IF(COUNT(AH21:AH22)=2,ROUND((AH21/AH22-1)*100,4),"")</f>
        <v/>
      </c>
      <c r="BR21" s="4">
        <f>IF(COUNT(AO21:AO22)=2,ROUND((AO21/AO22-1)*100,4),"")</f>
        <v/>
      </c>
      <c r="BS21" s="4">
        <f>IF(COUNT(AV21:AV22)=2,ROUND((AV21/AV22-1)*100,4),"")</f>
        <v/>
      </c>
      <c r="BT21" s="4">
        <f>IF(COUNT(BC21:BC22)=2,ROUND((BC21/BC22-1)*100,4),"")</f>
        <v/>
      </c>
      <c r="BU21" s="4">
        <f>IF(COUNT(BJ21:BJ22)=2,ROUND((BJ21/BJ22-1)*100,4),"")</f>
        <v/>
      </c>
      <c r="BV21" s="3" t="n"/>
      <c r="BW21" s="3" t="n">
        <v>16.82</v>
      </c>
      <c r="BX21" s="3" t="n">
        <v>18.7</v>
      </c>
      <c r="BY21" s="3" t="n">
        <v>15.82</v>
      </c>
      <c r="BZ21" s="3" t="n">
        <v>15.99</v>
      </c>
      <c r="CA21" s="3" t="n"/>
      <c r="CB21" s="3" t="n">
        <v>4.684</v>
      </c>
      <c r="CC21" s="3" t="n">
        <v>4.747</v>
      </c>
      <c r="CD21" s="3" t="n">
        <v>4.682</v>
      </c>
      <c r="CE21" s="3" t="n">
        <v>4.745</v>
      </c>
      <c r="CF21" s="3" t="n"/>
      <c r="CG21" s="4">
        <f>IF(COUNT(BZ21:BZ22)=2,ROUND((BZ21/BZ22-1)*100,4),"")</f>
        <v/>
      </c>
      <c r="CH21" s="4">
        <f>IF(COUNT(BZ21:BZ22)=2,ROUND((BZ21/BZ22-1)*100,4),"")</f>
        <v/>
      </c>
      <c r="CI21" s="4">
        <f>IF(COUNT(BZ21:BZ26)=6,ROUND((BZ21/BZ26-1)*100,4),"")</f>
        <v/>
      </c>
      <c r="CJ21" s="4">
        <f>IF(COUNT(CH21:CH40)=20,IFERROR(ROUND(STDEV(CH21:CH40),4),""),"")</f>
        <v/>
      </c>
      <c r="CK21" s="4">
        <f>IF(COUNT(CE21:CE22)=2,ROUND((CE21/CE22-1)*100,4),"")</f>
        <v/>
      </c>
      <c r="CL21" s="5">
        <f>IF(COUNT(CE21:CE22)=2,(CE21-CE22)*100,"")</f>
        <v/>
      </c>
      <c r="CM21" s="3" t="n"/>
      <c r="CN21" s="4">
        <f>IFERROR(BO21-BN21,"")</f>
        <v/>
      </c>
      <c r="CO21" s="4">
        <f>IFERROR(BP21-BN21,"")</f>
        <v/>
      </c>
      <c r="CP21" s="6">
        <f>IF(COUNT(BM21:BM40)=20,IFERROR(CORREL(BM21:BM40,BN21:BN40),""),"")</f>
        <v/>
      </c>
      <c r="CQ21" s="4">
        <f>IFERROR(BQ21-BR21,"")</f>
        <v/>
      </c>
      <c r="CR21" s="4">
        <f>IFERROR(BS21-BT21,"")</f>
        <v/>
      </c>
      <c r="CS21" s="6">
        <f>BZ21/CE21</f>
        <v/>
      </c>
      <c r="CT21" s="4">
        <f>IFERROR(BN21-BU21,"")</f>
        <v/>
      </c>
    </row>
    <row r="22">
      <c r="A22" s="3" t="inlineStr">
        <is>
          <t>2026/07/30</t>
        </is>
      </c>
      <c r="B22" s="3" t="n">
        <v>736.05</v>
      </c>
      <c r="C22" s="3" t="n">
        <v>742.45</v>
      </c>
      <c r="D22" s="3" t="n">
        <v>734.59</v>
      </c>
      <c r="E22" s="3" t="n">
        <v>741.6900000000001</v>
      </c>
      <c r="F22" s="3" t="n">
        <v>741.6900000000001</v>
      </c>
      <c r="G22" s="3" t="n">
        <v>66811300</v>
      </c>
      <c r="H22" s="3" t="n"/>
      <c r="I22" s="3" t="n">
        <v>82.81</v>
      </c>
      <c r="J22" s="3" t="n">
        <v>82.90000000000001</v>
      </c>
      <c r="K22" s="3" t="n">
        <v>82.52</v>
      </c>
      <c r="L22" s="3" t="n">
        <v>82.8</v>
      </c>
      <c r="M22" s="3" t="n">
        <v>82.4678</v>
      </c>
      <c r="N22" s="3" t="n">
        <v>40407300</v>
      </c>
      <c r="O22" s="3" t="n"/>
      <c r="P22" s="3" t="n">
        <v>79.38</v>
      </c>
      <c r="Q22" s="3" t="n">
        <v>79.5</v>
      </c>
      <c r="R22" s="3" t="n">
        <v>79.33</v>
      </c>
      <c r="S22" s="3" t="n">
        <v>79.47</v>
      </c>
      <c r="T22" s="3" t="n">
        <v>79.086</v>
      </c>
      <c r="U22" s="3" t="n">
        <v>30570700</v>
      </c>
      <c r="V22" s="3" t="n"/>
      <c r="W22" s="3" t="n">
        <v>95.52</v>
      </c>
      <c r="X22" s="3" t="n">
        <v>95.7</v>
      </c>
      <c r="Y22" s="3" t="n">
        <v>95.52</v>
      </c>
      <c r="Z22" s="3" t="n">
        <v>95.66</v>
      </c>
      <c r="AA22" s="3" t="n">
        <v>95.1331</v>
      </c>
      <c r="AB22" s="3" t="n">
        <v>3477300</v>
      </c>
      <c r="AC22" s="3" t="n"/>
      <c r="AD22" s="3" t="n">
        <v>28.36</v>
      </c>
      <c r="AE22" s="3" t="n">
        <v>28.36</v>
      </c>
      <c r="AF22" s="3" t="n">
        <v>28.12</v>
      </c>
      <c r="AG22" s="3" t="n">
        <v>28.14</v>
      </c>
      <c r="AH22" s="3" t="n">
        <v>28.14</v>
      </c>
      <c r="AI22" s="3" t="n">
        <v>4809000</v>
      </c>
      <c r="AJ22" s="3" t="n"/>
      <c r="AK22" s="3" t="n">
        <v>374.16</v>
      </c>
      <c r="AL22" s="3" t="n">
        <v>377.86</v>
      </c>
      <c r="AM22" s="3" t="n">
        <v>373.76</v>
      </c>
      <c r="AN22" s="3" t="n">
        <v>377.16</v>
      </c>
      <c r="AO22" s="3" t="n">
        <v>377.16</v>
      </c>
      <c r="AP22" s="3" t="n">
        <v>5968400</v>
      </c>
      <c r="AQ22" s="3" t="n"/>
      <c r="AR22" s="3" t="n">
        <v>172.81</v>
      </c>
      <c r="AS22" s="3" t="n">
        <v>176.09</v>
      </c>
      <c r="AT22" s="3" t="n">
        <v>172.16</v>
      </c>
      <c r="AU22" s="3" t="n">
        <v>175.73</v>
      </c>
      <c r="AV22" s="3" t="n">
        <v>175.73</v>
      </c>
      <c r="AW22" s="3" t="n">
        <v>15098400</v>
      </c>
      <c r="AX22" s="3" t="n"/>
      <c r="AY22" s="3" t="n">
        <v>56.82</v>
      </c>
      <c r="AZ22" s="3" t="n">
        <v>57.05</v>
      </c>
      <c r="BA22" s="3" t="n">
        <v>56.18</v>
      </c>
      <c r="BB22" s="3" t="n">
        <v>57</v>
      </c>
      <c r="BC22" s="3" t="n">
        <v>57</v>
      </c>
      <c r="BD22" s="3" t="n">
        <v>33184200</v>
      </c>
      <c r="BE22" s="3" t="n"/>
      <c r="BF22" s="3" t="n">
        <v>107.83</v>
      </c>
      <c r="BG22" s="3" t="n">
        <v>107.89</v>
      </c>
      <c r="BH22" s="3" t="n">
        <v>107.67</v>
      </c>
      <c r="BI22" s="3" t="n">
        <v>107.74</v>
      </c>
      <c r="BJ22" s="3" t="n">
        <v>106.9552</v>
      </c>
      <c r="BK22" s="3" t="n">
        <v>2203000</v>
      </c>
      <c r="BL22" s="3" t="n"/>
      <c r="BM22" s="4">
        <f>IF(COUNT(F22:F23)=2,ROUND((F22/F23-1)*100,4),"")</f>
        <v/>
      </c>
      <c r="BN22" s="4">
        <f>IF(COUNT(M22:M23)=2,ROUND((M22/M23-1)*100,4),"")</f>
        <v/>
      </c>
      <c r="BO22" s="4">
        <f>IF(COUNT(T22:T23)=2,ROUND((T22/T23-1)*100,4),"")</f>
        <v/>
      </c>
      <c r="BP22" s="4">
        <f>IF(COUNT(AA22:AA23)=2,ROUND((AA22/AA23-1)*100,4),"")</f>
        <v/>
      </c>
      <c r="BQ22" s="4">
        <f>IF(COUNT(AH22:AH23)=2,ROUND((AH22/AH23-1)*100,4),"")</f>
        <v/>
      </c>
      <c r="BR22" s="4">
        <f>IF(COUNT(AO22:AO23)=2,ROUND((AO22/AO23-1)*100,4),"")</f>
        <v/>
      </c>
      <c r="BS22" s="4">
        <f>IF(COUNT(AV22:AV23)=2,ROUND((AV22/AV23-1)*100,4),"")</f>
        <v/>
      </c>
      <c r="BT22" s="4">
        <f>IF(COUNT(BC22:BC23)=2,ROUND((BC22/BC23-1)*100,4),"")</f>
        <v/>
      </c>
      <c r="BU22" s="4">
        <f>IF(COUNT(BJ22:BJ23)=2,ROUND((BJ22/BJ23-1)*100,4),"")</f>
        <v/>
      </c>
      <c r="BV22" s="3" t="n"/>
      <c r="BW22" s="3" t="n">
        <v>19.56</v>
      </c>
      <c r="BX22" s="3" t="n">
        <v>20.08</v>
      </c>
      <c r="BY22" s="3" t="n">
        <v>17</v>
      </c>
      <c r="BZ22" s="3" t="n">
        <v>17.09</v>
      </c>
      <c r="CA22" s="3" t="n"/>
      <c r="CB22" s="3" t="n">
        <v>4.669</v>
      </c>
      <c r="CC22" s="3" t="n">
        <v>4.686</v>
      </c>
      <c r="CD22" s="3" t="n">
        <v>4.651</v>
      </c>
      <c r="CE22" s="3" t="n">
        <v>4.663</v>
      </c>
      <c r="CF22" s="3" t="n"/>
      <c r="CG22" s="4">
        <f>IF(COUNT(BZ22:BZ23)=2,ROUND((BZ22/BZ23-1)*100,4),"")</f>
        <v/>
      </c>
      <c r="CH22" s="4">
        <f>IF(COUNT(BZ22:BZ23)=2,ROUND((BZ22/BZ23-1)*100,4),"")</f>
        <v/>
      </c>
      <c r="CI22" s="4">
        <f>IF(COUNT(BZ22:BZ27)=6,ROUND((BZ22/BZ27-1)*100,4),"")</f>
        <v/>
      </c>
      <c r="CJ22" s="4">
        <f>IF(COUNT(CH22:CH41)=20,IFERROR(ROUND(STDEV(CH22:CH41),4),""),"")</f>
        <v/>
      </c>
      <c r="CK22" s="4">
        <f>IF(COUNT(CE22:CE23)=2,ROUND((CE22/CE23-1)*100,4),"")</f>
        <v/>
      </c>
      <c r="CL22" s="5">
        <f>IF(COUNT(CE22:CE23)=2,(CE22-CE23)*100,"")</f>
        <v/>
      </c>
      <c r="CM22" s="3" t="n"/>
      <c r="CN22" s="4">
        <f>IFERROR(BO22-BN22,"")</f>
        <v/>
      </c>
      <c r="CO22" s="4">
        <f>IFERROR(BP22-BN22,"")</f>
        <v/>
      </c>
      <c r="CP22" s="6">
        <f>IF(COUNT(BM22:BM41)=20,IFERROR(CORREL(BM22:BM41,BN22:BN41),""),"")</f>
        <v/>
      </c>
      <c r="CQ22" s="4">
        <f>IFERROR(BQ22-BR22,"")</f>
        <v/>
      </c>
      <c r="CR22" s="4">
        <f>IFERROR(BS22-BT22,"")</f>
        <v/>
      </c>
      <c r="CS22" s="6">
        <f>BZ22/CE22</f>
        <v/>
      </c>
      <c r="CT22" s="4">
        <f>IFERROR(BN22-BU22,"")</f>
        <v/>
      </c>
    </row>
    <row r="23">
      <c r="A23" s="3" t="inlineStr">
        <is>
          <t>2026/07/29</t>
        </is>
      </c>
      <c r="B23" s="3" t="n">
        <v>739.97</v>
      </c>
      <c r="C23" s="3" t="n">
        <v>742.6799999999999</v>
      </c>
      <c r="D23" s="3" t="n">
        <v>729.1</v>
      </c>
      <c r="E23" s="3" t="n">
        <v>729.46</v>
      </c>
      <c r="F23" s="3" t="n">
        <v>729.46</v>
      </c>
      <c r="G23" s="3" t="n">
        <v>70697200</v>
      </c>
      <c r="H23" s="3" t="n"/>
      <c r="I23" s="3" t="n">
        <v>84.09999999999999</v>
      </c>
      <c r="J23" s="3" t="n">
        <v>84.15000000000001</v>
      </c>
      <c r="K23" s="3" t="n">
        <v>82.7</v>
      </c>
      <c r="L23" s="3" t="n">
        <v>82.84999999999999</v>
      </c>
      <c r="M23" s="3" t="n">
        <v>82.5176</v>
      </c>
      <c r="N23" s="3" t="n">
        <v>41445200</v>
      </c>
      <c r="O23" s="3" t="n"/>
      <c r="P23" s="3" t="n">
        <v>79.37</v>
      </c>
      <c r="Q23" s="3" t="n">
        <v>79.48</v>
      </c>
      <c r="R23" s="3" t="n">
        <v>79.14</v>
      </c>
      <c r="S23" s="3" t="n">
        <v>79.23999999999999</v>
      </c>
      <c r="T23" s="3" t="n">
        <v>78.85720000000001</v>
      </c>
      <c r="U23" s="3" t="n">
        <v>53074500</v>
      </c>
      <c r="V23" s="3" t="n"/>
      <c r="W23" s="3" t="n">
        <v>95.58</v>
      </c>
      <c r="X23" s="3" t="n">
        <v>95.68000000000001</v>
      </c>
      <c r="Y23" s="3" t="n">
        <v>95.28</v>
      </c>
      <c r="Z23" s="3" t="n">
        <v>95.39</v>
      </c>
      <c r="AA23" s="3" t="n">
        <v>94.8646</v>
      </c>
      <c r="AB23" s="3" t="n">
        <v>2210500</v>
      </c>
      <c r="AC23" s="3" t="n"/>
      <c r="AD23" s="3" t="n">
        <v>28.57</v>
      </c>
      <c r="AE23" s="3" t="n">
        <v>28.59</v>
      </c>
      <c r="AF23" s="3" t="n">
        <v>28.3</v>
      </c>
      <c r="AG23" s="3" t="n">
        <v>28.42</v>
      </c>
      <c r="AH23" s="3" t="n">
        <v>28.42</v>
      </c>
      <c r="AI23" s="3" t="n">
        <v>2286600</v>
      </c>
      <c r="AJ23" s="3" t="n"/>
      <c r="AK23" s="3" t="n">
        <v>368.29</v>
      </c>
      <c r="AL23" s="3" t="n">
        <v>377.62</v>
      </c>
      <c r="AM23" s="3" t="n">
        <v>366.53</v>
      </c>
      <c r="AN23" s="3" t="n">
        <v>371.08</v>
      </c>
      <c r="AO23" s="3" t="n">
        <v>371.08</v>
      </c>
      <c r="AP23" s="3" t="n">
        <v>11839900</v>
      </c>
      <c r="AQ23" s="3" t="n"/>
      <c r="AR23" s="3" t="n">
        <v>171.12</v>
      </c>
      <c r="AS23" s="3" t="n">
        <v>172.51</v>
      </c>
      <c r="AT23" s="3" t="n">
        <v>166.46</v>
      </c>
      <c r="AU23" s="3" t="n">
        <v>166.57</v>
      </c>
      <c r="AV23" s="3" t="n">
        <v>166.57</v>
      </c>
      <c r="AW23" s="3" t="n">
        <v>14372900</v>
      </c>
      <c r="AX23" s="3" t="n"/>
      <c r="AY23" s="3" t="n">
        <v>57.29</v>
      </c>
      <c r="AZ23" s="3" t="n">
        <v>57.47</v>
      </c>
      <c r="BA23" s="3" t="n">
        <v>56.59</v>
      </c>
      <c r="BB23" s="3" t="n">
        <v>56.68</v>
      </c>
      <c r="BC23" s="3" t="n">
        <v>56.68</v>
      </c>
      <c r="BD23" s="3" t="n">
        <v>49038800</v>
      </c>
      <c r="BE23" s="3" t="n"/>
      <c r="BF23" s="3" t="n">
        <v>107.64</v>
      </c>
      <c r="BG23" s="3" t="n">
        <v>108.01</v>
      </c>
      <c r="BH23" s="3" t="n">
        <v>107.48</v>
      </c>
      <c r="BI23" s="3" t="n">
        <v>107.77</v>
      </c>
      <c r="BJ23" s="3" t="n">
        <v>106.985</v>
      </c>
      <c r="BK23" s="3" t="n">
        <v>1759400</v>
      </c>
      <c r="BL23" s="3" t="n"/>
      <c r="BM23" s="4">
        <f>IF(COUNT(F23:F24)=2,ROUND((F23/F24-1)*100,4),"")</f>
        <v/>
      </c>
      <c r="BN23" s="4">
        <f>IF(COUNT(M23:M24)=2,ROUND((M23/M24-1)*100,4),"")</f>
        <v/>
      </c>
      <c r="BO23" s="4">
        <f>IF(COUNT(T23:T24)=2,ROUND((T23/T24-1)*100,4),"")</f>
        <v/>
      </c>
      <c r="BP23" s="4">
        <f>IF(COUNT(AA23:AA24)=2,ROUND((AA23/AA24-1)*100,4),"")</f>
        <v/>
      </c>
      <c r="BQ23" s="4">
        <f>IF(COUNT(AH23:AH24)=2,ROUND((AH23/AH24-1)*100,4),"")</f>
        <v/>
      </c>
      <c r="BR23" s="4">
        <f>IF(COUNT(AO23:AO24)=2,ROUND((AO23/AO24-1)*100,4),"")</f>
        <v/>
      </c>
      <c r="BS23" s="4">
        <f>IF(COUNT(AV23:AV24)=2,ROUND((AV23/AV24-1)*100,4),"")</f>
        <v/>
      </c>
      <c r="BT23" s="4">
        <f>IF(COUNT(BC23:BC24)=2,ROUND((BC23/BC24-1)*100,4),"")</f>
        <v/>
      </c>
      <c r="BU23" s="4">
        <f>IF(COUNT(BJ23:BJ24)=2,ROUND((BJ23/BJ24-1)*100,4),"")</f>
        <v/>
      </c>
      <c r="BV23" s="3" t="n"/>
      <c r="BW23" s="3" t="n">
        <v>18.27</v>
      </c>
      <c r="BX23" s="3" t="n">
        <v>20.88</v>
      </c>
      <c r="BY23" s="3" t="n">
        <v>17.45</v>
      </c>
      <c r="BZ23" s="3" t="n">
        <v>20.66</v>
      </c>
      <c r="CA23" s="3" t="n"/>
      <c r="CB23" s="3" t="n">
        <v>4.637</v>
      </c>
      <c r="CC23" s="3" t="n">
        <v>4.655</v>
      </c>
      <c r="CD23" s="3" t="n">
        <v>4.61</v>
      </c>
      <c r="CE23" s="3" t="n">
        <v>4.622</v>
      </c>
      <c r="CF23" s="3" t="n"/>
      <c r="CG23" s="4">
        <f>IF(COUNT(BZ23:BZ24)=2,ROUND((BZ23/BZ24-1)*100,4),"")</f>
        <v/>
      </c>
      <c r="CH23" s="4">
        <f>IF(COUNT(BZ23:BZ24)=2,ROUND((BZ23/BZ24-1)*100,4),"")</f>
        <v/>
      </c>
      <c r="CI23" s="4">
        <f>IF(COUNT(BZ23:BZ28)=6,ROUND((BZ23/BZ28-1)*100,4),"")</f>
        <v/>
      </c>
      <c r="CJ23" s="4">
        <f>IF(COUNT(CH23:CH42)=20,IFERROR(ROUND(STDEV(CH23:CH42),4),""),"")</f>
        <v/>
      </c>
      <c r="CK23" s="4">
        <f>IF(COUNT(CE23:CE24)=2,ROUND((CE23/CE24-1)*100,4),"")</f>
        <v/>
      </c>
      <c r="CL23" s="5">
        <f>IF(COUNT(CE23:CE24)=2,(CE23-CE24)*100,"")</f>
        <v/>
      </c>
      <c r="CM23" s="3" t="n"/>
      <c r="CN23" s="4">
        <f>IFERROR(BO23-BN23,"")</f>
        <v/>
      </c>
      <c r="CO23" s="4">
        <f>IFERROR(BP23-BN23,"")</f>
        <v/>
      </c>
      <c r="CP23" s="6">
        <f>IF(COUNT(BM23:BM42)=20,IFERROR(CORREL(BM23:BM42,BN23:BN42),""),"")</f>
        <v/>
      </c>
      <c r="CQ23" s="4">
        <f>IFERROR(BQ23-BR23,"")</f>
        <v/>
      </c>
      <c r="CR23" s="4">
        <f>IFERROR(BS23-BT23,"")</f>
        <v/>
      </c>
      <c r="CS23" s="6">
        <f>BZ23/CE23</f>
        <v/>
      </c>
      <c r="CT23" s="4">
        <f>IFERROR(BN23-BU23,"")</f>
        <v/>
      </c>
    </row>
    <row r="24">
      <c r="A24" s="3" t="inlineStr">
        <is>
          <t>2026/07/28</t>
        </is>
      </c>
      <c r="B24" s="3" t="n">
        <v>739.1900000000001</v>
      </c>
      <c r="C24" s="3" t="n">
        <v>742.79</v>
      </c>
      <c r="D24" s="3" t="n">
        <v>735.98</v>
      </c>
      <c r="E24" s="3" t="n">
        <v>740.86</v>
      </c>
      <c r="F24" s="3" t="n">
        <v>740.86</v>
      </c>
      <c r="G24" s="3" t="n">
        <v>47322200</v>
      </c>
      <c r="H24" s="3" t="n"/>
      <c r="I24" s="3" t="n">
        <v>83.86</v>
      </c>
      <c r="J24" s="3" t="n">
        <v>84.34</v>
      </c>
      <c r="K24" s="3" t="n">
        <v>83.84999999999999</v>
      </c>
      <c r="L24" s="3" t="n">
        <v>84.23999999999999</v>
      </c>
      <c r="M24" s="3" t="n">
        <v>83.902</v>
      </c>
      <c r="N24" s="3" t="n">
        <v>25366900</v>
      </c>
      <c r="O24" s="3" t="n"/>
      <c r="P24" s="3" t="n">
        <v>79.31999999999999</v>
      </c>
      <c r="Q24" s="3" t="n">
        <v>79.42</v>
      </c>
      <c r="R24" s="3" t="n">
        <v>79.25</v>
      </c>
      <c r="S24" s="3" t="n">
        <v>79.42</v>
      </c>
      <c r="T24" s="3" t="n">
        <v>79.0363</v>
      </c>
      <c r="U24" s="3" t="n">
        <v>33698300</v>
      </c>
      <c r="V24" s="3" t="n"/>
      <c r="W24" s="3" t="n">
        <v>95.53</v>
      </c>
      <c r="X24" s="3" t="n">
        <v>95.62</v>
      </c>
      <c r="Y24" s="3" t="n">
        <v>95.45</v>
      </c>
      <c r="Z24" s="3" t="n">
        <v>95.61</v>
      </c>
      <c r="AA24" s="3" t="n">
        <v>95.0834</v>
      </c>
      <c r="AB24" s="3" t="n">
        <v>1216600</v>
      </c>
      <c r="AC24" s="3" t="n"/>
      <c r="AD24" s="3" t="n">
        <v>28.59</v>
      </c>
      <c r="AE24" s="3" t="n">
        <v>28.6</v>
      </c>
      <c r="AF24" s="3" t="n">
        <v>28.52</v>
      </c>
      <c r="AG24" s="3" t="n">
        <v>28.58</v>
      </c>
      <c r="AH24" s="3" t="n">
        <v>28.58</v>
      </c>
      <c r="AI24" s="3" t="n">
        <v>1037400</v>
      </c>
      <c r="AJ24" s="3" t="n"/>
      <c r="AK24" s="3" t="n">
        <v>369.61</v>
      </c>
      <c r="AL24" s="3" t="n">
        <v>371.23</v>
      </c>
      <c r="AM24" s="3" t="n">
        <v>367.98</v>
      </c>
      <c r="AN24" s="3" t="n">
        <v>369.37</v>
      </c>
      <c r="AO24" s="3" t="n">
        <v>369.37</v>
      </c>
      <c r="AP24" s="3" t="n">
        <v>4819300</v>
      </c>
      <c r="AQ24" s="3" t="n"/>
      <c r="AR24" s="3" t="n">
        <v>171.21</v>
      </c>
      <c r="AS24" s="3" t="n">
        <v>172.17</v>
      </c>
      <c r="AT24" s="3" t="n">
        <v>167.54</v>
      </c>
      <c r="AU24" s="3" t="n">
        <v>171.09</v>
      </c>
      <c r="AV24" s="3" t="n">
        <v>171.09</v>
      </c>
      <c r="AW24" s="3" t="n">
        <v>10049300</v>
      </c>
      <c r="AX24" s="3" t="n"/>
      <c r="AY24" s="3" t="n">
        <v>57.13</v>
      </c>
      <c r="AZ24" s="3" t="n">
        <v>57.6</v>
      </c>
      <c r="BA24" s="3" t="n">
        <v>56.95</v>
      </c>
      <c r="BB24" s="3" t="n">
        <v>57.6</v>
      </c>
      <c r="BC24" s="3" t="n">
        <v>57.6</v>
      </c>
      <c r="BD24" s="3" t="n">
        <v>34204400</v>
      </c>
      <c r="BE24" s="3" t="n"/>
      <c r="BF24" s="3" t="n">
        <v>107.5</v>
      </c>
      <c r="BG24" s="3" t="n">
        <v>107.8</v>
      </c>
      <c r="BH24" s="3" t="n">
        <v>107.48</v>
      </c>
      <c r="BI24" s="3" t="n">
        <v>107.66</v>
      </c>
      <c r="BJ24" s="3" t="n">
        <v>106.8758</v>
      </c>
      <c r="BK24" s="3" t="n">
        <v>2765800</v>
      </c>
      <c r="BL24" s="3" t="n"/>
      <c r="BM24" s="4">
        <f>IF(COUNT(F24:F25)=2,ROUND((F24/F25-1)*100,4),"")</f>
        <v/>
      </c>
      <c r="BN24" s="4">
        <f>IF(COUNT(M24:M25)=2,ROUND((M24/M25-1)*100,4),"")</f>
        <v/>
      </c>
      <c r="BO24" s="4">
        <f>IF(COUNT(T24:T25)=2,ROUND((T24/T25-1)*100,4),"")</f>
        <v/>
      </c>
      <c r="BP24" s="4">
        <f>IF(COUNT(AA24:AA25)=2,ROUND((AA24/AA25-1)*100,4),"")</f>
        <v/>
      </c>
      <c r="BQ24" s="4">
        <f>IF(COUNT(AH24:AH25)=2,ROUND((AH24/AH25-1)*100,4),"")</f>
        <v/>
      </c>
      <c r="BR24" s="4">
        <f>IF(COUNT(AO24:AO25)=2,ROUND((AO24/AO25-1)*100,4),"")</f>
        <v/>
      </c>
      <c r="BS24" s="4">
        <f>IF(COUNT(AV24:AV25)=2,ROUND((AV24/AV25-1)*100,4),"")</f>
        <v/>
      </c>
      <c r="BT24" s="4">
        <f>IF(COUNT(BC24:BC25)=2,ROUND((BC24/BC25-1)*100,4),"")</f>
        <v/>
      </c>
      <c r="BU24" s="4">
        <f>IF(COUNT(BJ24:BJ25)=2,ROUND((BJ24/BJ25-1)*100,4),"")</f>
        <v/>
      </c>
      <c r="BV24" s="3" t="n"/>
      <c r="BW24" s="3" t="n">
        <v>19.05</v>
      </c>
      <c r="BX24" s="3" t="n">
        <v>19.52</v>
      </c>
      <c r="BY24" s="3" t="n">
        <v>17.88</v>
      </c>
      <c r="BZ24" s="3" t="n">
        <v>18.21</v>
      </c>
      <c r="CA24" s="3" t="n"/>
      <c r="CB24" s="3" t="n">
        <v>4.63</v>
      </c>
      <c r="CC24" s="3" t="n">
        <v>4.635</v>
      </c>
      <c r="CD24" s="3" t="n">
        <v>4.588</v>
      </c>
      <c r="CE24" s="3" t="n">
        <v>4.604</v>
      </c>
      <c r="CF24" s="3" t="n"/>
      <c r="CG24" s="4">
        <f>IF(COUNT(BZ24:BZ25)=2,ROUND((BZ24/BZ25-1)*100,4),"")</f>
        <v/>
      </c>
      <c r="CH24" s="4">
        <f>IF(COUNT(BZ24:BZ25)=2,ROUND((BZ24/BZ25-1)*100,4),"")</f>
        <v/>
      </c>
      <c r="CI24" s="4">
        <f>IF(COUNT(BZ24:BZ29)=6,ROUND((BZ24/BZ29-1)*100,4),"")</f>
        <v/>
      </c>
      <c r="CJ24" s="4">
        <f>IF(COUNT(CH24:CH43)=20,IFERROR(ROUND(STDEV(CH24:CH43),4),""),"")</f>
        <v/>
      </c>
      <c r="CK24" s="4">
        <f>IF(COUNT(CE24:CE25)=2,ROUND((CE24/CE25-1)*100,4),"")</f>
        <v/>
      </c>
      <c r="CL24" s="5">
        <f>IF(COUNT(CE24:CE25)=2,(CE24-CE25)*100,"")</f>
        <v/>
      </c>
      <c r="CM24" s="3" t="n"/>
      <c r="CN24" s="4">
        <f>IFERROR(BO24-BN24,"")</f>
        <v/>
      </c>
      <c r="CO24" s="4">
        <f>IFERROR(BP24-BN24,"")</f>
        <v/>
      </c>
      <c r="CP24" s="6">
        <f>IF(COUNT(BM24:BM43)=20,IFERROR(CORREL(BM24:BM43,BN24:BN43),""),"")</f>
        <v/>
      </c>
      <c r="CQ24" s="4">
        <f>IFERROR(BQ24-BR24,"")</f>
        <v/>
      </c>
      <c r="CR24" s="4">
        <f>IFERROR(BS24-BT24,"")</f>
        <v/>
      </c>
      <c r="CS24" s="6">
        <f>BZ24/CE24</f>
        <v/>
      </c>
      <c r="CT24" s="4">
        <f>IFERROR(BN24-BU24,"")</f>
        <v/>
      </c>
    </row>
    <row r="25">
      <c r="A25" s="3" t="inlineStr">
        <is>
          <t>2026/07/27</t>
        </is>
      </c>
      <c r="B25" s="3" t="n">
        <v>744.91</v>
      </c>
      <c r="C25" s="3" t="n">
        <v>745.53</v>
      </c>
      <c r="D25" s="3" t="n">
        <v>735.87</v>
      </c>
      <c r="E25" s="3" t="n">
        <v>739.09</v>
      </c>
      <c r="F25" s="3" t="n">
        <v>739.09</v>
      </c>
      <c r="G25" s="3" t="n">
        <v>41461200</v>
      </c>
      <c r="H25" s="3" t="n"/>
      <c r="I25" s="3" t="n">
        <v>83.73</v>
      </c>
      <c r="J25" s="3" t="n">
        <v>83.87</v>
      </c>
      <c r="K25" s="3" t="n">
        <v>83.52</v>
      </c>
      <c r="L25" s="3" t="n">
        <v>83.75</v>
      </c>
      <c r="M25" s="3" t="n">
        <v>83.414</v>
      </c>
      <c r="N25" s="3" t="n">
        <v>23816200</v>
      </c>
      <c r="O25" s="3" t="n"/>
      <c r="P25" s="3" t="n">
        <v>79.34</v>
      </c>
      <c r="Q25" s="3" t="n">
        <v>79.40000000000001</v>
      </c>
      <c r="R25" s="3" t="n">
        <v>79.23999999999999</v>
      </c>
      <c r="S25" s="3" t="n">
        <v>79.27</v>
      </c>
      <c r="T25" s="3" t="n">
        <v>78.887</v>
      </c>
      <c r="U25" s="3" t="n">
        <v>28939800</v>
      </c>
      <c r="V25" s="3" t="n"/>
      <c r="W25" s="3" t="n">
        <v>95.54000000000001</v>
      </c>
      <c r="X25" s="3" t="n">
        <v>95.62</v>
      </c>
      <c r="Y25" s="3" t="n">
        <v>95.43000000000001</v>
      </c>
      <c r="Z25" s="3" t="n">
        <v>95.45999999999999</v>
      </c>
      <c r="AA25" s="3" t="n">
        <v>94.9342</v>
      </c>
      <c r="AB25" s="3" t="n">
        <v>1704500</v>
      </c>
      <c r="AC25" s="3" t="n"/>
      <c r="AD25" s="3" t="n">
        <v>28.56</v>
      </c>
      <c r="AE25" s="3" t="n">
        <v>28.6</v>
      </c>
      <c r="AF25" s="3" t="n">
        <v>28.55</v>
      </c>
      <c r="AG25" s="3" t="n">
        <v>28.6</v>
      </c>
      <c r="AH25" s="3" t="n">
        <v>28.6</v>
      </c>
      <c r="AI25" s="3" t="n">
        <v>1602600</v>
      </c>
      <c r="AJ25" s="3" t="n"/>
      <c r="AK25" s="3" t="n">
        <v>373.89</v>
      </c>
      <c r="AL25" s="3" t="n">
        <v>375.53</v>
      </c>
      <c r="AM25" s="3" t="n">
        <v>372.91</v>
      </c>
      <c r="AN25" s="3" t="n">
        <v>374.63</v>
      </c>
      <c r="AO25" s="3" t="n">
        <v>374.63</v>
      </c>
      <c r="AP25" s="3" t="n">
        <v>3700000</v>
      </c>
      <c r="AQ25" s="3" t="n"/>
      <c r="AR25" s="3" t="n">
        <v>177.83</v>
      </c>
      <c r="AS25" s="3" t="n">
        <v>178.3</v>
      </c>
      <c r="AT25" s="3" t="n">
        <v>171.73</v>
      </c>
      <c r="AU25" s="3" t="n">
        <v>174.3</v>
      </c>
      <c r="AV25" s="3" t="n">
        <v>174.3</v>
      </c>
      <c r="AW25" s="3" t="n">
        <v>8376600</v>
      </c>
      <c r="AX25" s="3" t="n"/>
      <c r="AY25" s="3" t="n">
        <v>56.76</v>
      </c>
      <c r="AZ25" s="3" t="n">
        <v>57.13</v>
      </c>
      <c r="BA25" s="3" t="n">
        <v>56.59</v>
      </c>
      <c r="BB25" s="3" t="n">
        <v>56.88</v>
      </c>
      <c r="BC25" s="3" t="n">
        <v>56.88</v>
      </c>
      <c r="BD25" s="3" t="n">
        <v>29805900</v>
      </c>
      <c r="BE25" s="3" t="n"/>
      <c r="BF25" s="3" t="n">
        <v>107.57</v>
      </c>
      <c r="BG25" s="3" t="n">
        <v>107.63</v>
      </c>
      <c r="BH25" s="3" t="n">
        <v>107.39</v>
      </c>
      <c r="BI25" s="3" t="n">
        <v>107.39</v>
      </c>
      <c r="BJ25" s="3" t="n">
        <v>106.6077</v>
      </c>
      <c r="BK25" s="3" t="n">
        <v>1262000</v>
      </c>
      <c r="BL25" s="3" t="n"/>
      <c r="BM25" s="4">
        <f>IF(COUNT(F25:F26)=2,ROUND((F25/F26-1)*100,4),"")</f>
        <v/>
      </c>
      <c r="BN25" s="4">
        <f>IF(COUNT(M25:M26)=2,ROUND((M25/M26-1)*100,4),"")</f>
        <v/>
      </c>
      <c r="BO25" s="4">
        <f>IF(COUNT(T25:T26)=2,ROUND((T25/T26-1)*100,4),"")</f>
        <v/>
      </c>
      <c r="BP25" s="4">
        <f>IF(COUNT(AA25:AA26)=2,ROUND((AA25/AA26-1)*100,4),"")</f>
        <v/>
      </c>
      <c r="BQ25" s="4">
        <f>IF(COUNT(AH25:AH26)=2,ROUND((AH25/AH26-1)*100,4),"")</f>
        <v/>
      </c>
      <c r="BR25" s="4">
        <f>IF(COUNT(AO25:AO26)=2,ROUND((AO25/AO26-1)*100,4),"")</f>
        <v/>
      </c>
      <c r="BS25" s="4">
        <f>IF(COUNT(AV25:AV26)=2,ROUND((AV25/AV26-1)*100,4),"")</f>
        <v/>
      </c>
      <c r="BT25" s="4">
        <f>IF(COUNT(BC25:BC26)=2,ROUND((BC25/BC26-1)*100,4),"")</f>
        <v/>
      </c>
      <c r="BU25" s="4">
        <f>IF(COUNT(BJ25:BJ26)=2,ROUND((BJ25/BJ26-1)*100,4),"")</f>
        <v/>
      </c>
      <c r="BV25" s="3" t="n"/>
      <c r="BW25" s="3" t="n">
        <v>17.62</v>
      </c>
      <c r="BX25" s="3" t="n">
        <v>19.93</v>
      </c>
      <c r="BY25" s="3" t="n">
        <v>17.53</v>
      </c>
      <c r="BZ25" s="3" t="n">
        <v>18.67</v>
      </c>
      <c r="CA25" s="3" t="n"/>
      <c r="CB25" s="3" t="n">
        <v>4.647</v>
      </c>
      <c r="CC25" s="3" t="n">
        <v>4.665</v>
      </c>
      <c r="CD25" s="3" t="n">
        <v>4.63</v>
      </c>
      <c r="CE25" s="3" t="n">
        <v>4.641</v>
      </c>
      <c r="CF25" s="3" t="n"/>
      <c r="CG25" s="4">
        <f>IF(COUNT(BZ25:BZ26)=2,ROUND((BZ25/BZ26-1)*100,4),"")</f>
        <v/>
      </c>
      <c r="CH25" s="4">
        <f>IF(COUNT(BZ25:BZ26)=2,ROUND((BZ25/BZ26-1)*100,4),"")</f>
        <v/>
      </c>
      <c r="CI25" s="4">
        <f>IF(COUNT(BZ25:BZ30)=6,ROUND((BZ25/BZ30-1)*100,4),"")</f>
        <v/>
      </c>
      <c r="CJ25" s="4">
        <f>IF(COUNT(CH25:CH44)=20,IFERROR(ROUND(STDEV(CH25:CH44),4),""),"")</f>
        <v/>
      </c>
      <c r="CK25" s="4">
        <f>IF(COUNT(CE25:CE26)=2,ROUND((CE25/CE26-1)*100,4),"")</f>
        <v/>
      </c>
      <c r="CL25" s="5">
        <f>IF(COUNT(CE25:CE26)=2,(CE25-CE26)*100,"")</f>
        <v/>
      </c>
      <c r="CM25" s="3" t="n"/>
      <c r="CN25" s="4">
        <f>IFERROR(BO25-BN25,"")</f>
        <v/>
      </c>
      <c r="CO25" s="4">
        <f>IFERROR(BP25-BN25,"")</f>
        <v/>
      </c>
      <c r="CP25" s="6">
        <f>IF(COUNT(BM25:BM44)=20,IFERROR(CORREL(BM25:BM44,BN25:BN44),""),"")</f>
        <v/>
      </c>
      <c r="CQ25" s="4">
        <f>IFERROR(BQ25-BR25,"")</f>
        <v/>
      </c>
      <c r="CR25" s="4">
        <f>IFERROR(BS25-BT25,"")</f>
        <v/>
      </c>
      <c r="CS25" s="6">
        <f>BZ25/CE25</f>
        <v/>
      </c>
      <c r="CT25" s="4">
        <f>IFERROR(BN25-BU25,"")</f>
        <v/>
      </c>
    </row>
    <row r="26">
      <c r="A26" s="3" t="inlineStr">
        <is>
          <t>2026/07/24</t>
        </is>
      </c>
      <c r="B26" s="3" t="n">
        <v>738.51</v>
      </c>
      <c r="C26" s="3" t="n">
        <v>743.72</v>
      </c>
      <c r="D26" s="3" t="n">
        <v>737.29</v>
      </c>
      <c r="E26" s="3" t="n">
        <v>738.9299999999999</v>
      </c>
      <c r="F26" s="3" t="n">
        <v>738.9299999999999</v>
      </c>
      <c r="G26" s="3" t="n">
        <v>44782000</v>
      </c>
      <c r="H26" s="3" t="n"/>
      <c r="I26" s="3" t="n">
        <v>83.31</v>
      </c>
      <c r="J26" s="3" t="n">
        <v>83.66</v>
      </c>
      <c r="K26" s="3" t="n">
        <v>83.23</v>
      </c>
      <c r="L26" s="3" t="n">
        <v>83.25</v>
      </c>
      <c r="M26" s="3" t="n">
        <v>82.916</v>
      </c>
      <c r="N26" s="3" t="n">
        <v>15106000</v>
      </c>
      <c r="O26" s="3" t="n"/>
      <c r="P26" s="3" t="n">
        <v>79.25</v>
      </c>
      <c r="Q26" s="3" t="n">
        <v>79.31</v>
      </c>
      <c r="R26" s="3" t="n">
        <v>79.16</v>
      </c>
      <c r="S26" s="3" t="n">
        <v>79.23</v>
      </c>
      <c r="T26" s="3" t="n">
        <v>78.8472</v>
      </c>
      <c r="U26" s="3" t="n">
        <v>41964600</v>
      </c>
      <c r="V26" s="3" t="n"/>
      <c r="W26" s="3" t="n">
        <v>95.41</v>
      </c>
      <c r="X26" s="3" t="n">
        <v>95.56999999999999</v>
      </c>
      <c r="Y26" s="3" t="n">
        <v>95.31999999999999</v>
      </c>
      <c r="Z26" s="3" t="n">
        <v>95.39</v>
      </c>
      <c r="AA26" s="3" t="n">
        <v>94.8646</v>
      </c>
      <c r="AB26" s="3" t="n">
        <v>2602400</v>
      </c>
      <c r="AC26" s="3" t="n"/>
      <c r="AD26" s="3" t="n">
        <v>28.58</v>
      </c>
      <c r="AE26" s="3" t="n">
        <v>28.58</v>
      </c>
      <c r="AF26" s="3" t="n">
        <v>28.52</v>
      </c>
      <c r="AG26" s="3" t="n">
        <v>28.58</v>
      </c>
      <c r="AH26" s="3" t="n">
        <v>28.58</v>
      </c>
      <c r="AI26" s="3" t="n">
        <v>1113500</v>
      </c>
      <c r="AJ26" s="3" t="n"/>
      <c r="AK26" s="3" t="n">
        <v>371.26</v>
      </c>
      <c r="AL26" s="3" t="n">
        <v>374.49</v>
      </c>
      <c r="AM26" s="3" t="n">
        <v>371.03</v>
      </c>
      <c r="AN26" s="3" t="n">
        <v>371.9</v>
      </c>
      <c r="AO26" s="3" t="n">
        <v>371.9</v>
      </c>
      <c r="AP26" s="3" t="n">
        <v>3852400</v>
      </c>
      <c r="AQ26" s="3" t="n"/>
      <c r="AR26" s="3" t="n">
        <v>177.82</v>
      </c>
      <c r="AS26" s="3" t="n">
        <v>179.01</v>
      </c>
      <c r="AT26" s="3" t="n">
        <v>175.05</v>
      </c>
      <c r="AU26" s="3" t="n">
        <v>175.88</v>
      </c>
      <c r="AV26" s="3" t="n">
        <v>175.88</v>
      </c>
      <c r="AW26" s="3" t="n">
        <v>7739600</v>
      </c>
      <c r="AX26" s="3" t="n"/>
      <c r="AY26" s="3" t="n">
        <v>55.83</v>
      </c>
      <c r="AZ26" s="3" t="n">
        <v>56.38</v>
      </c>
      <c r="BA26" s="3" t="n">
        <v>55.69</v>
      </c>
      <c r="BB26" s="3" t="n">
        <v>56.31</v>
      </c>
      <c r="BC26" s="3" t="n">
        <v>56.31</v>
      </c>
      <c r="BD26" s="3" t="n">
        <v>32212900</v>
      </c>
      <c r="BE26" s="3" t="n"/>
      <c r="BF26" s="3" t="n">
        <v>107.55</v>
      </c>
      <c r="BG26" s="3" t="n">
        <v>107.74</v>
      </c>
      <c r="BH26" s="3" t="n">
        <v>107.5</v>
      </c>
      <c r="BI26" s="3" t="n">
        <v>107.5</v>
      </c>
      <c r="BJ26" s="3" t="n">
        <v>106.7169</v>
      </c>
      <c r="BK26" s="3" t="n">
        <v>1220700</v>
      </c>
      <c r="BL26" s="3" t="n"/>
      <c r="BM26" s="4">
        <f>IF(COUNT(F26:F27)=2,ROUND((F26/F27-1)*100,4),"")</f>
        <v/>
      </c>
      <c r="BN26" s="4">
        <f>IF(COUNT(M26:M27)=2,ROUND((M26/M27-1)*100,4),"")</f>
        <v/>
      </c>
      <c r="BO26" s="4">
        <f>IF(COUNT(T26:T27)=2,ROUND((T26/T27-1)*100,4),"")</f>
        <v/>
      </c>
      <c r="BP26" s="4">
        <f>IF(COUNT(AA26:AA27)=2,ROUND((AA26/AA27-1)*100,4),"")</f>
        <v/>
      </c>
      <c r="BQ26" s="4">
        <f>IF(COUNT(AH26:AH27)=2,ROUND((AH26/AH27-1)*100,4),"")</f>
        <v/>
      </c>
      <c r="BR26" s="4">
        <f>IF(COUNT(AO26:AO27)=2,ROUND((AO26/AO27-1)*100,4),"")</f>
        <v/>
      </c>
      <c r="BS26" s="4">
        <f>IF(COUNT(AV26:AV27)=2,ROUND((AV26/AV27-1)*100,4),"")</f>
        <v/>
      </c>
      <c r="BT26" s="4">
        <f>IF(COUNT(BC26:BC27)=2,ROUND((BC26/BC27-1)*100,4),"")</f>
        <v/>
      </c>
      <c r="BU26" s="4">
        <f>IF(COUNT(BJ26:BJ27)=2,ROUND((BJ26/BJ27-1)*100,4),"")</f>
        <v/>
      </c>
      <c r="BV26" s="3" t="n"/>
      <c r="BW26" s="3" t="n">
        <v>18.96</v>
      </c>
      <c r="BX26" s="3" t="n">
        <v>19.05</v>
      </c>
      <c r="BY26" s="3" t="n">
        <v>17.41</v>
      </c>
      <c r="BZ26" s="3" t="n">
        <v>18.58</v>
      </c>
      <c r="CA26" s="3" t="n"/>
      <c r="CB26" s="3" t="n">
        <v>4.683</v>
      </c>
      <c r="CC26" s="3" t="n">
        <v>4.691</v>
      </c>
      <c r="CD26" s="3" t="n">
        <v>4.651</v>
      </c>
      <c r="CE26" s="3" t="n">
        <v>4.679</v>
      </c>
      <c r="CF26" s="3" t="n"/>
      <c r="CG26" s="4">
        <f>IF(COUNT(BZ26:BZ27)=2,ROUND((BZ26/BZ27-1)*100,4),"")</f>
        <v/>
      </c>
      <c r="CH26" s="4">
        <f>IF(COUNT(BZ26:BZ27)=2,ROUND((BZ26/BZ27-1)*100,4),"")</f>
        <v/>
      </c>
      <c r="CI26" s="4">
        <f>IF(COUNT(BZ26:BZ31)=6,ROUND((BZ26/BZ31-1)*100,4),"")</f>
        <v/>
      </c>
      <c r="CJ26" s="4">
        <f>IF(COUNT(CH26:CH45)=20,IFERROR(ROUND(STDEV(CH26:CH45),4),""),"")</f>
        <v/>
      </c>
      <c r="CK26" s="4">
        <f>IF(COUNT(CE26:CE27)=2,ROUND((CE26/CE27-1)*100,4),"")</f>
        <v/>
      </c>
      <c r="CL26" s="5">
        <f>IF(COUNT(CE26:CE27)=2,(CE26-CE27)*100,"")</f>
        <v/>
      </c>
      <c r="CM26" s="3" t="n"/>
      <c r="CN26" s="4">
        <f>IFERROR(BO26-BN26,"")</f>
        <v/>
      </c>
      <c r="CO26" s="4">
        <f>IFERROR(BP26-BN26,"")</f>
        <v/>
      </c>
      <c r="CP26" s="6">
        <f>IF(COUNT(BM26:BM45)=20,IFERROR(CORREL(BM26:BM45,BN26:BN45),""),"")</f>
        <v/>
      </c>
      <c r="CQ26" s="4">
        <f>IFERROR(BQ26-BR26,"")</f>
        <v/>
      </c>
      <c r="CR26" s="4">
        <f>IFERROR(BS26-BT26,"")</f>
        <v/>
      </c>
      <c r="CS26" s="6">
        <f>BZ26/CE26</f>
        <v/>
      </c>
      <c r="CT26" s="4">
        <f>IFERROR(BN26-BU26,"")</f>
        <v/>
      </c>
    </row>
    <row r="27">
      <c r="A27" s="3" t="inlineStr">
        <is>
          <t>2026/07/23</t>
        </is>
      </c>
      <c r="B27" s="3" t="n">
        <v>739.37</v>
      </c>
      <c r="C27" s="3" t="n">
        <v>742.5599999999999</v>
      </c>
      <c r="D27" s="3" t="n">
        <v>735.21</v>
      </c>
      <c r="E27" s="3" t="n">
        <v>738.1799999999999</v>
      </c>
      <c r="F27" s="3" t="n">
        <v>738.1799999999999</v>
      </c>
      <c r="G27" s="3" t="n">
        <v>55437300</v>
      </c>
      <c r="H27" s="3" t="n"/>
      <c r="I27" s="3" t="n">
        <v>82.98999999999999</v>
      </c>
      <c r="J27" s="3" t="n">
        <v>83.25</v>
      </c>
      <c r="K27" s="3" t="n">
        <v>82.95999999999999</v>
      </c>
      <c r="L27" s="3" t="n">
        <v>83.17</v>
      </c>
      <c r="M27" s="3" t="n">
        <v>82.83629999999999</v>
      </c>
      <c r="N27" s="3" t="n">
        <v>29152800</v>
      </c>
      <c r="O27" s="3" t="n"/>
      <c r="P27" s="3" t="n">
        <v>79.28</v>
      </c>
      <c r="Q27" s="3" t="n">
        <v>79.37</v>
      </c>
      <c r="R27" s="3" t="n">
        <v>79.15000000000001</v>
      </c>
      <c r="S27" s="3" t="n">
        <v>79.23</v>
      </c>
      <c r="T27" s="3" t="n">
        <v>78.8472</v>
      </c>
      <c r="U27" s="3" t="n">
        <v>52554200</v>
      </c>
      <c r="V27" s="3" t="n"/>
      <c r="W27" s="3" t="n">
        <v>95.42</v>
      </c>
      <c r="X27" s="3" t="n">
        <v>95.56999999999999</v>
      </c>
      <c r="Y27" s="3" t="n">
        <v>95.29000000000001</v>
      </c>
      <c r="Z27" s="3" t="n">
        <v>95.40000000000001</v>
      </c>
      <c r="AA27" s="3" t="n">
        <v>94.8745</v>
      </c>
      <c r="AB27" s="3" t="n">
        <v>3439400</v>
      </c>
      <c r="AC27" s="3" t="n"/>
      <c r="AD27" s="3" t="n">
        <v>28.54</v>
      </c>
      <c r="AE27" s="3" t="n">
        <v>28.59</v>
      </c>
      <c r="AF27" s="3" t="n">
        <v>28.53</v>
      </c>
      <c r="AG27" s="3" t="n">
        <v>28.56</v>
      </c>
      <c r="AH27" s="3" t="n">
        <v>28.56</v>
      </c>
      <c r="AI27" s="3" t="n">
        <v>1529300</v>
      </c>
      <c r="AJ27" s="3" t="n"/>
      <c r="AK27" s="3" t="n">
        <v>372.36</v>
      </c>
      <c r="AL27" s="3" t="n">
        <v>373.09</v>
      </c>
      <c r="AM27" s="3" t="n">
        <v>370.53</v>
      </c>
      <c r="AN27" s="3" t="n">
        <v>371.52</v>
      </c>
      <c r="AO27" s="3" t="n">
        <v>371.52</v>
      </c>
      <c r="AP27" s="3" t="n">
        <v>9820600</v>
      </c>
      <c r="AQ27" s="3" t="n"/>
      <c r="AR27" s="3" t="n">
        <v>178.8</v>
      </c>
      <c r="AS27" s="3" t="n">
        <v>180.39</v>
      </c>
      <c r="AT27" s="3" t="n">
        <v>177.2</v>
      </c>
      <c r="AU27" s="3" t="n">
        <v>178.45</v>
      </c>
      <c r="AV27" s="3" t="n">
        <v>178.45</v>
      </c>
      <c r="AW27" s="3" t="n">
        <v>7177000</v>
      </c>
      <c r="AX27" s="3" t="n"/>
      <c r="AY27" s="3" t="n">
        <v>55.68</v>
      </c>
      <c r="AZ27" s="3" t="n">
        <v>55.86</v>
      </c>
      <c r="BA27" s="3" t="n">
        <v>55.45</v>
      </c>
      <c r="BB27" s="3" t="n">
        <v>55.83</v>
      </c>
      <c r="BC27" s="3" t="n">
        <v>55.83</v>
      </c>
      <c r="BD27" s="3" t="n">
        <v>24311000</v>
      </c>
      <c r="BE27" s="3" t="n"/>
      <c r="BF27" s="3" t="n">
        <v>107.54</v>
      </c>
      <c r="BG27" s="3" t="n">
        <v>107.65</v>
      </c>
      <c r="BH27" s="3" t="n">
        <v>107.48</v>
      </c>
      <c r="BI27" s="3" t="n">
        <v>107.49</v>
      </c>
      <c r="BJ27" s="3" t="n">
        <v>106.707</v>
      </c>
      <c r="BK27" s="3" t="n">
        <v>2261200</v>
      </c>
      <c r="BL27" s="3" t="n"/>
      <c r="BM27" s="4">
        <f>IF(COUNT(F27:F28)=2,ROUND((F27/F28-1)*100,4),"")</f>
        <v/>
      </c>
      <c r="BN27" s="4">
        <f>IF(COUNT(M27:M28)=2,ROUND((M27/M28-1)*100,4),"")</f>
        <v/>
      </c>
      <c r="BO27" s="4">
        <f>IF(COUNT(T27:T28)=2,ROUND((T27/T28-1)*100,4),"")</f>
        <v/>
      </c>
      <c r="BP27" s="4">
        <f>IF(COUNT(AA27:AA28)=2,ROUND((AA27/AA28-1)*100,4),"")</f>
        <v/>
      </c>
      <c r="BQ27" s="4">
        <f>IF(COUNT(AH27:AH28)=2,ROUND((AH27/AH28-1)*100,4),"")</f>
        <v/>
      </c>
      <c r="BR27" s="4">
        <f>IF(COUNT(AO27:AO28)=2,ROUND((AO27/AO28-1)*100,4),"")</f>
        <v/>
      </c>
      <c r="BS27" s="4">
        <f>IF(COUNT(AV27:AV28)=2,ROUND((AV27/AV28-1)*100,4),"")</f>
        <v/>
      </c>
      <c r="BT27" s="4">
        <f>IF(COUNT(BC27:BC28)=2,ROUND((BC27/BC28-1)*100,4),"")</f>
        <v/>
      </c>
      <c r="BU27" s="4">
        <f>IF(COUNT(BJ27:BJ28)=2,ROUND((BJ27/BJ28-1)*100,4),"")</f>
        <v/>
      </c>
      <c r="BV27" s="3" t="n"/>
      <c r="BW27" s="3" t="n">
        <v>17.67</v>
      </c>
      <c r="BX27" s="3" t="n">
        <v>20.31</v>
      </c>
      <c r="BY27" s="3" t="n">
        <v>17.32</v>
      </c>
      <c r="BZ27" s="3" t="n">
        <v>18.7</v>
      </c>
      <c r="CA27" s="3" t="n"/>
      <c r="CB27" s="3" t="n">
        <v>4.699</v>
      </c>
      <c r="CC27" s="3" t="n">
        <v>4.714</v>
      </c>
      <c r="CD27" s="3" t="n">
        <v>4.693</v>
      </c>
      <c r="CE27" s="3" t="n">
        <v>4.703</v>
      </c>
      <c r="CF27" s="3" t="n"/>
      <c r="CG27" s="4">
        <f>IF(COUNT(BZ27:BZ28)=2,ROUND((BZ27/BZ28-1)*100,4),"")</f>
        <v/>
      </c>
      <c r="CH27" s="4">
        <f>IF(COUNT(BZ27:BZ28)=2,ROUND((BZ27/BZ28-1)*100,4),"")</f>
        <v/>
      </c>
      <c r="CI27" s="4">
        <f>IF(COUNT(BZ27:BZ32)=6,ROUND((BZ27/BZ32-1)*100,4),"")</f>
        <v/>
      </c>
      <c r="CJ27" s="4">
        <f>IF(COUNT(CH27:CH46)=20,IFERROR(ROUND(STDEV(CH27:CH46),4),""),"")</f>
        <v/>
      </c>
      <c r="CK27" s="4">
        <f>IF(COUNT(CE27:CE28)=2,ROUND((CE27/CE28-1)*100,4),"")</f>
        <v/>
      </c>
      <c r="CL27" s="5">
        <f>IF(COUNT(CE27:CE28)=2,(CE27-CE28)*100,"")</f>
        <v/>
      </c>
      <c r="CM27" s="3" t="n"/>
      <c r="CN27" s="4">
        <f>IFERROR(BO27-BN27,"")</f>
        <v/>
      </c>
      <c r="CO27" s="4">
        <f>IFERROR(BP27-BN27,"")</f>
        <v/>
      </c>
      <c r="CP27" s="6">
        <f>IF(COUNT(BM27:BM46)=20,IFERROR(CORREL(BM27:BM46,BN27:BN46),""),"")</f>
        <v/>
      </c>
      <c r="CQ27" s="4">
        <f>IFERROR(BQ27-BR27,"")</f>
        <v/>
      </c>
      <c r="CR27" s="4">
        <f>IFERROR(BS27-BT27,"")</f>
        <v/>
      </c>
      <c r="CS27" s="6">
        <f>BZ27/CE27</f>
        <v/>
      </c>
      <c r="CT27" s="4">
        <f>IFERROR(BN27-BU27,"")</f>
        <v/>
      </c>
    </row>
    <row r="28">
      <c r="A28" s="3" t="inlineStr">
        <is>
          <t>2026/07/22</t>
        </is>
      </c>
      <c r="B28" s="3" t="n">
        <v>746.62</v>
      </c>
      <c r="C28" s="3" t="n">
        <v>750.02</v>
      </c>
      <c r="D28" s="3" t="n">
        <v>746.37</v>
      </c>
      <c r="E28" s="3" t="n">
        <v>747.41</v>
      </c>
      <c r="F28" s="3" t="n">
        <v>747.41</v>
      </c>
      <c r="G28" s="3" t="n">
        <v>32836200</v>
      </c>
      <c r="H28" s="3" t="n"/>
      <c r="I28" s="3" t="n">
        <v>83.61</v>
      </c>
      <c r="J28" s="3" t="n">
        <v>83.7</v>
      </c>
      <c r="K28" s="3" t="n">
        <v>83.38</v>
      </c>
      <c r="L28" s="3" t="n">
        <v>83.44</v>
      </c>
      <c r="M28" s="3" t="n">
        <v>83.1052</v>
      </c>
      <c r="N28" s="3" t="n">
        <v>15988400</v>
      </c>
      <c r="O28" s="3" t="n"/>
      <c r="P28" s="3" t="n">
        <v>79.61</v>
      </c>
      <c r="Q28" s="3" t="n">
        <v>79.65000000000001</v>
      </c>
      <c r="R28" s="3" t="n">
        <v>79.48</v>
      </c>
      <c r="S28" s="3" t="n">
        <v>79.52</v>
      </c>
      <c r="T28" s="3" t="n">
        <v>79.1358</v>
      </c>
      <c r="U28" s="3" t="n">
        <v>24851700</v>
      </c>
      <c r="V28" s="3" t="n"/>
      <c r="W28" s="3" t="n">
        <v>95.84999999999999</v>
      </c>
      <c r="X28" s="3" t="n">
        <v>95.90000000000001</v>
      </c>
      <c r="Y28" s="3" t="n">
        <v>95.69</v>
      </c>
      <c r="Z28" s="3" t="n">
        <v>95.75</v>
      </c>
      <c r="AA28" s="3" t="n">
        <v>95.2226</v>
      </c>
      <c r="AB28" s="3" t="n">
        <v>2546100</v>
      </c>
      <c r="AC28" s="3" t="n"/>
      <c r="AD28" s="3" t="n">
        <v>28.43</v>
      </c>
      <c r="AE28" s="3" t="n">
        <v>28.47</v>
      </c>
      <c r="AF28" s="3" t="n">
        <v>28.43</v>
      </c>
      <c r="AG28" s="3" t="n">
        <v>28.45</v>
      </c>
      <c r="AH28" s="3" t="n">
        <v>28.45</v>
      </c>
      <c r="AI28" s="3" t="n">
        <v>1230800</v>
      </c>
      <c r="AJ28" s="3" t="n"/>
      <c r="AK28" s="3" t="n">
        <v>379.07</v>
      </c>
      <c r="AL28" s="3" t="n">
        <v>382.22</v>
      </c>
      <c r="AM28" s="3" t="n">
        <v>378.83</v>
      </c>
      <c r="AN28" s="3" t="n">
        <v>379.12</v>
      </c>
      <c r="AO28" s="3" t="n">
        <v>379.12</v>
      </c>
      <c r="AP28" s="3" t="n">
        <v>7115100</v>
      </c>
      <c r="AQ28" s="3" t="n"/>
      <c r="AR28" s="3" t="n">
        <v>178.16</v>
      </c>
      <c r="AS28" s="3" t="n">
        <v>181.43</v>
      </c>
      <c r="AT28" s="3" t="n">
        <v>178.15</v>
      </c>
      <c r="AU28" s="3" t="n">
        <v>180.27</v>
      </c>
      <c r="AV28" s="3" t="n">
        <v>180.27</v>
      </c>
      <c r="AW28" s="3" t="n">
        <v>5357600</v>
      </c>
      <c r="AX28" s="3" t="n"/>
      <c r="AY28" s="3" t="n">
        <v>56.14</v>
      </c>
      <c r="AZ28" s="3" t="n">
        <v>56.28</v>
      </c>
      <c r="BA28" s="3" t="n">
        <v>55.91</v>
      </c>
      <c r="BB28" s="3" t="n">
        <v>56.05</v>
      </c>
      <c r="BC28" s="3" t="n">
        <v>56.05</v>
      </c>
      <c r="BD28" s="3" t="n">
        <v>25430900</v>
      </c>
      <c r="BE28" s="3" t="n"/>
      <c r="BF28" s="3" t="n">
        <v>107.95</v>
      </c>
      <c r="BG28" s="3" t="n">
        <v>107.96</v>
      </c>
      <c r="BH28" s="3" t="n">
        <v>107.76</v>
      </c>
      <c r="BI28" s="3" t="n">
        <v>107.77</v>
      </c>
      <c r="BJ28" s="3" t="n">
        <v>106.985</v>
      </c>
      <c r="BK28" s="3" t="n">
        <v>1743300</v>
      </c>
      <c r="BL28" s="3" t="n"/>
      <c r="BM28" s="4">
        <f>IF(COUNT(F28:F29)=2,ROUND((F28/F29-1)*100,4),"")</f>
        <v/>
      </c>
      <c r="BN28" s="4">
        <f>IF(COUNT(M28:M29)=2,ROUND((M28/M29-1)*100,4),"")</f>
        <v/>
      </c>
      <c r="BO28" s="4">
        <f>IF(COUNT(T28:T29)=2,ROUND((T28/T29-1)*100,4),"")</f>
        <v/>
      </c>
      <c r="BP28" s="4">
        <f>IF(COUNT(AA28:AA29)=2,ROUND((AA28/AA29-1)*100,4),"")</f>
        <v/>
      </c>
      <c r="BQ28" s="4">
        <f>IF(COUNT(AH28:AH29)=2,ROUND((AH28/AH29-1)*100,4),"")</f>
        <v/>
      </c>
      <c r="BR28" s="4">
        <f>IF(COUNT(AO28:AO29)=2,ROUND((AO28/AO29-1)*100,4),"")</f>
        <v/>
      </c>
      <c r="BS28" s="4">
        <f>IF(COUNT(AV28:AV29)=2,ROUND((AV28/AV29-1)*100,4),"")</f>
        <v/>
      </c>
      <c r="BT28" s="4">
        <f>IF(COUNT(BC28:BC29)=2,ROUND((BC28/BC29-1)*100,4),"")</f>
        <v/>
      </c>
      <c r="BU28" s="4">
        <f>IF(COUNT(BJ28:BJ29)=2,ROUND((BJ28/BJ29-1)*100,4),"")</f>
        <v/>
      </c>
      <c r="BV28" s="3" t="n"/>
      <c r="BW28" s="3" t="n">
        <v>17.42</v>
      </c>
      <c r="BX28" s="3" t="n">
        <v>19.49</v>
      </c>
      <c r="BY28" s="3" t="n">
        <v>16.64</v>
      </c>
      <c r="BZ28" s="3" t="n">
        <v>16.64</v>
      </c>
      <c r="CA28" s="3" t="n"/>
      <c r="CB28" s="3" t="n">
        <v>4.64</v>
      </c>
      <c r="CC28" s="3" t="n">
        <v>4.661</v>
      </c>
      <c r="CD28" s="3" t="n">
        <v>4.632</v>
      </c>
      <c r="CE28" s="3" t="n">
        <v>4.657</v>
      </c>
      <c r="CF28" s="3" t="n"/>
      <c r="CG28" s="4">
        <f>IF(COUNT(BZ28:BZ29)=2,ROUND((BZ28/BZ29-1)*100,4),"")</f>
        <v/>
      </c>
      <c r="CH28" s="4">
        <f>IF(COUNT(BZ28:BZ29)=2,ROUND((BZ28/BZ29-1)*100,4),"")</f>
        <v/>
      </c>
      <c r="CI28" s="4">
        <f>IF(COUNT(BZ28:BZ33)=6,ROUND((BZ28/BZ33-1)*100,4),"")</f>
        <v/>
      </c>
      <c r="CJ28" s="4">
        <f>IF(COUNT(CH28:CH47)=20,IFERROR(ROUND(STDEV(CH28:CH47),4),""),"")</f>
        <v/>
      </c>
      <c r="CK28" s="4">
        <f>IF(COUNT(CE28:CE29)=2,ROUND((CE28/CE29-1)*100,4),"")</f>
        <v/>
      </c>
      <c r="CL28" s="5">
        <f>IF(COUNT(CE28:CE29)=2,(CE28-CE29)*100,"")</f>
        <v/>
      </c>
      <c r="CM28" s="3" t="n"/>
      <c r="CN28" s="4">
        <f>IFERROR(BO28-BN28,"")</f>
        <v/>
      </c>
      <c r="CO28" s="4">
        <f>IFERROR(BP28-BN28,"")</f>
        <v/>
      </c>
      <c r="CP28" s="6">
        <f>IF(COUNT(BM28:BM47)=20,IFERROR(CORREL(BM28:BM47,BN28:BN47),""),"")</f>
        <v/>
      </c>
      <c r="CQ28" s="4">
        <f>IFERROR(BQ28-BR28,"")</f>
        <v/>
      </c>
      <c r="CR28" s="4">
        <f>IFERROR(BS28-BT28,"")</f>
        <v/>
      </c>
      <c r="CS28" s="6">
        <f>BZ28/CE28</f>
        <v/>
      </c>
      <c r="CT28" s="4">
        <f>IFERROR(BN28-BU28,"")</f>
        <v/>
      </c>
    </row>
    <row r="29">
      <c r="A29" s="3" t="inlineStr">
        <is>
          <t>2026/07/21</t>
        </is>
      </c>
      <c r="B29" s="3" t="n">
        <v>746.29</v>
      </c>
      <c r="C29" s="3" t="n">
        <v>749.04</v>
      </c>
      <c r="D29" s="3" t="n">
        <v>744.1799999999999</v>
      </c>
      <c r="E29" s="3" t="n">
        <v>748.28</v>
      </c>
      <c r="F29" s="3" t="n">
        <v>748.28</v>
      </c>
      <c r="G29" s="3" t="n">
        <v>34324300</v>
      </c>
      <c r="H29" s="3" t="n"/>
      <c r="I29" s="3" t="n">
        <v>83.73999999999999</v>
      </c>
      <c r="J29" s="3" t="n">
        <v>83.77</v>
      </c>
      <c r="K29" s="3" t="n">
        <v>83.43000000000001</v>
      </c>
      <c r="L29" s="3" t="n">
        <v>83.66</v>
      </c>
      <c r="M29" s="3" t="n">
        <v>83.32429999999999</v>
      </c>
      <c r="N29" s="3" t="n">
        <v>14287500</v>
      </c>
      <c r="O29" s="3" t="n"/>
      <c r="P29" s="3" t="n">
        <v>79.72</v>
      </c>
      <c r="Q29" s="3" t="n">
        <v>79.73999999999999</v>
      </c>
      <c r="R29" s="3" t="n">
        <v>79.59999999999999</v>
      </c>
      <c r="S29" s="3" t="n">
        <v>79.65000000000001</v>
      </c>
      <c r="T29" s="3" t="n">
        <v>79.26519999999999</v>
      </c>
      <c r="U29" s="3" t="n">
        <v>27198800</v>
      </c>
      <c r="V29" s="3" t="n"/>
      <c r="W29" s="3" t="n">
        <v>96</v>
      </c>
      <c r="X29" s="3" t="n">
        <v>96</v>
      </c>
      <c r="Y29" s="3" t="n">
        <v>95.84</v>
      </c>
      <c r="Z29" s="3" t="n">
        <v>95.90000000000001</v>
      </c>
      <c r="AA29" s="3" t="n">
        <v>95.37179999999999</v>
      </c>
      <c r="AB29" s="3" t="n">
        <v>2091100</v>
      </c>
      <c r="AC29" s="3" t="n"/>
      <c r="AD29" s="3" t="n">
        <v>28.43</v>
      </c>
      <c r="AE29" s="3" t="n">
        <v>28.48</v>
      </c>
      <c r="AF29" s="3" t="n">
        <v>28.42</v>
      </c>
      <c r="AG29" s="3" t="n">
        <v>28.48</v>
      </c>
      <c r="AH29" s="3" t="n">
        <v>28.48</v>
      </c>
      <c r="AI29" s="3" t="n">
        <v>1231400</v>
      </c>
      <c r="AJ29" s="3" t="n"/>
      <c r="AK29" s="3" t="n">
        <v>371.7</v>
      </c>
      <c r="AL29" s="3" t="n">
        <v>375.01</v>
      </c>
      <c r="AM29" s="3" t="n">
        <v>371.07</v>
      </c>
      <c r="AN29" s="3" t="n">
        <v>374.81</v>
      </c>
      <c r="AO29" s="3" t="n">
        <v>374.81</v>
      </c>
      <c r="AP29" s="3" t="n">
        <v>6070600</v>
      </c>
      <c r="AQ29" s="3" t="n"/>
      <c r="AR29" s="3" t="n">
        <v>179.56</v>
      </c>
      <c r="AS29" s="3" t="n">
        <v>181.02</v>
      </c>
      <c r="AT29" s="3" t="n">
        <v>178.17</v>
      </c>
      <c r="AU29" s="3" t="n">
        <v>180.78</v>
      </c>
      <c r="AV29" s="3" t="n">
        <v>180.78</v>
      </c>
      <c r="AW29" s="3" t="n">
        <v>7506800</v>
      </c>
      <c r="AX29" s="3" t="n"/>
      <c r="AY29" s="3" t="n">
        <v>55.99</v>
      </c>
      <c r="AZ29" s="3" t="n">
        <v>56.34</v>
      </c>
      <c r="BA29" s="3" t="n">
        <v>55.72</v>
      </c>
      <c r="BB29" s="3" t="n">
        <v>56.11</v>
      </c>
      <c r="BC29" s="3" t="n">
        <v>56.11</v>
      </c>
      <c r="BD29" s="3" t="n">
        <v>26399000</v>
      </c>
      <c r="BE29" s="3" t="n"/>
      <c r="BF29" s="3" t="n">
        <v>108</v>
      </c>
      <c r="BG29" s="3" t="n">
        <v>108.01</v>
      </c>
      <c r="BH29" s="3" t="n">
        <v>107.84</v>
      </c>
      <c r="BI29" s="3" t="n">
        <v>107.88</v>
      </c>
      <c r="BJ29" s="3" t="n">
        <v>107.0942</v>
      </c>
      <c r="BK29" s="3" t="n">
        <v>1487900</v>
      </c>
      <c r="BL29" s="3" t="n"/>
      <c r="BM29" s="4">
        <f>IF(COUNT(F29:F30)=2,ROUND((F29/F30-1)*100,4),"")</f>
        <v/>
      </c>
      <c r="BN29" s="4">
        <f>IF(COUNT(M29:M30)=2,ROUND((M29/M30-1)*100,4),"")</f>
        <v/>
      </c>
      <c r="BO29" s="4">
        <f>IF(COUNT(T29:T30)=2,ROUND((T29/T30-1)*100,4),"")</f>
        <v/>
      </c>
      <c r="BP29" s="4">
        <f>IF(COUNT(AA29:AA30)=2,ROUND((AA29/AA30-1)*100,4),"")</f>
        <v/>
      </c>
      <c r="BQ29" s="4">
        <f>IF(COUNT(AH29:AH30)=2,ROUND((AH29/AH30-1)*100,4),"")</f>
        <v/>
      </c>
      <c r="BR29" s="4">
        <f>IF(COUNT(AO29:AO30)=2,ROUND((AO29/AO30-1)*100,4),"")</f>
        <v/>
      </c>
      <c r="BS29" s="4">
        <f>IF(COUNT(AV29:AV30)=2,ROUND((AV29/AV30-1)*100,4),"")</f>
        <v/>
      </c>
      <c r="BT29" s="4">
        <f>IF(COUNT(BC29:BC30)=2,ROUND((BC29/BC30-1)*100,4),"")</f>
        <v/>
      </c>
      <c r="BU29" s="4">
        <f>IF(COUNT(BJ29:BJ30)=2,ROUND((BJ29/BJ30-1)*100,4),"")</f>
        <v/>
      </c>
      <c r="BV29" s="3" t="n"/>
      <c r="BW29" s="3" t="n">
        <v>17.48</v>
      </c>
      <c r="BX29" s="3" t="n">
        <v>17.99</v>
      </c>
      <c r="BY29" s="3" t="n">
        <v>16.86</v>
      </c>
      <c r="BZ29" s="3" t="n">
        <v>17.05</v>
      </c>
      <c r="CA29" s="3" t="n"/>
      <c r="CB29" s="3" t="n">
        <v>4.6</v>
      </c>
      <c r="CC29" s="3" t="n">
        <v>4.64</v>
      </c>
      <c r="CD29" s="3" t="n">
        <v>4.598</v>
      </c>
      <c r="CE29" s="3" t="n">
        <v>4.628</v>
      </c>
      <c r="CF29" s="3" t="n"/>
      <c r="CG29" s="4">
        <f>IF(COUNT(BZ29:BZ30)=2,ROUND((BZ29/BZ30-1)*100,4),"")</f>
        <v/>
      </c>
      <c r="CH29" s="4">
        <f>IF(COUNT(BZ29:BZ30)=2,ROUND((BZ29/BZ30-1)*100,4),"")</f>
        <v/>
      </c>
      <c r="CI29" s="4">
        <f>IF(COUNT(BZ29:BZ34)=6,ROUND((BZ29/BZ34-1)*100,4),"")</f>
        <v/>
      </c>
      <c r="CJ29" s="4">
        <f>IF(COUNT(CH29:CH48)=20,IFERROR(ROUND(STDEV(CH29:CH48),4),""),"")</f>
        <v/>
      </c>
      <c r="CK29" s="4">
        <f>IF(COUNT(CE29:CE30)=2,ROUND((CE29/CE30-1)*100,4),"")</f>
        <v/>
      </c>
      <c r="CL29" s="5">
        <f>IF(COUNT(CE29:CE30)=2,(CE29-CE30)*100,"")</f>
        <v/>
      </c>
      <c r="CM29" s="3" t="n"/>
      <c r="CN29" s="4">
        <f>IFERROR(BO29-BN29,"")</f>
        <v/>
      </c>
      <c r="CO29" s="4">
        <f>IFERROR(BP29-BN29,"")</f>
        <v/>
      </c>
      <c r="CP29" s="6">
        <f>IF(COUNT(BM29:BM48)=20,IFERROR(CORREL(BM29:BM48,BN29:BN48),""),"")</f>
        <v/>
      </c>
      <c r="CQ29" s="4">
        <f>IFERROR(BQ29-BR29,"")</f>
        <v/>
      </c>
      <c r="CR29" s="4">
        <f>IFERROR(BS29-BT29,"")</f>
        <v/>
      </c>
      <c r="CS29" s="6">
        <f>BZ29/CE29</f>
        <v/>
      </c>
      <c r="CT29" s="4">
        <f>IFERROR(BN29-BU29,"")</f>
        <v/>
      </c>
    </row>
    <row r="30">
      <c r="A30" s="3" t="inlineStr">
        <is>
          <t>2026/07/20</t>
        </is>
      </c>
      <c r="B30" s="3" t="n">
        <v>747.0599999999999</v>
      </c>
      <c r="C30" s="3" t="n">
        <v>748.73</v>
      </c>
      <c r="D30" s="3" t="n">
        <v>741.51</v>
      </c>
      <c r="E30" s="3" t="n">
        <v>742.09</v>
      </c>
      <c r="F30" s="3" t="n">
        <v>742.09</v>
      </c>
      <c r="G30" s="3" t="n">
        <v>50422300</v>
      </c>
      <c r="H30" s="3" t="n"/>
      <c r="I30" s="3" t="n">
        <v>84.31</v>
      </c>
      <c r="J30" s="3" t="n">
        <v>84.34</v>
      </c>
      <c r="K30" s="3" t="n">
        <v>83.81999999999999</v>
      </c>
      <c r="L30" s="3" t="n">
        <v>83.89</v>
      </c>
      <c r="M30" s="3" t="n">
        <v>83.5534</v>
      </c>
      <c r="N30" s="3" t="n">
        <v>24289000</v>
      </c>
      <c r="O30" s="3" t="n"/>
      <c r="P30" s="3" t="n">
        <v>79.73999999999999</v>
      </c>
      <c r="Q30" s="3" t="n">
        <v>79.77</v>
      </c>
      <c r="R30" s="3" t="n">
        <v>79.67</v>
      </c>
      <c r="S30" s="3" t="n">
        <v>79.68000000000001</v>
      </c>
      <c r="T30" s="3" t="n">
        <v>79.295</v>
      </c>
      <c r="U30" s="3" t="n">
        <v>19767900</v>
      </c>
      <c r="V30" s="3" t="n"/>
      <c r="W30" s="3" t="n">
        <v>96.02</v>
      </c>
      <c r="X30" s="3" t="n">
        <v>96.08</v>
      </c>
      <c r="Y30" s="3" t="n">
        <v>95.92</v>
      </c>
      <c r="Z30" s="3" t="n">
        <v>95.95</v>
      </c>
      <c r="AA30" s="3" t="n">
        <v>95.42149999999999</v>
      </c>
      <c r="AB30" s="3" t="n">
        <v>1897200</v>
      </c>
      <c r="AC30" s="3" t="n"/>
      <c r="AD30" s="3" t="n">
        <v>28.38</v>
      </c>
      <c r="AE30" s="3" t="n">
        <v>28.43</v>
      </c>
      <c r="AF30" s="3" t="n">
        <v>28.38</v>
      </c>
      <c r="AG30" s="3" t="n">
        <v>28.39</v>
      </c>
      <c r="AH30" s="3" t="n">
        <v>28.39</v>
      </c>
      <c r="AI30" s="3" t="n">
        <v>1898100</v>
      </c>
      <c r="AJ30" s="3" t="n"/>
      <c r="AK30" s="3" t="n">
        <v>367.79</v>
      </c>
      <c r="AL30" s="3" t="n">
        <v>368.79</v>
      </c>
      <c r="AM30" s="3" t="n">
        <v>366.8</v>
      </c>
      <c r="AN30" s="3" t="n">
        <v>367.6</v>
      </c>
      <c r="AO30" s="3" t="n">
        <v>367.6</v>
      </c>
      <c r="AP30" s="3" t="n">
        <v>3922500</v>
      </c>
      <c r="AQ30" s="3" t="n"/>
      <c r="AR30" s="3" t="n">
        <v>177.19</v>
      </c>
      <c r="AS30" s="3" t="n">
        <v>178.7</v>
      </c>
      <c r="AT30" s="3" t="n">
        <v>175.52</v>
      </c>
      <c r="AU30" s="3" t="n">
        <v>175.71</v>
      </c>
      <c r="AV30" s="3" t="n">
        <v>175.71</v>
      </c>
      <c r="AW30" s="3" t="n">
        <v>7638600</v>
      </c>
      <c r="AX30" s="3" t="n"/>
      <c r="AY30" s="3" t="n">
        <v>56.3</v>
      </c>
      <c r="AZ30" s="3" t="n">
        <v>56.38</v>
      </c>
      <c r="BA30" s="3" t="n">
        <v>55.89</v>
      </c>
      <c r="BB30" s="3" t="n">
        <v>56.04</v>
      </c>
      <c r="BC30" s="3" t="n">
        <v>56.04</v>
      </c>
      <c r="BD30" s="3" t="n">
        <v>38162600</v>
      </c>
      <c r="BE30" s="3" t="n"/>
      <c r="BF30" s="3" t="n">
        <v>108.19</v>
      </c>
      <c r="BG30" s="3" t="n">
        <v>108.22</v>
      </c>
      <c r="BH30" s="3" t="n">
        <v>108.01</v>
      </c>
      <c r="BI30" s="3" t="n">
        <v>108.05</v>
      </c>
      <c r="BJ30" s="3" t="n">
        <v>107.2629</v>
      </c>
      <c r="BK30" s="3" t="n">
        <v>1010500</v>
      </c>
      <c r="BL30" s="3" t="n"/>
      <c r="BM30" s="4">
        <f>IF(COUNT(F30:F31)=2,ROUND((F30/F31-1)*100,4),"")</f>
        <v/>
      </c>
      <c r="BN30" s="4">
        <f>IF(COUNT(M30:M31)=2,ROUND((M30/M31-1)*100,4),"")</f>
        <v/>
      </c>
      <c r="BO30" s="4">
        <f>IF(COUNT(T30:T31)=2,ROUND((T30/T31-1)*100,4),"")</f>
        <v/>
      </c>
      <c r="BP30" s="4">
        <f>IF(COUNT(AA30:AA31)=2,ROUND((AA30/AA31-1)*100,4),"")</f>
        <v/>
      </c>
      <c r="BQ30" s="4">
        <f>IF(COUNT(AH30:AH31)=2,ROUND((AH30/AH31-1)*100,4),"")</f>
        <v/>
      </c>
      <c r="BR30" s="4">
        <f>IF(COUNT(AO30:AO31)=2,ROUND((AO30/AO31-1)*100,4),"")</f>
        <v/>
      </c>
      <c r="BS30" s="4">
        <f>IF(COUNT(AV30:AV31)=2,ROUND((AV30/AV31-1)*100,4),"")</f>
        <v/>
      </c>
      <c r="BT30" s="4">
        <f>IF(COUNT(BC30:BC31)=2,ROUND((BC30/BC31-1)*100,4),"")</f>
        <v/>
      </c>
      <c r="BU30" s="4">
        <f>IF(COUNT(BJ30:BJ31)=2,ROUND((BJ30/BJ31-1)*100,4),"")</f>
        <v/>
      </c>
      <c r="BV30" s="3" t="n"/>
      <c r="BW30" s="3" t="n">
        <v>18.9</v>
      </c>
      <c r="BX30" s="3" t="n">
        <v>18.94</v>
      </c>
      <c r="BY30" s="3" t="n">
        <v>17.41</v>
      </c>
      <c r="BZ30" s="3" t="n">
        <v>18.65</v>
      </c>
      <c r="CA30" s="3" t="n"/>
      <c r="CB30" s="3" t="n">
        <v>4.566</v>
      </c>
      <c r="CC30" s="3" t="n">
        <v>4.608</v>
      </c>
      <c r="CD30" s="3" t="n">
        <v>4.56</v>
      </c>
      <c r="CE30" s="3" t="n">
        <v>4.598</v>
      </c>
      <c r="CF30" s="3" t="n"/>
      <c r="CG30" s="4">
        <f>IF(COUNT(BZ30:BZ31)=2,ROUND((BZ30/BZ31-1)*100,4),"")</f>
        <v/>
      </c>
      <c r="CH30" s="4">
        <f>IF(COUNT(BZ30:BZ31)=2,ROUND((BZ30/BZ31-1)*100,4),"")</f>
        <v/>
      </c>
      <c r="CI30" s="4">
        <f>IF(COUNT(BZ30:BZ35)=6,ROUND((BZ30/BZ35-1)*100,4),"")</f>
        <v/>
      </c>
      <c r="CJ30" s="4">
        <f>IF(COUNT(CH30:CH49)=20,IFERROR(ROUND(STDEV(CH30:CH49),4),""),"")</f>
        <v/>
      </c>
      <c r="CK30" s="4">
        <f>IF(COUNT(CE30:CE31)=2,ROUND((CE30/CE31-1)*100,4),"")</f>
        <v/>
      </c>
      <c r="CL30" s="5">
        <f>IF(COUNT(CE30:CE31)=2,(CE30-CE31)*100,"")</f>
        <v/>
      </c>
      <c r="CM30" s="3" t="n"/>
      <c r="CN30" s="4">
        <f>IFERROR(BO30-BN30,"")</f>
        <v/>
      </c>
      <c r="CO30" s="4">
        <f>IFERROR(BP30-BN30,"")</f>
        <v/>
      </c>
      <c r="CP30" s="6">
        <f>IF(COUNT(BM30:BM49)=20,IFERROR(CORREL(BM30:BM49,BN30:BN49),""),"")</f>
        <v/>
      </c>
      <c r="CQ30" s="4">
        <f>IFERROR(BQ30-BR30,"")</f>
        <v/>
      </c>
      <c r="CR30" s="4">
        <f>IFERROR(BS30-BT30,"")</f>
        <v/>
      </c>
      <c r="CS30" s="6">
        <f>BZ30/CE30</f>
        <v/>
      </c>
      <c r="CT30" s="4">
        <f>IFERROR(BN30-BU30,"")</f>
        <v/>
      </c>
    </row>
    <row r="31">
      <c r="A31" s="3" t="inlineStr">
        <is>
          <t>2026/07/17</t>
        </is>
      </c>
      <c r="B31" s="3" t="n">
        <v>742.08</v>
      </c>
      <c r="C31" s="3" t="n">
        <v>747.29</v>
      </c>
      <c r="D31" s="3" t="n">
        <v>740.8</v>
      </c>
      <c r="E31" s="3" t="n">
        <v>743.29</v>
      </c>
      <c r="F31" s="3" t="n">
        <v>743.29</v>
      </c>
      <c r="G31" s="3" t="n">
        <v>62651000</v>
      </c>
      <c r="H31" s="3" t="n"/>
      <c r="I31" s="3" t="n">
        <v>84.62</v>
      </c>
      <c r="J31" s="3" t="n">
        <v>84.81999999999999</v>
      </c>
      <c r="K31" s="3" t="n">
        <v>84.48999999999999</v>
      </c>
      <c r="L31" s="3" t="n">
        <v>84.52</v>
      </c>
      <c r="M31" s="3" t="n">
        <v>84.18089999999999</v>
      </c>
      <c r="N31" s="3" t="n">
        <v>22065600</v>
      </c>
      <c r="O31" s="3" t="n"/>
      <c r="P31" s="3" t="n">
        <v>79.75</v>
      </c>
      <c r="Q31" s="3" t="n">
        <v>79.84</v>
      </c>
      <c r="R31" s="3" t="n">
        <v>79.63</v>
      </c>
      <c r="S31" s="3" t="n">
        <v>79.65000000000001</v>
      </c>
      <c r="T31" s="3" t="n">
        <v>79.26519999999999</v>
      </c>
      <c r="U31" s="3" t="n">
        <v>42020100</v>
      </c>
      <c r="V31" s="3" t="n"/>
      <c r="W31" s="3" t="n">
        <v>96.09</v>
      </c>
      <c r="X31" s="3" t="n">
        <v>96.14</v>
      </c>
      <c r="Y31" s="3" t="n">
        <v>95.95</v>
      </c>
      <c r="Z31" s="3" t="n">
        <v>95.98</v>
      </c>
      <c r="AA31" s="3" t="n">
        <v>95.4513</v>
      </c>
      <c r="AB31" s="3" t="n">
        <v>1387300</v>
      </c>
      <c r="AC31" s="3" t="n"/>
      <c r="AD31" s="3" t="n">
        <v>28.38</v>
      </c>
      <c r="AE31" s="3" t="n">
        <v>28.38</v>
      </c>
      <c r="AF31" s="3" t="n">
        <v>28.33</v>
      </c>
      <c r="AG31" s="3" t="n">
        <v>28.33</v>
      </c>
      <c r="AH31" s="3" t="n">
        <v>28.33</v>
      </c>
      <c r="AI31" s="3" t="n">
        <v>1134200</v>
      </c>
      <c r="AJ31" s="3" t="n"/>
      <c r="AK31" s="3" t="n">
        <v>364.11</v>
      </c>
      <c r="AL31" s="3" t="n">
        <v>369.21</v>
      </c>
      <c r="AM31" s="3" t="n">
        <v>363.6</v>
      </c>
      <c r="AN31" s="3" t="n">
        <v>368.41</v>
      </c>
      <c r="AO31" s="3" t="n">
        <v>368.41</v>
      </c>
      <c r="AP31" s="3" t="n">
        <v>6456600</v>
      </c>
      <c r="AQ31" s="3" t="n"/>
      <c r="AR31" s="3" t="n">
        <v>172.85</v>
      </c>
      <c r="AS31" s="3" t="n">
        <v>177.92</v>
      </c>
      <c r="AT31" s="3" t="n">
        <v>171.34</v>
      </c>
      <c r="AU31" s="3" t="n">
        <v>175.59</v>
      </c>
      <c r="AV31" s="3" t="n">
        <v>175.59</v>
      </c>
      <c r="AW31" s="3" t="n">
        <v>12036700</v>
      </c>
      <c r="AX31" s="3" t="n"/>
      <c r="AY31" s="3" t="n">
        <v>56.43</v>
      </c>
      <c r="AZ31" s="3" t="n">
        <v>56.94</v>
      </c>
      <c r="BA31" s="3" t="n">
        <v>56.12</v>
      </c>
      <c r="BB31" s="3" t="n">
        <v>56.26</v>
      </c>
      <c r="BC31" s="3" t="n">
        <v>56.26</v>
      </c>
      <c r="BD31" s="3" t="n">
        <v>42881800</v>
      </c>
      <c r="BE31" s="3" t="n"/>
      <c r="BF31" s="3" t="n">
        <v>108.27</v>
      </c>
      <c r="BG31" s="3" t="n">
        <v>108.37</v>
      </c>
      <c r="BH31" s="3" t="n">
        <v>108.17</v>
      </c>
      <c r="BI31" s="3" t="n">
        <v>108.27</v>
      </c>
      <c r="BJ31" s="3" t="n">
        <v>107.4813</v>
      </c>
      <c r="BK31" s="3" t="n">
        <v>1788800</v>
      </c>
      <c r="BL31" s="3" t="n"/>
      <c r="BM31" s="4">
        <f>IF(COUNT(F31:F32)=2,ROUND((F31/F32-1)*100,4),"")</f>
        <v/>
      </c>
      <c r="BN31" s="4">
        <f>IF(COUNT(M31:M32)=2,ROUND((M31/M32-1)*100,4),"")</f>
        <v/>
      </c>
      <c r="BO31" s="4">
        <f>IF(COUNT(T31:T32)=2,ROUND((T31/T32-1)*100,4),"")</f>
        <v/>
      </c>
      <c r="BP31" s="4">
        <f>IF(COUNT(AA31:AA32)=2,ROUND((AA31/AA32-1)*100,4),"")</f>
        <v/>
      </c>
      <c r="BQ31" s="4">
        <f>IF(COUNT(AH31:AH32)=2,ROUND((AH31/AH32-1)*100,4),"")</f>
        <v/>
      </c>
      <c r="BR31" s="4">
        <f>IF(COUNT(AO31:AO32)=2,ROUND((AO31/AO32-1)*100,4),"")</f>
        <v/>
      </c>
      <c r="BS31" s="4">
        <f>IF(COUNT(AV31:AV32)=2,ROUND((AV31/AV32-1)*100,4),"")</f>
        <v/>
      </c>
      <c r="BT31" s="4">
        <f>IF(COUNT(BC31:BC32)=2,ROUND((BC31/BC32-1)*100,4),"")</f>
        <v/>
      </c>
      <c r="BU31" s="4">
        <f>IF(COUNT(BJ31:BJ32)=2,ROUND((BJ31/BJ32-1)*100,4),"")</f>
        <v/>
      </c>
      <c r="BV31" s="3" t="n"/>
      <c r="BW31" s="3" t="n">
        <v>18.01</v>
      </c>
      <c r="BX31" s="3" t="n">
        <v>19.5</v>
      </c>
      <c r="BY31" s="3" t="n">
        <v>17.68</v>
      </c>
      <c r="BZ31" s="3" t="n">
        <v>18.77</v>
      </c>
      <c r="CA31" s="3" t="n"/>
      <c r="CB31" s="3" t="n">
        <v>4.521</v>
      </c>
      <c r="CC31" s="3" t="n">
        <v>4.55</v>
      </c>
      <c r="CD31" s="3" t="n">
        <v>4.511</v>
      </c>
      <c r="CE31" s="3" t="n">
        <v>4.541</v>
      </c>
      <c r="CF31" s="3" t="n"/>
      <c r="CG31" s="4">
        <f>IF(COUNT(BZ31:BZ32)=2,ROUND((BZ31/BZ32-1)*100,4),"")</f>
        <v/>
      </c>
      <c r="CH31" s="4">
        <f>IF(COUNT(BZ31:BZ32)=2,ROUND((BZ31/BZ32-1)*100,4),"")</f>
        <v/>
      </c>
      <c r="CI31" s="4">
        <f>IF(COUNT(BZ31:BZ36)=6,ROUND((BZ31/BZ36-1)*100,4),"")</f>
        <v/>
      </c>
      <c r="CJ31" s="4">
        <f>IF(COUNT(CH31:CH50)=20,IFERROR(ROUND(STDEV(CH31:CH50),4),""),"")</f>
        <v/>
      </c>
      <c r="CK31" s="4">
        <f>IF(COUNT(CE31:CE32)=2,ROUND((CE31/CE32-1)*100,4),"")</f>
        <v/>
      </c>
      <c r="CL31" s="5">
        <f>IF(COUNT(CE31:CE32)=2,(CE31-CE32)*100,"")</f>
        <v/>
      </c>
      <c r="CM31" s="3" t="n"/>
      <c r="CN31" s="4">
        <f>IFERROR(BO31-BN31,"")</f>
        <v/>
      </c>
      <c r="CO31" s="4">
        <f>IFERROR(BP31-BN31,"")</f>
        <v/>
      </c>
      <c r="CP31" s="6">
        <f>IF(COUNT(BM31:BM50)=20,IFERROR(CORREL(BM31:BM50,BN31:BN50),""),"")</f>
        <v/>
      </c>
      <c r="CQ31" s="4">
        <f>IFERROR(BQ31-BR31,"")</f>
        <v/>
      </c>
      <c r="CR31" s="4">
        <f>IFERROR(BS31-BT31,"")</f>
        <v/>
      </c>
      <c r="CS31" s="6">
        <f>BZ31/CE31</f>
        <v/>
      </c>
      <c r="CT31" s="4">
        <f>IFERROR(BN31-BU31,"")</f>
        <v/>
      </c>
    </row>
    <row r="32">
      <c r="A32" s="3" t="inlineStr">
        <is>
          <t>2026/07/16</t>
        </is>
      </c>
      <c r="B32" s="3" t="n">
        <v>752.76</v>
      </c>
      <c r="C32" s="3" t="n">
        <v>754.5700000000001</v>
      </c>
      <c r="D32" s="3" t="n">
        <v>747.88</v>
      </c>
      <c r="E32" s="3" t="n">
        <v>750.72</v>
      </c>
      <c r="F32" s="3" t="n">
        <v>750.72</v>
      </c>
      <c r="G32" s="3" t="n">
        <v>46409800</v>
      </c>
      <c r="H32" s="3" t="n"/>
      <c r="I32" s="3" t="n">
        <v>83.84</v>
      </c>
      <c r="J32" s="3" t="n">
        <v>84.22</v>
      </c>
      <c r="K32" s="3" t="n">
        <v>83.79000000000001</v>
      </c>
      <c r="L32" s="3" t="n">
        <v>84.20999999999999</v>
      </c>
      <c r="M32" s="3" t="n">
        <v>83.8721</v>
      </c>
      <c r="N32" s="3" t="n">
        <v>20817800</v>
      </c>
      <c r="O32" s="3" t="n"/>
      <c r="P32" s="3" t="n">
        <v>79.76000000000001</v>
      </c>
      <c r="Q32" s="3" t="n">
        <v>79.84</v>
      </c>
      <c r="R32" s="3" t="n">
        <v>79.73</v>
      </c>
      <c r="S32" s="3" t="n">
        <v>79.8</v>
      </c>
      <c r="T32" s="3" t="n">
        <v>79.4145</v>
      </c>
      <c r="U32" s="3" t="n">
        <v>22780300</v>
      </c>
      <c r="V32" s="3" t="n"/>
      <c r="W32" s="3" t="n">
        <v>96</v>
      </c>
      <c r="X32" s="3" t="n">
        <v>96.12</v>
      </c>
      <c r="Y32" s="3" t="n">
        <v>96</v>
      </c>
      <c r="Z32" s="3" t="n">
        <v>96.08</v>
      </c>
      <c r="AA32" s="3" t="n">
        <v>95.5508</v>
      </c>
      <c r="AB32" s="3" t="n">
        <v>1653500</v>
      </c>
      <c r="AC32" s="3" t="n"/>
      <c r="AD32" s="3" t="n">
        <v>28.28</v>
      </c>
      <c r="AE32" s="3" t="n">
        <v>28.35</v>
      </c>
      <c r="AF32" s="3" t="n">
        <v>28.28</v>
      </c>
      <c r="AG32" s="3" t="n">
        <v>28.34</v>
      </c>
      <c r="AH32" s="3" t="n">
        <v>28.34</v>
      </c>
      <c r="AI32" s="3" t="n">
        <v>2893800</v>
      </c>
      <c r="AJ32" s="3" t="n"/>
      <c r="AK32" s="3" t="n">
        <v>367.45</v>
      </c>
      <c r="AL32" s="3" t="n">
        <v>368.43</v>
      </c>
      <c r="AM32" s="3" t="n">
        <v>364.05</v>
      </c>
      <c r="AN32" s="3" t="n">
        <v>364.96</v>
      </c>
      <c r="AO32" s="3" t="n">
        <v>364.96</v>
      </c>
      <c r="AP32" s="3" t="n">
        <v>9048000</v>
      </c>
      <c r="AQ32" s="3" t="n"/>
      <c r="AR32" s="3" t="n">
        <v>179</v>
      </c>
      <c r="AS32" s="3" t="n">
        <v>179.48</v>
      </c>
      <c r="AT32" s="3" t="n">
        <v>176.41</v>
      </c>
      <c r="AU32" s="3" t="n">
        <v>177.52</v>
      </c>
      <c r="AV32" s="3" t="n">
        <v>177.52</v>
      </c>
      <c r="AW32" s="3" t="n">
        <v>8666500</v>
      </c>
      <c r="AX32" s="3" t="n"/>
      <c r="AY32" s="3" t="n">
        <v>56.76</v>
      </c>
      <c r="AZ32" s="3" t="n">
        <v>56.84</v>
      </c>
      <c r="BA32" s="3" t="n">
        <v>56.39</v>
      </c>
      <c r="BB32" s="3" t="n">
        <v>56.75</v>
      </c>
      <c r="BC32" s="3" t="n">
        <v>56.75</v>
      </c>
      <c r="BD32" s="3" t="n">
        <v>27591200</v>
      </c>
      <c r="BE32" s="3" t="n"/>
      <c r="BF32" s="3" t="n">
        <v>107.98</v>
      </c>
      <c r="BG32" s="3" t="n">
        <v>108.05</v>
      </c>
      <c r="BH32" s="3" t="n">
        <v>107.92</v>
      </c>
      <c r="BI32" s="3" t="n">
        <v>107.97</v>
      </c>
      <c r="BJ32" s="3" t="n">
        <v>107.1835</v>
      </c>
      <c r="BK32" s="3" t="n">
        <v>863900</v>
      </c>
      <c r="BL32" s="3" t="n"/>
      <c r="BM32" s="4">
        <f>IF(COUNT(F32:F33)=2,ROUND((F32/F33-1)*100,4),"")</f>
        <v/>
      </c>
      <c r="BN32" s="4">
        <f>IF(COUNT(M32:M33)=2,ROUND((M32/M33-1)*100,4),"")</f>
        <v/>
      </c>
      <c r="BO32" s="4">
        <f>IF(COUNT(T32:T33)=2,ROUND((T32/T33-1)*100,4),"")</f>
        <v/>
      </c>
      <c r="BP32" s="4">
        <f>IF(COUNT(AA32:AA33)=2,ROUND((AA32/AA33-1)*100,4),"")</f>
        <v/>
      </c>
      <c r="BQ32" s="4">
        <f>IF(COUNT(AH32:AH33)=2,ROUND((AH32/AH33-1)*100,4),"")</f>
        <v/>
      </c>
      <c r="BR32" s="4">
        <f>IF(COUNT(AO32:AO33)=2,ROUND((AO32/AO33-1)*100,4),"")</f>
        <v/>
      </c>
      <c r="BS32" s="4">
        <f>IF(COUNT(AV32:AV33)=2,ROUND((AV32/AV33-1)*100,4),"")</f>
        <v/>
      </c>
      <c r="BT32" s="4">
        <f>IF(COUNT(BC32:BC33)=2,ROUND((BC32/BC33-1)*100,4),"")</f>
        <v/>
      </c>
      <c r="BU32" s="4">
        <f>IF(COUNT(BJ32:BJ33)=2,ROUND((BJ32/BJ33-1)*100,4),"")</f>
        <v/>
      </c>
      <c r="BV32" s="3" t="n"/>
      <c r="BW32" s="3" t="n">
        <v>15.82</v>
      </c>
      <c r="BX32" s="3" t="n">
        <v>17.23</v>
      </c>
      <c r="BY32" s="3" t="n">
        <v>15.77</v>
      </c>
      <c r="BZ32" s="3" t="n">
        <v>16.73</v>
      </c>
      <c r="CA32" s="3" t="n"/>
      <c r="CB32" s="3" t="n">
        <v>4.582</v>
      </c>
      <c r="CC32" s="3" t="n">
        <v>4.596</v>
      </c>
      <c r="CD32" s="3" t="n">
        <v>4.561</v>
      </c>
      <c r="CE32" s="3" t="n">
        <v>4.569</v>
      </c>
      <c r="CF32" s="3" t="n"/>
      <c r="CG32" s="4">
        <f>IF(COUNT(BZ32:BZ33)=2,ROUND((BZ32/BZ33-1)*100,4),"")</f>
        <v/>
      </c>
      <c r="CH32" s="4">
        <f>IF(COUNT(BZ32:BZ33)=2,ROUND((BZ32/BZ33-1)*100,4),"")</f>
        <v/>
      </c>
      <c r="CI32" s="4">
        <f>IF(COUNT(BZ32:BZ37)=6,ROUND((BZ32/BZ37-1)*100,4),"")</f>
        <v/>
      </c>
      <c r="CJ32" s="4">
        <f>IF(COUNT(CH32:CH51)=20,IFERROR(ROUND(STDEV(CH32:CH51),4),""),"")</f>
        <v/>
      </c>
      <c r="CK32" s="4">
        <f>IF(COUNT(CE32:CE33)=2,ROUND((CE32/CE33-1)*100,4),"")</f>
        <v/>
      </c>
      <c r="CL32" s="5">
        <f>IF(COUNT(CE32:CE33)=2,(CE32-CE33)*100,"")</f>
        <v/>
      </c>
      <c r="CM32" s="3" t="n"/>
      <c r="CN32" s="4">
        <f>IFERROR(BO32-BN32,"")</f>
        <v/>
      </c>
      <c r="CO32" s="4">
        <f>IFERROR(BP32-BN32,"")</f>
        <v/>
      </c>
      <c r="CP32" s="6">
        <f>IF(COUNT(BM32:BM51)=20,IFERROR(CORREL(BM32:BM51,BN32:BN51),""),"")</f>
        <v/>
      </c>
      <c r="CQ32" s="4">
        <f>IFERROR(BQ32-BR32,"")</f>
        <v/>
      </c>
      <c r="CR32" s="4">
        <f>IFERROR(BS32-BT32,"")</f>
        <v/>
      </c>
      <c r="CS32" s="6">
        <f>BZ32/CE32</f>
        <v/>
      </c>
      <c r="CT32" s="4">
        <f>IFERROR(BN32-BU32,"")</f>
        <v/>
      </c>
    </row>
    <row r="33">
      <c r="A33" s="3" t="inlineStr">
        <is>
          <t>2026/07/15</t>
        </is>
      </c>
      <c r="B33" s="3" t="n">
        <v>754.24</v>
      </c>
      <c r="C33" s="3" t="n">
        <v>755.58</v>
      </c>
      <c r="D33" s="3" t="n">
        <v>750.2</v>
      </c>
      <c r="E33" s="3" t="n">
        <v>754.8099999999999</v>
      </c>
      <c r="F33" s="3" t="n">
        <v>754.8099999999999</v>
      </c>
      <c r="G33" s="3" t="n">
        <v>43844800</v>
      </c>
      <c r="H33" s="3" t="n"/>
      <c r="I33" s="3" t="n">
        <v>84.08</v>
      </c>
      <c r="J33" s="3" t="n">
        <v>84.41</v>
      </c>
      <c r="K33" s="3" t="n">
        <v>84.08</v>
      </c>
      <c r="L33" s="3" t="n">
        <v>84.23999999999999</v>
      </c>
      <c r="M33" s="3" t="n">
        <v>83.902</v>
      </c>
      <c r="N33" s="3" t="n">
        <v>17837800</v>
      </c>
      <c r="O33" s="3" t="n"/>
      <c r="P33" s="3" t="n">
        <v>79.70999999999999</v>
      </c>
      <c r="Q33" s="3" t="n">
        <v>79.84</v>
      </c>
      <c r="R33" s="3" t="n">
        <v>79.70999999999999</v>
      </c>
      <c r="S33" s="3" t="n">
        <v>79.81</v>
      </c>
      <c r="T33" s="3" t="n">
        <v>79.42440000000001</v>
      </c>
      <c r="U33" s="3" t="n">
        <v>26948800</v>
      </c>
      <c r="V33" s="3" t="n"/>
      <c r="W33" s="3" t="n">
        <v>96</v>
      </c>
      <c r="X33" s="3" t="n">
        <v>96.13</v>
      </c>
      <c r="Y33" s="3" t="n">
        <v>95.90000000000001</v>
      </c>
      <c r="Z33" s="3" t="n">
        <v>96.06999999999999</v>
      </c>
      <c r="AA33" s="3" t="n">
        <v>95.5408</v>
      </c>
      <c r="AB33" s="3" t="n">
        <v>1807300</v>
      </c>
      <c r="AC33" s="3" t="n"/>
      <c r="AD33" s="3" t="n">
        <v>28.37</v>
      </c>
      <c r="AE33" s="3" t="n">
        <v>28.37</v>
      </c>
      <c r="AF33" s="3" t="n">
        <v>28.22</v>
      </c>
      <c r="AG33" s="3" t="n">
        <v>28.25</v>
      </c>
      <c r="AH33" s="3" t="n">
        <v>28.25</v>
      </c>
      <c r="AI33" s="3" t="n">
        <v>2209200</v>
      </c>
      <c r="AJ33" s="3" t="n"/>
      <c r="AK33" s="3" t="n">
        <v>372.11</v>
      </c>
      <c r="AL33" s="3" t="n">
        <v>374.49</v>
      </c>
      <c r="AM33" s="3" t="n">
        <v>369.5</v>
      </c>
      <c r="AN33" s="3" t="n">
        <v>372.35</v>
      </c>
      <c r="AO33" s="3" t="n">
        <v>372.35</v>
      </c>
      <c r="AP33" s="3" t="n">
        <v>7683700</v>
      </c>
      <c r="AQ33" s="3" t="n"/>
      <c r="AR33" s="3" t="n">
        <v>185.11</v>
      </c>
      <c r="AS33" s="3" t="n">
        <v>185.29</v>
      </c>
      <c r="AT33" s="3" t="n">
        <v>178.22</v>
      </c>
      <c r="AU33" s="3" t="n">
        <v>181.58</v>
      </c>
      <c r="AV33" s="3" t="n">
        <v>181.58</v>
      </c>
      <c r="AW33" s="3" t="n">
        <v>9256800</v>
      </c>
      <c r="AX33" s="3" t="n"/>
      <c r="AY33" s="3" t="n">
        <v>56.3</v>
      </c>
      <c r="AZ33" s="3" t="n">
        <v>56.82</v>
      </c>
      <c r="BA33" s="3" t="n">
        <v>56.18</v>
      </c>
      <c r="BB33" s="3" t="n">
        <v>56.56</v>
      </c>
      <c r="BC33" s="3" t="n">
        <v>56.56</v>
      </c>
      <c r="BD33" s="3" t="n">
        <v>49425400</v>
      </c>
      <c r="BE33" s="3" t="n"/>
      <c r="BF33" s="3" t="n">
        <v>107.99</v>
      </c>
      <c r="BG33" s="3" t="n">
        <v>108.16</v>
      </c>
      <c r="BH33" s="3" t="n">
        <v>107.99</v>
      </c>
      <c r="BI33" s="3" t="n">
        <v>108.07</v>
      </c>
      <c r="BJ33" s="3" t="n">
        <v>107.2828</v>
      </c>
      <c r="BK33" s="3" t="n">
        <v>1900400</v>
      </c>
      <c r="BL33" s="3" t="n"/>
      <c r="BM33" s="4">
        <f>IF(COUNT(F33:F34)=2,ROUND((F33/F34-1)*100,4),"")</f>
        <v/>
      </c>
      <c r="BN33" s="4">
        <f>IF(COUNT(M33:M34)=2,ROUND((M33/M34-1)*100,4),"")</f>
        <v/>
      </c>
      <c r="BO33" s="4">
        <f>IF(COUNT(T33:T34)=2,ROUND((T33/T34-1)*100,4),"")</f>
        <v/>
      </c>
      <c r="BP33" s="4">
        <f>IF(COUNT(AA33:AA34)=2,ROUND((AA33/AA34-1)*100,4),"")</f>
        <v/>
      </c>
      <c r="BQ33" s="4">
        <f>IF(COUNT(AH33:AH34)=2,ROUND((AH33/AH34-1)*100,4),"")</f>
        <v/>
      </c>
      <c r="BR33" s="4">
        <f>IF(COUNT(AO33:AO34)=2,ROUND((AO33/AO34-1)*100,4),"")</f>
        <v/>
      </c>
      <c r="BS33" s="4">
        <f>IF(COUNT(AV33:AV34)=2,ROUND((AV33/AV34-1)*100,4),"")</f>
        <v/>
      </c>
      <c r="BT33" s="4">
        <f>IF(COUNT(BC33:BC34)=2,ROUND((BC33/BC34-1)*100,4),"")</f>
        <v/>
      </c>
      <c r="BU33" s="4">
        <f>IF(COUNT(BJ33:BJ34)=2,ROUND((BJ33/BJ34-1)*100,4),"")</f>
        <v/>
      </c>
      <c r="BV33" s="3" t="n"/>
      <c r="BW33" s="3" t="n">
        <v>16.2</v>
      </c>
      <c r="BX33" s="3" t="n">
        <v>16.57</v>
      </c>
      <c r="BY33" s="3" t="n">
        <v>15.64</v>
      </c>
      <c r="BZ33" s="3" t="n">
        <v>15.67</v>
      </c>
      <c r="CA33" s="3" t="n"/>
      <c r="CB33" s="3" t="n">
        <v>4.608</v>
      </c>
      <c r="CC33" s="3" t="n">
        <v>4.61</v>
      </c>
      <c r="CD33" s="3" t="n">
        <v>4.539</v>
      </c>
      <c r="CE33" s="3" t="n">
        <v>4.545</v>
      </c>
      <c r="CF33" s="3" t="n"/>
      <c r="CG33" s="4">
        <f>IF(COUNT(BZ33:BZ34)=2,ROUND((BZ33/BZ34-1)*100,4),"")</f>
        <v/>
      </c>
      <c r="CH33" s="4">
        <f>IF(COUNT(BZ33:BZ34)=2,ROUND((BZ33/BZ34-1)*100,4),"")</f>
        <v/>
      </c>
      <c r="CI33" s="4">
        <f>IF(COUNT(BZ33:BZ38)=6,ROUND((BZ33/BZ38-1)*100,4),"")</f>
        <v/>
      </c>
      <c r="CJ33" s="4">
        <f>IF(COUNT(CH33:CH52)=20,IFERROR(ROUND(STDEV(CH33:CH52),4),""),"")</f>
        <v/>
      </c>
      <c r="CK33" s="4">
        <f>IF(COUNT(CE33:CE34)=2,ROUND((CE33/CE34-1)*100,4),"")</f>
        <v/>
      </c>
      <c r="CL33" s="5">
        <f>IF(COUNT(CE33:CE34)=2,(CE33-CE34)*100,"")</f>
        <v/>
      </c>
      <c r="CM33" s="3" t="n"/>
      <c r="CN33" s="4">
        <f>IFERROR(BO33-BN33,"")</f>
        <v/>
      </c>
      <c r="CO33" s="4">
        <f>IFERROR(BP33-BN33,"")</f>
        <v/>
      </c>
      <c r="CP33" s="6">
        <f>IF(COUNT(BM33:BM52)=20,IFERROR(CORREL(BM33:BM52,BN33:BN52),""),"")</f>
        <v/>
      </c>
      <c r="CQ33" s="4">
        <f>IFERROR(BQ33-BR33,"")</f>
        <v/>
      </c>
      <c r="CR33" s="4">
        <f>IFERROR(BS33-BT33,"")</f>
        <v/>
      </c>
      <c r="CS33" s="6">
        <f>BZ33/CE33</f>
        <v/>
      </c>
      <c r="CT33" s="4">
        <f>IFERROR(BN33-BU33,"")</f>
        <v/>
      </c>
    </row>
    <row r="34">
      <c r="A34" s="3" t="inlineStr">
        <is>
          <t>2026/07/14</t>
        </is>
      </c>
      <c r="B34" s="3" t="n">
        <v>750.91</v>
      </c>
      <c r="C34" s="3" t="n">
        <v>753.34</v>
      </c>
      <c r="D34" s="3" t="n">
        <v>748.66</v>
      </c>
      <c r="E34" s="3" t="n">
        <v>751.83</v>
      </c>
      <c r="F34" s="3" t="n">
        <v>751.83</v>
      </c>
      <c r="G34" s="3" t="n">
        <v>35143100</v>
      </c>
      <c r="H34" s="3" t="n"/>
      <c r="I34" s="3" t="n">
        <v>84.18000000000001</v>
      </c>
      <c r="J34" s="3" t="n">
        <v>84.5</v>
      </c>
      <c r="K34" s="3" t="n">
        <v>84.04000000000001</v>
      </c>
      <c r="L34" s="3" t="n">
        <v>84.08</v>
      </c>
      <c r="M34" s="3" t="n">
        <v>83.7427</v>
      </c>
      <c r="N34" s="3" t="n">
        <v>23793500</v>
      </c>
      <c r="O34" s="3" t="n"/>
      <c r="P34" s="3" t="n">
        <v>79.68000000000001</v>
      </c>
      <c r="Q34" s="3" t="n">
        <v>79.69</v>
      </c>
      <c r="R34" s="3" t="n">
        <v>79.56999999999999</v>
      </c>
      <c r="S34" s="3" t="n">
        <v>79.68000000000001</v>
      </c>
      <c r="T34" s="3" t="n">
        <v>79.295</v>
      </c>
      <c r="U34" s="3" t="n">
        <v>28248700</v>
      </c>
      <c r="V34" s="3" t="n"/>
      <c r="W34" s="3" t="n">
        <v>95.90000000000001</v>
      </c>
      <c r="X34" s="3" t="n">
        <v>96.03</v>
      </c>
      <c r="Y34" s="3" t="n">
        <v>95.81</v>
      </c>
      <c r="Z34" s="3" t="n">
        <v>95.90000000000001</v>
      </c>
      <c r="AA34" s="3" t="n">
        <v>95.37179999999999</v>
      </c>
      <c r="AB34" s="3" t="n">
        <v>2297200</v>
      </c>
      <c r="AC34" s="3" t="n"/>
      <c r="AD34" s="3" t="n">
        <v>28.32</v>
      </c>
      <c r="AE34" s="3" t="n">
        <v>28.4</v>
      </c>
      <c r="AF34" s="3" t="n">
        <v>28.29</v>
      </c>
      <c r="AG34" s="3" t="n">
        <v>28.39</v>
      </c>
      <c r="AH34" s="3" t="n">
        <v>28.39</v>
      </c>
      <c r="AI34" s="3" t="n">
        <v>2503500</v>
      </c>
      <c r="AJ34" s="3" t="n"/>
      <c r="AK34" s="3" t="n">
        <v>374.53</v>
      </c>
      <c r="AL34" s="3" t="n">
        <v>376.28</v>
      </c>
      <c r="AM34" s="3" t="n">
        <v>370.92</v>
      </c>
      <c r="AN34" s="3" t="n">
        <v>372.15</v>
      </c>
      <c r="AO34" s="3" t="n">
        <v>372.15</v>
      </c>
      <c r="AP34" s="3" t="n">
        <v>6303400</v>
      </c>
      <c r="AQ34" s="3" t="n"/>
      <c r="AR34" s="3" t="n">
        <v>183.71</v>
      </c>
      <c r="AS34" s="3" t="n">
        <v>184.43</v>
      </c>
      <c r="AT34" s="3" t="n">
        <v>181.33</v>
      </c>
      <c r="AU34" s="3" t="n">
        <v>183.62</v>
      </c>
      <c r="AV34" s="3" t="n">
        <v>183.62</v>
      </c>
      <c r="AW34" s="3" t="n">
        <v>6399600</v>
      </c>
      <c r="AX34" s="3" t="n"/>
      <c r="AY34" s="3" t="n">
        <v>55.6</v>
      </c>
      <c r="AZ34" s="3" t="n">
        <v>56.8</v>
      </c>
      <c r="BA34" s="3" t="n">
        <v>55.59</v>
      </c>
      <c r="BB34" s="3" t="n">
        <v>56.18</v>
      </c>
      <c r="BC34" s="3" t="n">
        <v>56.18</v>
      </c>
      <c r="BD34" s="3" t="n">
        <v>43208800</v>
      </c>
      <c r="BE34" s="3" t="n"/>
      <c r="BF34" s="3" t="n">
        <v>107.95</v>
      </c>
      <c r="BG34" s="3" t="n">
        <v>108.13</v>
      </c>
      <c r="BH34" s="3" t="n">
        <v>107.91</v>
      </c>
      <c r="BI34" s="3" t="n">
        <v>108.01</v>
      </c>
      <c r="BJ34" s="3" t="n">
        <v>107.2232</v>
      </c>
      <c r="BK34" s="3" t="n">
        <v>1451500</v>
      </c>
      <c r="BL34" s="3" t="n"/>
      <c r="BM34" s="4">
        <f>IF(COUNT(F34:F35)=2,ROUND((F34/F35-1)*100,4),"")</f>
        <v/>
      </c>
      <c r="BN34" s="4">
        <f>IF(COUNT(M34:M35)=2,ROUND((M34/M35-1)*100,4),"")</f>
        <v/>
      </c>
      <c r="BO34" s="4">
        <f>IF(COUNT(T34:T35)=2,ROUND((T34/T35-1)*100,4),"")</f>
        <v/>
      </c>
      <c r="BP34" s="4">
        <f>IF(COUNT(AA34:AA35)=2,ROUND((AA34/AA35-1)*100,4),"")</f>
        <v/>
      </c>
      <c r="BQ34" s="4">
        <f>IF(COUNT(AH34:AH35)=2,ROUND((AH34/AH35-1)*100,4),"")</f>
        <v/>
      </c>
      <c r="BR34" s="4">
        <f>IF(COUNT(AO34:AO35)=2,ROUND((AO34/AO35-1)*100,4),"")</f>
        <v/>
      </c>
      <c r="BS34" s="4">
        <f>IF(COUNT(AV34:AV35)=2,ROUND((AV34/AV35-1)*100,4),"")</f>
        <v/>
      </c>
      <c r="BT34" s="4">
        <f>IF(COUNT(BC34:BC35)=2,ROUND((BC34/BC35-1)*100,4),"")</f>
        <v/>
      </c>
      <c r="BU34" s="4">
        <f>IF(COUNT(BJ34:BJ35)=2,ROUND((BJ34/BJ35-1)*100,4),"")</f>
        <v/>
      </c>
      <c r="BV34" s="3" t="n"/>
      <c r="BW34" s="3" t="n">
        <v>17.21</v>
      </c>
      <c r="BX34" s="3" t="n">
        <v>17.56</v>
      </c>
      <c r="BY34" s="3" t="n">
        <v>16.15</v>
      </c>
      <c r="BZ34" s="3" t="n">
        <v>16.5</v>
      </c>
      <c r="CA34" s="3" t="n"/>
      <c r="CB34" s="3" t="n">
        <v>4.614</v>
      </c>
      <c r="CC34" s="3" t="n">
        <v>4.614</v>
      </c>
      <c r="CD34" s="3" t="n">
        <v>4.525</v>
      </c>
      <c r="CE34" s="3" t="n">
        <v>4.585</v>
      </c>
      <c r="CF34" s="3" t="n"/>
      <c r="CG34" s="4">
        <f>IF(COUNT(BZ34:BZ35)=2,ROUND((BZ34/BZ35-1)*100,4),"")</f>
        <v/>
      </c>
      <c r="CH34" s="4">
        <f>IF(COUNT(BZ34:BZ35)=2,ROUND((BZ34/BZ35-1)*100,4),"")</f>
        <v/>
      </c>
      <c r="CI34" s="4">
        <f>IF(COUNT(BZ34:BZ39)=6,ROUND((BZ34/BZ39-1)*100,4),"")</f>
        <v/>
      </c>
      <c r="CJ34" s="4">
        <f>IF(COUNT(CH34:CH53)=20,IFERROR(ROUND(STDEV(CH34:CH53),4),""),"")</f>
        <v/>
      </c>
      <c r="CK34" s="4">
        <f>IF(COUNT(CE34:CE35)=2,ROUND((CE34/CE35-1)*100,4),"")</f>
        <v/>
      </c>
      <c r="CL34" s="5">
        <f>IF(COUNT(CE34:CE35)=2,(CE34-CE35)*100,"")</f>
        <v/>
      </c>
      <c r="CM34" s="3" t="n"/>
      <c r="CN34" s="4">
        <f>IFERROR(BO34-BN34,"")</f>
        <v/>
      </c>
      <c r="CO34" s="4">
        <f>IFERROR(BP34-BN34,"")</f>
        <v/>
      </c>
      <c r="CP34" s="6">
        <f>IF(COUNT(BM34:BM53)=20,IFERROR(CORREL(BM34:BM53,BN34:BN53),""),"")</f>
        <v/>
      </c>
      <c r="CQ34" s="4">
        <f>IFERROR(BQ34-BR34,"")</f>
        <v/>
      </c>
      <c r="CR34" s="4">
        <f>IFERROR(BS34-BT34,"")</f>
        <v/>
      </c>
      <c r="CS34" s="6">
        <f>BZ34/CE34</f>
        <v/>
      </c>
      <c r="CT34" s="4">
        <f>IFERROR(BN34-BU34,"")</f>
        <v/>
      </c>
    </row>
    <row r="35">
      <c r="A35" s="3" t="inlineStr">
        <is>
          <t>2026/07/13</t>
        </is>
      </c>
      <c r="B35" s="3" t="n">
        <v>752.47</v>
      </c>
      <c r="C35" s="3" t="n">
        <v>753.91</v>
      </c>
      <c r="D35" s="3" t="n">
        <v>748</v>
      </c>
      <c r="E35" s="3" t="n">
        <v>749.17</v>
      </c>
      <c r="F35" s="3" t="n">
        <v>749.17</v>
      </c>
      <c r="G35" s="3" t="n">
        <v>44013600</v>
      </c>
      <c r="H35" s="3" t="n"/>
      <c r="I35" s="3" t="n">
        <v>84.19</v>
      </c>
      <c r="J35" s="3" t="n">
        <v>84.28</v>
      </c>
      <c r="K35" s="3" t="n">
        <v>83.93000000000001</v>
      </c>
      <c r="L35" s="3" t="n">
        <v>83.97</v>
      </c>
      <c r="M35" s="3" t="n">
        <v>83.6331</v>
      </c>
      <c r="N35" s="3" t="n">
        <v>18742500</v>
      </c>
      <c r="O35" s="3" t="n"/>
      <c r="P35" s="3" t="n">
        <v>79.67</v>
      </c>
      <c r="Q35" s="3" t="n">
        <v>79.69</v>
      </c>
      <c r="R35" s="3" t="n">
        <v>79.45999999999999</v>
      </c>
      <c r="S35" s="3" t="n">
        <v>79.52</v>
      </c>
      <c r="T35" s="3" t="n">
        <v>79.1358</v>
      </c>
      <c r="U35" s="3" t="n">
        <v>32133300</v>
      </c>
      <c r="V35" s="3" t="n"/>
      <c r="W35" s="3" t="n">
        <v>95.87</v>
      </c>
      <c r="X35" s="3" t="n">
        <v>95.92</v>
      </c>
      <c r="Y35" s="3" t="n">
        <v>95.68000000000001</v>
      </c>
      <c r="Z35" s="3" t="n">
        <v>95.76000000000001</v>
      </c>
      <c r="AA35" s="3" t="n">
        <v>95.23260000000001</v>
      </c>
      <c r="AB35" s="3" t="n">
        <v>3234500</v>
      </c>
      <c r="AC35" s="3" t="n"/>
      <c r="AD35" s="3" t="n">
        <v>28.38</v>
      </c>
      <c r="AE35" s="3" t="n">
        <v>28.5</v>
      </c>
      <c r="AF35" s="3" t="n">
        <v>28.37</v>
      </c>
      <c r="AG35" s="3" t="n">
        <v>28.5</v>
      </c>
      <c r="AH35" s="3" t="n">
        <v>28.5</v>
      </c>
      <c r="AI35" s="3" t="n">
        <v>3187900</v>
      </c>
      <c r="AJ35" s="3" t="n"/>
      <c r="AK35" s="3" t="n">
        <v>372.77</v>
      </c>
      <c r="AL35" s="3" t="n">
        <v>372.89</v>
      </c>
      <c r="AM35" s="3" t="n">
        <v>365.77</v>
      </c>
      <c r="AN35" s="3" t="n">
        <v>367.13</v>
      </c>
      <c r="AO35" s="3" t="n">
        <v>367.13</v>
      </c>
      <c r="AP35" s="3" t="n">
        <v>7161700</v>
      </c>
      <c r="AQ35" s="3" t="n"/>
      <c r="AR35" s="3" t="n">
        <v>183.1</v>
      </c>
      <c r="AS35" s="3" t="n">
        <v>183.9</v>
      </c>
      <c r="AT35" s="3" t="n">
        <v>180.54</v>
      </c>
      <c r="AU35" s="3" t="n">
        <v>181.28</v>
      </c>
      <c r="AV35" s="3" t="n">
        <v>181.28</v>
      </c>
      <c r="AW35" s="3" t="n">
        <v>8595100</v>
      </c>
      <c r="AX35" s="3" t="n"/>
      <c r="AY35" s="3" t="n">
        <v>55.98</v>
      </c>
      <c r="AZ35" s="3" t="n">
        <v>56.16</v>
      </c>
      <c r="BA35" s="3" t="n">
        <v>55.61</v>
      </c>
      <c r="BB35" s="3" t="n">
        <v>56.07</v>
      </c>
      <c r="BC35" s="3" t="n">
        <v>56.07</v>
      </c>
      <c r="BD35" s="3" t="n">
        <v>33391000</v>
      </c>
      <c r="BE35" s="3" t="n"/>
      <c r="BF35" s="3" t="n">
        <v>108.05</v>
      </c>
      <c r="BG35" s="3" t="n">
        <v>108.05</v>
      </c>
      <c r="BH35" s="3" t="n">
        <v>107.82</v>
      </c>
      <c r="BI35" s="3" t="n">
        <v>107.91</v>
      </c>
      <c r="BJ35" s="3" t="n">
        <v>107.124</v>
      </c>
      <c r="BK35" s="3" t="n">
        <v>1153800</v>
      </c>
      <c r="BL35" s="3" t="n"/>
      <c r="BM35" s="4">
        <f>IF(COUNT(F35:F36)=2,ROUND((F35/F36-1)*100,4),"")</f>
        <v/>
      </c>
      <c r="BN35" s="4">
        <f>IF(COUNT(M35:M36)=2,ROUND((M35/M36-1)*100,4),"")</f>
        <v/>
      </c>
      <c r="BO35" s="4">
        <f>IF(COUNT(T35:T36)=2,ROUND((T35/T36-1)*100,4),"")</f>
        <v/>
      </c>
      <c r="BP35" s="4">
        <f>IF(COUNT(AA35:AA36)=2,ROUND((AA35/AA36-1)*100,4),"")</f>
        <v/>
      </c>
      <c r="BQ35" s="4">
        <f>IF(COUNT(AH35:AH36)=2,ROUND((AH35/AH36-1)*100,4),"")</f>
        <v/>
      </c>
      <c r="BR35" s="4">
        <f>IF(COUNT(AO35:AO36)=2,ROUND((AO35/AO36-1)*100,4),"")</f>
        <v/>
      </c>
      <c r="BS35" s="4">
        <f>IF(COUNT(AV35:AV36)=2,ROUND((AV35/AV36-1)*100,4),"")</f>
        <v/>
      </c>
      <c r="BT35" s="4">
        <f>IF(COUNT(BC35:BC36)=2,ROUND((BC35/BC36-1)*100,4),"")</f>
        <v/>
      </c>
      <c r="BU35" s="4">
        <f>IF(COUNT(BJ35:BJ36)=2,ROUND((BJ35/BJ36-1)*100,4),"")</f>
        <v/>
      </c>
      <c r="BV35" s="3" t="n"/>
      <c r="BW35" s="3" t="n">
        <v>16.32</v>
      </c>
      <c r="BX35" s="3" t="n">
        <v>17.41</v>
      </c>
      <c r="BY35" s="3" t="n">
        <v>16.03</v>
      </c>
      <c r="BZ35" s="3" t="n">
        <v>17.16</v>
      </c>
      <c r="CA35" s="3" t="n"/>
      <c r="CB35" s="3" t="n">
        <v>4.585</v>
      </c>
      <c r="CC35" s="3" t="n">
        <v>4.618</v>
      </c>
      <c r="CD35" s="3" t="n">
        <v>4.573</v>
      </c>
      <c r="CE35" s="3" t="n">
        <v>4.609</v>
      </c>
      <c r="CF35" s="3" t="n"/>
      <c r="CG35" s="4">
        <f>IF(COUNT(BZ35:BZ36)=2,ROUND((BZ35/BZ36-1)*100,4),"")</f>
        <v/>
      </c>
      <c r="CH35" s="4">
        <f>IF(COUNT(BZ35:BZ36)=2,ROUND((BZ35/BZ36-1)*100,4),"")</f>
        <v/>
      </c>
      <c r="CI35" s="4">
        <f>IF(COUNT(BZ35:BZ40)=6,ROUND((BZ35/BZ40-1)*100,4),"")</f>
        <v/>
      </c>
      <c r="CJ35" s="4">
        <f>IF(COUNT(CH35:CH54)=20,IFERROR(ROUND(STDEV(CH35:CH54),4),""),"")</f>
        <v/>
      </c>
      <c r="CK35" s="4">
        <f>IF(COUNT(CE35:CE36)=2,ROUND((CE35/CE36-1)*100,4),"")</f>
        <v/>
      </c>
      <c r="CL35" s="5">
        <f>IF(COUNT(CE35:CE36)=2,(CE35-CE36)*100,"")</f>
        <v/>
      </c>
      <c r="CM35" s="3" t="n"/>
      <c r="CN35" s="4">
        <f>IFERROR(BO35-BN35,"")</f>
        <v/>
      </c>
      <c r="CO35" s="4">
        <f>IFERROR(BP35-BN35,"")</f>
        <v/>
      </c>
      <c r="CP35" s="6">
        <f>IF(COUNT(BM35:BM54)=20,IFERROR(CORREL(BM35:BM54,BN35:BN54),""),"")</f>
        <v/>
      </c>
      <c r="CQ35" s="4">
        <f>IFERROR(BQ35-BR35,"")</f>
        <v/>
      </c>
      <c r="CR35" s="4">
        <f>IFERROR(BS35-BT35,"")</f>
        <v/>
      </c>
      <c r="CS35" s="6">
        <f>BZ35/CE35</f>
        <v/>
      </c>
      <c r="CT35" s="4">
        <f>IFERROR(BN35-BU35,"")</f>
        <v/>
      </c>
    </row>
    <row r="36">
      <c r="A36" s="3" t="inlineStr">
        <is>
          <t>2026/07/10</t>
        </is>
      </c>
      <c r="B36" s="3" t="n">
        <v>752.05</v>
      </c>
      <c r="C36" s="3" t="n">
        <v>755.42</v>
      </c>
      <c r="D36" s="3" t="n">
        <v>748.1</v>
      </c>
      <c r="E36" s="3" t="n">
        <v>754.95</v>
      </c>
      <c r="F36" s="3" t="n">
        <v>754.95</v>
      </c>
      <c r="G36" s="3" t="n">
        <v>42191300</v>
      </c>
      <c r="H36" s="3" t="n"/>
      <c r="I36" s="3" t="n">
        <v>84.51000000000001</v>
      </c>
      <c r="J36" s="3" t="n">
        <v>84.63</v>
      </c>
      <c r="K36" s="3" t="n">
        <v>84.28</v>
      </c>
      <c r="L36" s="3" t="n">
        <v>84.47</v>
      </c>
      <c r="M36" s="3" t="n">
        <v>84.1311</v>
      </c>
      <c r="N36" s="3" t="n">
        <v>14454100</v>
      </c>
      <c r="O36" s="3" t="n"/>
      <c r="P36" s="3" t="n">
        <v>79.78</v>
      </c>
      <c r="Q36" s="3" t="n">
        <v>79.83</v>
      </c>
      <c r="R36" s="3" t="n">
        <v>79.62</v>
      </c>
      <c r="S36" s="3" t="n">
        <v>79.70999999999999</v>
      </c>
      <c r="T36" s="3" t="n">
        <v>79.3249</v>
      </c>
      <c r="U36" s="3" t="n">
        <v>24550300</v>
      </c>
      <c r="V36" s="3" t="n"/>
      <c r="W36" s="3" t="n">
        <v>96.06</v>
      </c>
      <c r="X36" s="3" t="n">
        <v>96.08</v>
      </c>
      <c r="Y36" s="3" t="n">
        <v>95.86</v>
      </c>
      <c r="Z36" s="3" t="n">
        <v>95.93000000000001</v>
      </c>
      <c r="AA36" s="3" t="n">
        <v>95.4016</v>
      </c>
      <c r="AB36" s="3" t="n">
        <v>2389400</v>
      </c>
      <c r="AC36" s="3" t="n"/>
      <c r="AD36" s="3" t="n">
        <v>28.36</v>
      </c>
      <c r="AE36" s="3" t="n">
        <v>28.39</v>
      </c>
      <c r="AF36" s="3" t="n">
        <v>28.31</v>
      </c>
      <c r="AG36" s="3" t="n">
        <v>28.39</v>
      </c>
      <c r="AH36" s="3" t="n">
        <v>28.39</v>
      </c>
      <c r="AI36" s="3" t="n">
        <v>1810500</v>
      </c>
      <c r="AJ36" s="3" t="n"/>
      <c r="AK36" s="3" t="n">
        <v>375</v>
      </c>
      <c r="AL36" s="3" t="n">
        <v>377.55</v>
      </c>
      <c r="AM36" s="3" t="n">
        <v>373.7</v>
      </c>
      <c r="AN36" s="3" t="n">
        <v>377.01</v>
      </c>
      <c r="AO36" s="3" t="n">
        <v>377.01</v>
      </c>
      <c r="AP36" s="3" t="n">
        <v>5455400</v>
      </c>
      <c r="AQ36" s="3" t="n"/>
      <c r="AR36" s="3" t="n">
        <v>184.01</v>
      </c>
      <c r="AS36" s="3" t="n">
        <v>186.23</v>
      </c>
      <c r="AT36" s="3" t="n">
        <v>183.09</v>
      </c>
      <c r="AU36" s="3" t="n">
        <v>185.78</v>
      </c>
      <c r="AV36" s="3" t="n">
        <v>185.78</v>
      </c>
      <c r="AW36" s="3" t="n">
        <v>6162000</v>
      </c>
      <c r="AX36" s="3" t="n"/>
      <c r="AY36" s="3" t="n">
        <v>55.99</v>
      </c>
      <c r="AZ36" s="3" t="n">
        <v>56.03</v>
      </c>
      <c r="BA36" s="3" t="n">
        <v>55.36</v>
      </c>
      <c r="BB36" s="3" t="n">
        <v>55.71</v>
      </c>
      <c r="BC36" s="3" t="n">
        <v>55.71</v>
      </c>
      <c r="BD36" s="3" t="n">
        <v>24046300</v>
      </c>
      <c r="BE36" s="3" t="n"/>
      <c r="BF36" s="3" t="n">
        <v>108.08</v>
      </c>
      <c r="BG36" s="3" t="n">
        <v>108.15</v>
      </c>
      <c r="BH36" s="3" t="n">
        <v>107.98</v>
      </c>
      <c r="BI36" s="3" t="n">
        <v>108.13</v>
      </c>
      <c r="BJ36" s="3" t="n">
        <v>107.3424</v>
      </c>
      <c r="BK36" s="3" t="n">
        <v>1162700</v>
      </c>
      <c r="BL36" s="3" t="n"/>
      <c r="BM36" s="4">
        <f>IF(COUNT(F36:F37)=2,ROUND((F36/F37-1)*100,4),"")</f>
        <v/>
      </c>
      <c r="BN36" s="4">
        <f>IF(COUNT(M36:M37)=2,ROUND((M36/M37-1)*100,4),"")</f>
        <v/>
      </c>
      <c r="BO36" s="4">
        <f>IF(COUNT(T36:T37)=2,ROUND((T36/T37-1)*100,4),"")</f>
        <v/>
      </c>
      <c r="BP36" s="4">
        <f>IF(COUNT(AA36:AA37)=2,ROUND((AA36/AA37-1)*100,4),"")</f>
        <v/>
      </c>
      <c r="BQ36" s="4">
        <f>IF(COUNT(AH36:AH37)=2,ROUND((AH36/AH37-1)*100,4),"")</f>
        <v/>
      </c>
      <c r="BR36" s="4">
        <f>IF(COUNT(AO36:AO37)=2,ROUND((AO36/AO37-1)*100,4),"")</f>
        <v/>
      </c>
      <c r="BS36" s="4">
        <f>IF(COUNT(AV36:AV37)=2,ROUND((AV36/AV37-1)*100,4),"")</f>
        <v/>
      </c>
      <c r="BT36" s="4">
        <f>IF(COUNT(BC36:BC37)=2,ROUND((BC36/BC37-1)*100,4),"")</f>
        <v/>
      </c>
      <c r="BU36" s="4">
        <f>IF(COUNT(BJ36:BJ37)=2,ROUND((BJ36/BJ37-1)*100,4),"")</f>
        <v/>
      </c>
      <c r="BV36" s="3" t="n"/>
      <c r="BW36" s="3" t="n">
        <v>16.06</v>
      </c>
      <c r="BX36" s="3" t="n">
        <v>16.16</v>
      </c>
      <c r="BY36" s="3" t="n">
        <v>14.96</v>
      </c>
      <c r="BZ36" s="3" t="n">
        <v>15.03</v>
      </c>
      <c r="CA36" s="3" t="n"/>
      <c r="CB36" s="3" t="n">
        <v>4.541</v>
      </c>
      <c r="CC36" s="3" t="n">
        <v>4.571</v>
      </c>
      <c r="CD36" s="3" t="n">
        <v>4.539</v>
      </c>
      <c r="CE36" s="3" t="n">
        <v>4.569</v>
      </c>
      <c r="CF36" s="3" t="n"/>
      <c r="CG36" s="4">
        <f>IF(COUNT(BZ36:BZ37)=2,ROUND((BZ36/BZ37-1)*100,4),"")</f>
        <v/>
      </c>
      <c r="CH36" s="4">
        <f>IF(COUNT(BZ36:BZ37)=2,ROUND((BZ36/BZ37-1)*100,4),"")</f>
        <v/>
      </c>
      <c r="CI36" s="4" t="n"/>
      <c r="CJ36" s="4">
        <f>IF(COUNT(CH36:CH55)=20,IFERROR(ROUND(STDEV(CH36:CH55),4),""),"")</f>
        <v/>
      </c>
      <c r="CK36" s="4">
        <f>IF(COUNT(CE36:CE37)=2,ROUND((CE36/CE37-1)*100,4),"")</f>
        <v/>
      </c>
      <c r="CL36" s="5">
        <f>IF(COUNT(CE36:CE37)=2,(CE36-CE37)*100,"")</f>
        <v/>
      </c>
      <c r="CM36" s="3" t="n"/>
      <c r="CN36" s="4">
        <f>IFERROR(BO36-BN36,"")</f>
        <v/>
      </c>
      <c r="CO36" s="4">
        <f>IFERROR(BP36-BN36,"")</f>
        <v/>
      </c>
      <c r="CP36" s="6">
        <f>IF(COUNT(BM36:BM55)=20,IFERROR(CORREL(BM36:BM55,BN36:BN55),""),"")</f>
        <v/>
      </c>
      <c r="CQ36" s="4">
        <f>IFERROR(BQ36-BR36,"")</f>
        <v/>
      </c>
      <c r="CR36" s="4">
        <f>IFERROR(BS36-BT36,"")</f>
        <v/>
      </c>
      <c r="CS36" s="6">
        <f>BZ36/CE36</f>
        <v/>
      </c>
      <c r="CT36" s="4">
        <f>IFERROR(BN36-BU36,"")</f>
        <v/>
      </c>
    </row>
    <row r="37">
      <c r="A37" s="3" t="inlineStr">
        <is>
          <t>2026/07/09</t>
        </is>
      </c>
      <c r="B37" s="3" t="n">
        <v>747.35</v>
      </c>
      <c r="C37" s="3" t="n">
        <v>751.97</v>
      </c>
      <c r="D37" s="3" t="n">
        <v>745.59</v>
      </c>
      <c r="E37" s="3" t="n">
        <v>751.71</v>
      </c>
      <c r="F37" s="3" t="n">
        <v>751.71</v>
      </c>
      <c r="G37" s="3" t="n">
        <v>41441700</v>
      </c>
      <c r="H37" s="3" t="n"/>
      <c r="I37" s="3" t="n">
        <v>84.28</v>
      </c>
      <c r="J37" s="3" t="n">
        <v>84.68000000000001</v>
      </c>
      <c r="K37" s="3" t="n">
        <v>84.26000000000001</v>
      </c>
      <c r="L37" s="3" t="n">
        <v>84.48999999999999</v>
      </c>
      <c r="M37" s="3" t="n">
        <v>84.151</v>
      </c>
      <c r="N37" s="3" t="n">
        <v>18625300</v>
      </c>
      <c r="O37" s="3" t="n"/>
      <c r="P37" s="3" t="n">
        <v>79.73</v>
      </c>
      <c r="Q37" s="3" t="n">
        <v>79.86</v>
      </c>
      <c r="R37" s="3" t="n">
        <v>79.67</v>
      </c>
      <c r="S37" s="3" t="n">
        <v>79.75</v>
      </c>
      <c r="T37" s="3" t="n">
        <v>79.3647</v>
      </c>
      <c r="U37" s="3" t="n">
        <v>21882200</v>
      </c>
      <c r="V37" s="3" t="n"/>
      <c r="W37" s="3" t="n">
        <v>95.97</v>
      </c>
      <c r="X37" s="3" t="n">
        <v>96.15000000000001</v>
      </c>
      <c r="Y37" s="3" t="n">
        <v>95.91</v>
      </c>
      <c r="Z37" s="3" t="n">
        <v>96</v>
      </c>
      <c r="AA37" s="3" t="n">
        <v>95.4712</v>
      </c>
      <c r="AB37" s="3" t="n">
        <v>2655000</v>
      </c>
      <c r="AC37" s="3" t="n"/>
      <c r="AD37" s="3" t="n">
        <v>28.35</v>
      </c>
      <c r="AE37" s="3" t="n">
        <v>28.37</v>
      </c>
      <c r="AF37" s="3" t="n">
        <v>28.33</v>
      </c>
      <c r="AG37" s="3" t="n">
        <v>28.36</v>
      </c>
      <c r="AH37" s="3" t="n">
        <v>28.36</v>
      </c>
      <c r="AI37" s="3" t="n">
        <v>1543400</v>
      </c>
      <c r="AJ37" s="3" t="n"/>
      <c r="AK37" s="3" t="n">
        <v>378.51</v>
      </c>
      <c r="AL37" s="3" t="n">
        <v>379.65</v>
      </c>
      <c r="AM37" s="3" t="n">
        <v>377.41</v>
      </c>
      <c r="AN37" s="3" t="n">
        <v>378.18</v>
      </c>
      <c r="AO37" s="3" t="n">
        <v>378.18</v>
      </c>
      <c r="AP37" s="3" t="n">
        <v>4754600</v>
      </c>
      <c r="AQ37" s="3" t="n"/>
      <c r="AR37" s="3" t="n">
        <v>184.76</v>
      </c>
      <c r="AS37" s="3" t="n">
        <v>186.4</v>
      </c>
      <c r="AT37" s="3" t="n">
        <v>183.56</v>
      </c>
      <c r="AU37" s="3" t="n">
        <v>185.35</v>
      </c>
      <c r="AV37" s="3" t="n">
        <v>185.35</v>
      </c>
      <c r="AW37" s="3" t="n">
        <v>7756600</v>
      </c>
      <c r="AX37" s="3" t="n"/>
      <c r="AY37" s="3" t="n">
        <v>55.07</v>
      </c>
      <c r="AZ37" s="3" t="n">
        <v>55.69</v>
      </c>
      <c r="BA37" s="3" t="n">
        <v>54.97</v>
      </c>
      <c r="BB37" s="3" t="n">
        <v>55.54</v>
      </c>
      <c r="BC37" s="3" t="n">
        <v>55.54</v>
      </c>
      <c r="BD37" s="3" t="n">
        <v>26542000</v>
      </c>
      <c r="BE37" s="3" t="n"/>
      <c r="BF37" s="3" t="n">
        <v>108.14</v>
      </c>
      <c r="BG37" s="3" t="n">
        <v>108.22</v>
      </c>
      <c r="BH37" s="3" t="n">
        <v>108.09</v>
      </c>
      <c r="BI37" s="3" t="n">
        <v>108.12</v>
      </c>
      <c r="BJ37" s="3" t="n">
        <v>107.3324</v>
      </c>
      <c r="BK37" s="3" t="n">
        <v>1170800</v>
      </c>
      <c r="BL37" s="3" t="n"/>
      <c r="BM37" s="4">
        <f>IF(COUNT(F37:F38)=2,ROUND((F37/F38-1)*100,4),"")</f>
        <v/>
      </c>
      <c r="BN37" s="4">
        <f>IF(COUNT(M37:M38)=2,ROUND((M37/M38-1)*100,4),"")</f>
        <v/>
      </c>
      <c r="BO37" s="4">
        <f>IF(COUNT(T37:T38)=2,ROUND((T37/T38-1)*100,4),"")</f>
        <v/>
      </c>
      <c r="BP37" s="4">
        <f>IF(COUNT(AA37:AA38)=2,ROUND((AA37/AA38-1)*100,4),"")</f>
        <v/>
      </c>
      <c r="BQ37" s="4">
        <f>IF(COUNT(AH37:AH38)=2,ROUND((AH37/AH38-1)*100,4),"")</f>
        <v/>
      </c>
      <c r="BR37" s="4">
        <f>IF(COUNT(AO37:AO38)=2,ROUND((AO37/AO38-1)*100,4),"")</f>
        <v/>
      </c>
      <c r="BS37" s="4">
        <f>IF(COUNT(AV37:AV38)=2,ROUND((AV37/AV38-1)*100,4),"")</f>
        <v/>
      </c>
      <c r="BT37" s="4">
        <f>IF(COUNT(BC37:BC38)=2,ROUND((BC37/BC38-1)*100,4),"")</f>
        <v/>
      </c>
      <c r="BU37" s="4">
        <f>IF(COUNT(BJ37:BJ38)=2,ROUND((BJ37/BJ38-1)*100,4),"")</f>
        <v/>
      </c>
      <c r="BV37" s="3" t="n"/>
      <c r="BW37" s="3" t="n">
        <v>16.58</v>
      </c>
      <c r="BX37" s="3" t="n">
        <v>17.27</v>
      </c>
      <c r="BY37" s="3" t="n">
        <v>15.76</v>
      </c>
      <c r="BZ37" s="3" t="n">
        <v>15.84</v>
      </c>
      <c r="CA37" s="3" t="n"/>
      <c r="CB37" s="3" t="n">
        <v>4.577</v>
      </c>
      <c r="CC37" s="3" t="n">
        <v>4.581</v>
      </c>
      <c r="CD37" s="3" t="n">
        <v>4.529</v>
      </c>
      <c r="CE37" s="3" t="n">
        <v>4.539</v>
      </c>
      <c r="CF37" s="3" t="n"/>
      <c r="CG37" s="4">
        <f>IF(COUNT(BZ37:BZ38)=2,ROUND((BZ37/BZ38-1)*100,4),"")</f>
        <v/>
      </c>
      <c r="CH37" s="4">
        <f>IF(COUNT(BZ37:BZ38)=2,ROUND((BZ37/BZ38-1)*100,4),"")</f>
        <v/>
      </c>
      <c r="CI37" s="4" t="n"/>
      <c r="CJ37" s="4" t="n"/>
      <c r="CK37" s="4">
        <f>IF(COUNT(CE37:CE38)=2,ROUND((CE37/CE38-1)*100,4),"")</f>
        <v/>
      </c>
      <c r="CL37" s="5">
        <f>IF(COUNT(CE37:CE38)=2,(CE37-CE38)*100,"")</f>
        <v/>
      </c>
      <c r="CM37" s="3" t="n"/>
      <c r="CN37" s="4">
        <f>IFERROR(BO37-BN37,"")</f>
        <v/>
      </c>
      <c r="CO37" s="4">
        <f>IFERROR(BP37-BN37,"")</f>
        <v/>
      </c>
      <c r="CP37" s="6" t="n"/>
      <c r="CQ37" s="4">
        <f>IFERROR(BQ37-BR37,"")</f>
        <v/>
      </c>
      <c r="CR37" s="4">
        <f>IFERROR(BS37-BT37,"")</f>
        <v/>
      </c>
      <c r="CS37" s="6">
        <f>BZ37/CE37</f>
        <v/>
      </c>
      <c r="CT37" s="4">
        <f>IFERROR(BN37-BU37,"")</f>
        <v/>
      </c>
    </row>
    <row r="38">
      <c r="A38" s="3" t="inlineStr">
        <is>
          <t>2026/07/08</t>
        </is>
      </c>
      <c r="B38" s="3" t="n">
        <v>743.16</v>
      </c>
      <c r="C38" s="3" t="n">
        <v>746.15</v>
      </c>
      <c r="D38" s="3" t="n">
        <v>739.51</v>
      </c>
      <c r="E38" s="3" t="n">
        <v>745.4</v>
      </c>
      <c r="F38" s="3" t="n">
        <v>745.4</v>
      </c>
      <c r="G38" s="3" t="n">
        <v>43767400</v>
      </c>
      <c r="H38" s="3" t="n"/>
      <c r="I38" s="3" t="n">
        <v>84.31</v>
      </c>
      <c r="J38" s="3" t="n">
        <v>84.45</v>
      </c>
      <c r="K38" s="3" t="n">
        <v>84.06</v>
      </c>
      <c r="L38" s="3" t="n">
        <v>84.36</v>
      </c>
      <c r="M38" s="3" t="n">
        <v>84.0215</v>
      </c>
      <c r="N38" s="3" t="n">
        <v>25806600</v>
      </c>
      <c r="O38" s="3" t="n"/>
      <c r="P38" s="3" t="n">
        <v>79.61</v>
      </c>
      <c r="Q38" s="3" t="n">
        <v>79.68000000000001</v>
      </c>
      <c r="R38" s="3" t="n">
        <v>79.54000000000001</v>
      </c>
      <c r="S38" s="3" t="n">
        <v>79.66</v>
      </c>
      <c r="T38" s="3" t="n">
        <v>79.27509999999999</v>
      </c>
      <c r="U38" s="3" t="n">
        <v>30771300</v>
      </c>
      <c r="V38" s="3" t="n"/>
      <c r="W38" s="3" t="n">
        <v>95.84999999999999</v>
      </c>
      <c r="X38" s="3" t="n">
        <v>95.91</v>
      </c>
      <c r="Y38" s="3" t="n">
        <v>95.75</v>
      </c>
      <c r="Z38" s="3" t="n">
        <v>95.90000000000001</v>
      </c>
      <c r="AA38" s="3" t="n">
        <v>95.37179999999999</v>
      </c>
      <c r="AB38" s="3" t="n">
        <v>2989300</v>
      </c>
      <c r="AC38" s="3" t="n"/>
      <c r="AD38" s="3" t="n">
        <v>28.41</v>
      </c>
      <c r="AE38" s="3" t="n">
        <v>28.46</v>
      </c>
      <c r="AF38" s="3" t="n">
        <v>28.35</v>
      </c>
      <c r="AG38" s="3" t="n">
        <v>28.36</v>
      </c>
      <c r="AH38" s="3" t="n">
        <v>28.36</v>
      </c>
      <c r="AI38" s="3" t="n">
        <v>1338200</v>
      </c>
      <c r="AJ38" s="3" t="n"/>
      <c r="AK38" s="3" t="n">
        <v>373.17</v>
      </c>
      <c r="AL38" s="3" t="n">
        <v>375.47</v>
      </c>
      <c r="AM38" s="3" t="n">
        <v>368.95</v>
      </c>
      <c r="AN38" s="3" t="n">
        <v>374.45</v>
      </c>
      <c r="AO38" s="3" t="n">
        <v>374.45</v>
      </c>
      <c r="AP38" s="3" t="n">
        <v>7728500</v>
      </c>
      <c r="AQ38" s="3" t="n"/>
      <c r="AR38" s="3" t="n">
        <v>177.48</v>
      </c>
      <c r="AS38" s="3" t="n">
        <v>181.63</v>
      </c>
      <c r="AT38" s="3" t="n">
        <v>177.15</v>
      </c>
      <c r="AU38" s="3" t="n">
        <v>181.4</v>
      </c>
      <c r="AV38" s="3" t="n">
        <v>181.4</v>
      </c>
      <c r="AW38" s="3" t="n">
        <v>10528300</v>
      </c>
      <c r="AX38" s="3" t="n"/>
      <c r="AY38" s="3" t="n">
        <v>55.79</v>
      </c>
      <c r="AZ38" s="3" t="n">
        <v>55.8</v>
      </c>
      <c r="BA38" s="3" t="n">
        <v>54.95</v>
      </c>
      <c r="BB38" s="3" t="n">
        <v>54.97</v>
      </c>
      <c r="BC38" s="3" t="n">
        <v>54.97</v>
      </c>
      <c r="BD38" s="3" t="n">
        <v>41648100</v>
      </c>
      <c r="BE38" s="3" t="n"/>
      <c r="BF38" s="3" t="n">
        <v>108.09</v>
      </c>
      <c r="BG38" s="3" t="n">
        <v>108.12</v>
      </c>
      <c r="BH38" s="3" t="n">
        <v>107.98</v>
      </c>
      <c r="BI38" s="3" t="n">
        <v>108.05</v>
      </c>
      <c r="BJ38" s="3" t="n">
        <v>107.2629</v>
      </c>
      <c r="BK38" s="3" t="n">
        <v>941700</v>
      </c>
      <c r="BL38" s="3" t="n"/>
      <c r="BM38" s="4">
        <f>IF(COUNT(F38:F39)=2,ROUND((F38/F39-1)*100,4),"")</f>
        <v/>
      </c>
      <c r="BN38" s="4">
        <f>IF(COUNT(M38:M39)=2,ROUND((M38/M39-1)*100,4),"")</f>
        <v/>
      </c>
      <c r="BO38" s="4">
        <f>IF(COUNT(T38:T39)=2,ROUND((T38/T39-1)*100,4),"")</f>
        <v/>
      </c>
      <c r="BP38" s="4">
        <f>IF(COUNT(AA38:AA39)=2,ROUND((AA38/AA39-1)*100,4),"")</f>
        <v/>
      </c>
      <c r="BQ38" s="4">
        <f>IF(COUNT(AH38:AH39)=2,ROUND((AH38/AH39-1)*100,4),"")</f>
        <v/>
      </c>
      <c r="BR38" s="4">
        <f>IF(COUNT(AO38:AO39)=2,ROUND((AO38/AO39-1)*100,4),"")</f>
        <v/>
      </c>
      <c r="BS38" s="4">
        <f>IF(COUNT(AV38:AV39)=2,ROUND((AV38/AV39-1)*100,4),"")</f>
        <v/>
      </c>
      <c r="BT38" s="4">
        <f>IF(COUNT(BC38:BC39)=2,ROUND((BC38/BC39-1)*100,4),"")</f>
        <v/>
      </c>
      <c r="BU38" s="4">
        <f>IF(COUNT(BJ38:BJ39)=2,ROUND((BJ38/BJ39-1)*100,4),"")</f>
        <v/>
      </c>
      <c r="BV38" s="3" t="n"/>
      <c r="BW38" s="3" t="n">
        <v>16.55</v>
      </c>
      <c r="BX38" s="3" t="n">
        <v>18.91</v>
      </c>
      <c r="BY38" s="3" t="n">
        <v>16.35</v>
      </c>
      <c r="BZ38" s="3" t="n">
        <v>16.9</v>
      </c>
      <c r="CA38" s="3" t="n"/>
      <c r="CB38" s="3" t="n">
        <v>4.561</v>
      </c>
      <c r="CC38" s="3" t="n">
        <v>4.597</v>
      </c>
      <c r="CD38" s="3" t="n">
        <v>4.557</v>
      </c>
      <c r="CE38" s="3" t="n">
        <v>4.569</v>
      </c>
      <c r="CF38" s="3" t="n"/>
      <c r="CG38" s="4">
        <f>IF(COUNT(BZ38:BZ39)=2,ROUND((BZ38/BZ39-1)*100,4),"")</f>
        <v/>
      </c>
      <c r="CH38" s="4">
        <f>IF(COUNT(BZ38:BZ39)=2,ROUND((BZ38/BZ39-1)*100,4),"")</f>
        <v/>
      </c>
      <c r="CI38" s="4" t="n"/>
      <c r="CJ38" s="4" t="n"/>
      <c r="CK38" s="4">
        <f>IF(COUNT(CE38:CE39)=2,ROUND((CE38/CE39-1)*100,4),"")</f>
        <v/>
      </c>
      <c r="CL38" s="5">
        <f>IF(COUNT(CE38:CE39)=2,(CE38-CE39)*100,"")</f>
        <v/>
      </c>
      <c r="CM38" s="3" t="n"/>
      <c r="CN38" s="4">
        <f>IFERROR(BO38-BN38,"")</f>
        <v/>
      </c>
      <c r="CO38" s="4">
        <f>IFERROR(BP38-BN38,"")</f>
        <v/>
      </c>
      <c r="CP38" s="6" t="n"/>
      <c r="CQ38" s="4">
        <f>IFERROR(BQ38-BR38,"")</f>
        <v/>
      </c>
      <c r="CR38" s="4">
        <f>IFERROR(BS38-BT38,"")</f>
        <v/>
      </c>
      <c r="CS38" s="6">
        <f>BZ38/CE38</f>
        <v/>
      </c>
      <c r="CT38" s="4">
        <f>IFERROR(BN38-BU38,"")</f>
        <v/>
      </c>
    </row>
    <row r="39">
      <c r="A39" s="3" t="inlineStr">
        <is>
          <t>2026/07/07</t>
        </is>
      </c>
      <c r="B39" s="3" t="n">
        <v>750.22</v>
      </c>
      <c r="C39" s="3" t="n">
        <v>750.96</v>
      </c>
      <c r="D39" s="3" t="n">
        <v>745.21</v>
      </c>
      <c r="E39" s="3" t="n">
        <v>747.71</v>
      </c>
      <c r="F39" s="3" t="n">
        <v>747.71</v>
      </c>
      <c r="G39" s="3" t="n">
        <v>43721500</v>
      </c>
      <c r="H39" s="3" t="n"/>
      <c r="I39" s="3" t="n">
        <v>85.12</v>
      </c>
      <c r="J39" s="3" t="n">
        <v>85.17</v>
      </c>
      <c r="K39" s="3" t="n">
        <v>84.54000000000001</v>
      </c>
      <c r="L39" s="3" t="n">
        <v>84.55</v>
      </c>
      <c r="M39" s="3" t="n">
        <v>84.21080000000001</v>
      </c>
      <c r="N39" s="3" t="n">
        <v>24816400</v>
      </c>
      <c r="O39" s="3" t="n"/>
      <c r="P39" s="3" t="n">
        <v>79.84999999999999</v>
      </c>
      <c r="Q39" s="3" t="n">
        <v>79.88</v>
      </c>
      <c r="R39" s="3" t="n">
        <v>79.72</v>
      </c>
      <c r="S39" s="3" t="n">
        <v>79.76000000000001</v>
      </c>
      <c r="T39" s="3" t="n">
        <v>79.3746</v>
      </c>
      <c r="U39" s="3" t="n">
        <v>28558300</v>
      </c>
      <c r="V39" s="3" t="n"/>
      <c r="W39" s="3" t="n">
        <v>96.16</v>
      </c>
      <c r="X39" s="3" t="n">
        <v>96.16</v>
      </c>
      <c r="Y39" s="3" t="n">
        <v>95.98</v>
      </c>
      <c r="Z39" s="3" t="n">
        <v>96.05</v>
      </c>
      <c r="AA39" s="3" t="n">
        <v>95.521</v>
      </c>
      <c r="AB39" s="3" t="n">
        <v>2279500</v>
      </c>
      <c r="AC39" s="3" t="n"/>
      <c r="AD39" s="3" t="n">
        <v>28.34</v>
      </c>
      <c r="AE39" s="3" t="n">
        <v>28.41</v>
      </c>
      <c r="AF39" s="3" t="n">
        <v>28.33</v>
      </c>
      <c r="AG39" s="3" t="n">
        <v>28.4</v>
      </c>
      <c r="AH39" s="3" t="n">
        <v>28.4</v>
      </c>
      <c r="AI39" s="3" t="n">
        <v>1902000</v>
      </c>
      <c r="AJ39" s="3" t="n"/>
      <c r="AK39" s="3" t="n">
        <v>382.39</v>
      </c>
      <c r="AL39" s="3" t="n">
        <v>383.6</v>
      </c>
      <c r="AM39" s="3" t="n">
        <v>375.52</v>
      </c>
      <c r="AN39" s="3" t="n">
        <v>377.49</v>
      </c>
      <c r="AO39" s="3" t="n">
        <v>377.49</v>
      </c>
      <c r="AP39" s="3" t="n">
        <v>4815400</v>
      </c>
      <c r="AQ39" s="3" t="n"/>
      <c r="AR39" s="3" t="n">
        <v>179.84</v>
      </c>
      <c r="AS39" s="3" t="n">
        <v>180.72</v>
      </c>
      <c r="AT39" s="3" t="n">
        <v>176.36</v>
      </c>
      <c r="AU39" s="3" t="n">
        <v>179.18</v>
      </c>
      <c r="AV39" s="3" t="n">
        <v>179.18</v>
      </c>
      <c r="AW39" s="3" t="n">
        <v>12254800</v>
      </c>
      <c r="AX39" s="3" t="n"/>
      <c r="AY39" s="3" t="n">
        <v>56.31</v>
      </c>
      <c r="AZ39" s="3" t="n">
        <v>56.59</v>
      </c>
      <c r="BA39" s="3" t="n">
        <v>56.01</v>
      </c>
      <c r="BB39" s="3" t="n">
        <v>56.05</v>
      </c>
      <c r="BC39" s="3" t="n">
        <v>56.05</v>
      </c>
      <c r="BD39" s="3" t="n">
        <v>27116500</v>
      </c>
      <c r="BE39" s="3" t="n"/>
      <c r="BF39" s="3" t="n">
        <v>108.36</v>
      </c>
      <c r="BG39" s="3" t="n">
        <v>108.36</v>
      </c>
      <c r="BH39" s="3" t="n">
        <v>108.11</v>
      </c>
      <c r="BI39" s="3" t="n">
        <v>108.17</v>
      </c>
      <c r="BJ39" s="3" t="n">
        <v>107.3821</v>
      </c>
      <c r="BK39" s="3" t="n">
        <v>1755100</v>
      </c>
      <c r="BL39" s="3" t="n"/>
      <c r="BM39" s="4">
        <f>IF(COUNT(F39:F40)=2,ROUND((F39/F40-1)*100,4),"")</f>
        <v/>
      </c>
      <c r="BN39" s="4">
        <f>IF(COUNT(M39:M40)=2,ROUND((M39/M40-1)*100,4),"")</f>
        <v/>
      </c>
      <c r="BO39" s="4">
        <f>IF(COUNT(T39:T40)=2,ROUND((T39/T40-1)*100,4),"")</f>
        <v/>
      </c>
      <c r="BP39" s="4">
        <f>IF(COUNT(AA39:AA40)=2,ROUND((AA39/AA40-1)*100,4),"")</f>
        <v/>
      </c>
      <c r="BQ39" s="4">
        <f>IF(COUNT(AH39:AH40)=2,ROUND((AH39/AH40-1)*100,4),"")</f>
        <v/>
      </c>
      <c r="BR39" s="4">
        <f>IF(COUNT(AO39:AO40)=2,ROUND((AO39/AO40-1)*100,4),"")</f>
        <v/>
      </c>
      <c r="BS39" s="4">
        <f>IF(COUNT(AV39:AV40)=2,ROUND((AV39/AV40-1)*100,4),"")</f>
        <v/>
      </c>
      <c r="BT39" s="4">
        <f>IF(COUNT(BC39:BC40)=2,ROUND((BC39/BC40-1)*100,4),"")</f>
        <v/>
      </c>
      <c r="BU39" s="4">
        <f>IF(COUNT(BJ39:BJ40)=2,ROUND((BJ39/BJ40-1)*100,4),"")</f>
        <v/>
      </c>
      <c r="BV39" s="3" t="n"/>
      <c r="BW39" s="3" t="n">
        <v>15.87</v>
      </c>
      <c r="BX39" s="3" t="n">
        <v>16.64</v>
      </c>
      <c r="BY39" s="3" t="n">
        <v>15.53</v>
      </c>
      <c r="BZ39" s="3" t="n">
        <v>16.13</v>
      </c>
      <c r="CA39" s="3" t="n"/>
      <c r="CB39" s="3" t="n">
        <v>4.497</v>
      </c>
      <c r="CC39" s="3" t="n">
        <v>4.533</v>
      </c>
      <c r="CD39" s="3" t="n">
        <v>4.485</v>
      </c>
      <c r="CE39" s="3" t="n">
        <v>4.529</v>
      </c>
      <c r="CF39" s="3" t="n"/>
      <c r="CG39" s="4">
        <f>IF(COUNT(BZ39:BZ40)=2,ROUND((BZ39/BZ40-1)*100,4),"")</f>
        <v/>
      </c>
      <c r="CH39" s="4">
        <f>IF(COUNT(BZ39:BZ40)=2,ROUND((BZ39/BZ40-1)*100,4),"")</f>
        <v/>
      </c>
      <c r="CI39" s="4" t="n"/>
      <c r="CJ39" s="4" t="n"/>
      <c r="CK39" s="4">
        <f>IF(COUNT(CE39:CE40)=2,ROUND((CE39/CE40-1)*100,4),"")</f>
        <v/>
      </c>
      <c r="CL39" s="5">
        <f>IF(COUNT(CE39:CE40)=2,(CE39-CE40)*100,"")</f>
        <v/>
      </c>
      <c r="CM39" s="3" t="n"/>
      <c r="CN39" s="4">
        <f>IFERROR(BO39-BN39,"")</f>
        <v/>
      </c>
      <c r="CO39" s="4">
        <f>IFERROR(BP39-BN39,"")</f>
        <v/>
      </c>
      <c r="CP39" s="6" t="n"/>
      <c r="CQ39" s="4">
        <f>IFERROR(BQ39-BR39,"")</f>
        <v/>
      </c>
      <c r="CR39" s="4">
        <f>IFERROR(BS39-BT39,"")</f>
        <v/>
      </c>
      <c r="CS39" s="6">
        <f>BZ39/CE39</f>
        <v/>
      </c>
      <c r="CT39" s="4">
        <f>IFERROR(BN39-BU39,"")</f>
        <v/>
      </c>
    </row>
    <row r="40">
      <c r="A40" s="3" t="inlineStr">
        <is>
          <t>2026/07/06</t>
        </is>
      </c>
      <c r="B40" s="3" t="n">
        <v>748.74</v>
      </c>
      <c r="C40" s="3" t="n">
        <v>752.41</v>
      </c>
      <c r="D40" s="3" t="n">
        <v>747.41</v>
      </c>
      <c r="E40" s="3" t="n">
        <v>751.28</v>
      </c>
      <c r="F40" s="3" t="n">
        <v>751.28</v>
      </c>
      <c r="G40" s="3" t="n">
        <v>50673300</v>
      </c>
      <c r="H40" s="3" t="n"/>
      <c r="I40" s="3" t="n">
        <v>85.43000000000001</v>
      </c>
      <c r="J40" s="3" t="n">
        <v>85.48</v>
      </c>
      <c r="K40" s="3" t="n">
        <v>85.18000000000001</v>
      </c>
      <c r="L40" s="3" t="n">
        <v>85.45</v>
      </c>
      <c r="M40" s="3" t="n">
        <v>85.10720000000001</v>
      </c>
      <c r="N40" s="3" t="n">
        <v>17940900</v>
      </c>
      <c r="O40" s="3" t="n"/>
      <c r="P40" s="3" t="n">
        <v>79.73</v>
      </c>
      <c r="Q40" s="3" t="n">
        <v>79.91</v>
      </c>
      <c r="R40" s="3" t="n">
        <v>79.73</v>
      </c>
      <c r="S40" s="3" t="n">
        <v>79.87</v>
      </c>
      <c r="T40" s="3" t="n">
        <v>79.4841</v>
      </c>
      <c r="U40" s="3" t="n">
        <v>25159400</v>
      </c>
      <c r="V40" s="3" t="n"/>
      <c r="W40" s="3" t="n">
        <v>95.98</v>
      </c>
      <c r="X40" s="3" t="n">
        <v>96.20999999999999</v>
      </c>
      <c r="Y40" s="3" t="n">
        <v>95.98</v>
      </c>
      <c r="Z40" s="3" t="n">
        <v>96.15000000000001</v>
      </c>
      <c r="AA40" s="3" t="n">
        <v>95.6204</v>
      </c>
      <c r="AB40" s="3" t="n">
        <v>1716000</v>
      </c>
      <c r="AC40" s="3" t="n"/>
      <c r="AD40" s="3" t="n">
        <v>28.39</v>
      </c>
      <c r="AE40" s="3" t="n">
        <v>28.41</v>
      </c>
      <c r="AF40" s="3" t="n">
        <v>28.31</v>
      </c>
      <c r="AG40" s="3" t="n">
        <v>28.32</v>
      </c>
      <c r="AH40" s="3" t="n">
        <v>28.32</v>
      </c>
      <c r="AI40" s="3" t="n">
        <v>2837900</v>
      </c>
      <c r="AJ40" s="3" t="n"/>
      <c r="AK40" s="3" t="n">
        <v>380.21</v>
      </c>
      <c r="AL40" s="3" t="n">
        <v>382.43</v>
      </c>
      <c r="AM40" s="3" t="n">
        <v>378.83</v>
      </c>
      <c r="AN40" s="3" t="n">
        <v>382.13</v>
      </c>
      <c r="AO40" s="3" t="n">
        <v>382.13</v>
      </c>
      <c r="AP40" s="3" t="n">
        <v>3906500</v>
      </c>
      <c r="AQ40" s="3" t="n"/>
      <c r="AR40" s="3" t="n">
        <v>182.66</v>
      </c>
      <c r="AS40" s="3" t="n">
        <v>185.71</v>
      </c>
      <c r="AT40" s="3" t="n">
        <v>182.04</v>
      </c>
      <c r="AU40" s="3" t="n">
        <v>183.57</v>
      </c>
      <c r="AV40" s="3" t="n">
        <v>183.57</v>
      </c>
      <c r="AW40" s="3" t="n">
        <v>8923100</v>
      </c>
      <c r="AX40" s="3" t="n"/>
      <c r="AY40" s="3" t="n">
        <v>55.85</v>
      </c>
      <c r="AZ40" s="3" t="n">
        <v>56.16</v>
      </c>
      <c r="BA40" s="3" t="n">
        <v>55.58</v>
      </c>
      <c r="BB40" s="3" t="n">
        <v>56.14</v>
      </c>
      <c r="BC40" s="3" t="n">
        <v>56.14</v>
      </c>
      <c r="BD40" s="3" t="n">
        <v>32043700</v>
      </c>
      <c r="BE40" s="3" t="n"/>
      <c r="BF40" s="3" t="n">
        <v>108.43</v>
      </c>
      <c r="BG40" s="3" t="n">
        <v>108.49</v>
      </c>
      <c r="BH40" s="3" t="n">
        <v>108.3</v>
      </c>
      <c r="BI40" s="3" t="n">
        <v>108.49</v>
      </c>
      <c r="BJ40" s="3" t="n">
        <v>107.6997</v>
      </c>
      <c r="BK40" s="3" t="n">
        <v>1346000</v>
      </c>
      <c r="BL40" s="3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3" t="n"/>
      <c r="BW40" s="3" t="n">
        <v>16.4</v>
      </c>
      <c r="BX40" s="3" t="n">
        <v>16.5</v>
      </c>
      <c r="BY40" s="3" t="n">
        <v>15.56</v>
      </c>
      <c r="BZ40" s="3" t="n">
        <v>15.57</v>
      </c>
      <c r="CA40" s="3" t="n"/>
      <c r="CB40" s="3" t="n">
        <v>4.457</v>
      </c>
      <c r="CC40" s="3" t="n">
        <v>4.491</v>
      </c>
      <c r="CD40" s="3" t="n">
        <v>4.457</v>
      </c>
      <c r="CE40" s="3" t="n">
        <v>4.479</v>
      </c>
      <c r="CF40" s="3" t="n"/>
      <c r="CG40" s="4">
        <f>IF(COUNT(BZ40:BZ41)=2,ROUND((BZ40/BZ41-1)*100,4),"")</f>
        <v/>
      </c>
      <c r="CH40" s="4">
        <f>IF(COUNT(BZ40:BZ41)=2,ROUND((BZ40/BZ41-1)*100,4),"")</f>
        <v/>
      </c>
      <c r="CI40" s="4" t="n"/>
      <c r="CJ40" s="4" t="n"/>
      <c r="CK40" s="4">
        <f>IF(COUNT(CE40:CE41)=2,ROUND((CE40/CE41-1)*100,4),"")</f>
        <v/>
      </c>
      <c r="CL40" s="5">
        <f>IF(COUNT(CE40:CE41)=2,(CE40-CE41)*100,"")</f>
        <v/>
      </c>
      <c r="CM40" s="3" t="n"/>
      <c r="CN40" s="4">
        <f>IFERROR(BO40-BN40,"")</f>
        <v/>
      </c>
      <c r="CO40" s="4">
        <f>IFERROR(BP40-BN40,"")</f>
        <v/>
      </c>
      <c r="CP40" s="6" t="n"/>
      <c r="CQ40" s="4">
        <f>IFERROR(BQ40-BR40,"")</f>
        <v/>
      </c>
      <c r="CR40" s="4">
        <f>IFERROR(BS40-BT40,"")</f>
        <v/>
      </c>
      <c r="CS40" s="6">
        <f>BZ40/CE40</f>
        <v/>
      </c>
      <c r="CT40" s="4">
        <f>IFERROR(BN40-BU40,"")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2026-08-12T03:46:11Z</dcterms:created>
  <dcterms:modified xmlns:dcterms="http://purl.org/dc/terms/" xmlns:xsi="http://www.w3.org/2001/XMLSchema-instance" xsi:type="dcterms:W3CDTF">2026-08-12T03:46:12Z</dcterms:modified>
</cp:coreProperties>
</file>