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示例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双基金多策略彩色示例 v2（格式审批用）</t>
        </is>
      </c>
    </row>
    <row r="2">
      <c r="A2" s="2" t="inlineStr"/>
      <c r="B2" s="2" t="n"/>
    </row>
    <row r="3">
      <c r="A3" s="2" t="inlineStr">
        <is>
          <t>用途</t>
        </is>
      </c>
      <c r="B3" s="2" t="inlineStr">
        <is>
          <t>审批 v4 最终交付版式；本示例包含 UOPIX、ULPIX 两支基金，每支 3 条只使用原始 19 支 ETF 的策略。</t>
        </is>
      </c>
    </row>
    <row r="4">
      <c r="A4" s="2" t="inlineStr">
        <is>
          <t>版式</t>
        </is>
      </c>
      <c r="B4" s="2" t="inlineStr">
        <is>
          <t>保留公司 13 行统计头；基金名下一行一条策略并用填充标注；数据区日期格子按当天生效策略填色，未触发留空。</t>
        </is>
      </c>
    </row>
    <row r="5">
      <c r="A5" s="2" t="inlineStr">
        <is>
          <t>Sheet2（基金示例）</t>
        </is>
      </c>
      <c r="B5" s="2" t="inlineStr">
        <is>
          <t>每支基金一列，列头下方为策略色块，日期格子按生效策略着色。</t>
        </is>
      </c>
    </row>
    <row r="6">
      <c r="A6" s="2" t="inlineStr">
        <is>
          <t>Sheet3（ETF外部示例）</t>
        </is>
      </c>
      <c r="B6" s="2" t="inlineStr">
        <is>
          <t>按公司格式放 19 支 ETF 与 VIX/TNX 外部数据；ETF 名下方标注相关策略，触发策略的日期格子着色。</t>
        </is>
      </c>
    </row>
    <row r="7">
      <c r="A7" s="2" t="inlineStr">
        <is>
          <t>颜色</t>
        </is>
      </c>
      <c r="B7" s="2" t="inlineStr">
        <is>
          <t>本示例策略较少，两个 Sheet 颜色统一；正式版若策略很多，可改为基金/ETF 内部调色。</t>
        </is>
      </c>
    </row>
    <row r="8">
      <c r="A8" s="2" t="inlineStr">
        <is>
          <t>冲突规则</t>
        </is>
      </c>
      <c r="B8" s="2" t="inlineStr">
        <is>
          <t>同一天多条策略触发时，示例暂按 |全历史 Average| 最大者着色，最终规则待定。</t>
        </is>
      </c>
    </row>
    <row r="9">
      <c r="A9" s="2" t="inlineStr">
        <is>
          <t>数据窗口</t>
        </is>
      </c>
      <c r="B9" s="2" t="inlineStr">
        <is>
          <t>2026-06-30 至 2026-08-04，最近 25 个交易日，按日期降序。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41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</cols>
  <sheetData>
    <row r="2">
      <c r="A2" s="3" t="inlineStr">
        <is>
          <t>Hit Ratio</t>
        </is>
      </c>
      <c r="B2" s="2">
        <f>B3/(B3+B4)</f>
        <v/>
      </c>
      <c r="C2" s="2">
        <f>C3/(C3+C4)</f>
        <v/>
      </c>
    </row>
    <row r="3">
      <c r="A3" s="3" t="inlineStr">
        <is>
          <t>Up Count</t>
        </is>
      </c>
      <c r="B3" s="2">
        <f>COUNTIF(B17:B41,"&gt;0")</f>
        <v/>
      </c>
      <c r="C3" s="2">
        <f>COUNTIF(C17:C41,"&gt;0")</f>
        <v/>
      </c>
    </row>
    <row r="4">
      <c r="A4" s="3" t="inlineStr">
        <is>
          <t>Down Count</t>
        </is>
      </c>
      <c r="B4" s="2">
        <f>COUNTIF(B17:B41,"&lt;0")</f>
        <v/>
      </c>
      <c r="C4" s="2">
        <f>COUNTIF(C17:C41,"&lt;0")</f>
        <v/>
      </c>
    </row>
    <row r="5">
      <c r="A5" s="3" t="inlineStr">
        <is>
          <t>Average</t>
        </is>
      </c>
      <c r="B5" s="2">
        <f>AVERAGE(B17:B41)</f>
        <v/>
      </c>
      <c r="C5" s="2">
        <f>AVERAGE(C17:C41)</f>
        <v/>
      </c>
    </row>
    <row r="6">
      <c r="A6" s="3" t="inlineStr">
        <is>
          <t>Max</t>
        </is>
      </c>
      <c r="B6" s="2">
        <f>MAX(B17:B41)</f>
        <v/>
      </c>
      <c r="C6" s="2">
        <f>MAX(C17:C41)</f>
        <v/>
      </c>
    </row>
    <row r="7">
      <c r="A7" s="3" t="inlineStr">
        <is>
          <t>Min</t>
        </is>
      </c>
      <c r="B7" s="2">
        <f>MIN(B17:B41)</f>
        <v/>
      </c>
      <c r="C7" s="2">
        <f>MIN(C17:C41)</f>
        <v/>
      </c>
    </row>
    <row r="8">
      <c r="A8" s="3" t="inlineStr">
        <is>
          <t>Count</t>
        </is>
      </c>
      <c r="B8" s="2">
        <f>COUNT(B17:B41)</f>
        <v/>
      </c>
      <c r="C8" s="2">
        <f>COUNT(C17:C41)</f>
        <v/>
      </c>
    </row>
    <row r="9">
      <c r="A9" s="3" t="inlineStr">
        <is>
          <t>Std</t>
        </is>
      </c>
      <c r="B9" s="2">
        <f>STDEV(B17:B41)</f>
        <v/>
      </c>
      <c r="C9" s="2">
        <f>STDEV(C17:C41)</f>
        <v/>
      </c>
    </row>
    <row r="10">
      <c r="A10" s="3" t="inlineStr">
        <is>
          <t>Sum</t>
        </is>
      </c>
      <c r="B10" s="2">
        <f>SUM(B17:B41)</f>
        <v/>
      </c>
      <c r="C10" s="2">
        <f>SUM(C17:C41)</f>
        <v/>
      </c>
    </row>
    <row r="13">
      <c r="A13" s="4" t="inlineStr">
        <is>
          <t>日期</t>
        </is>
      </c>
      <c r="B13" s="4" t="inlineStr">
        <is>
          <t>UOPIX（Ultra NASDAQ-100 ProFunds，2x Nasdaq-100）</t>
        </is>
      </c>
      <c r="C13" s="4" t="inlineStr">
        <is>
          <t>ULPIX（UltraBull ProFund，2x S&amp;P 500）</t>
        </is>
      </c>
    </row>
    <row r="14">
      <c r="A14" s="5" t="inlineStr">
        <is>
          <t>策略1</t>
        </is>
      </c>
      <c r="B14" s="6" t="inlineStr">
        <is>
          <t>FXY_big_up</t>
        </is>
      </c>
      <c r="C14" s="6" t="inlineStr">
        <is>
          <t>FXY_big_up</t>
        </is>
      </c>
    </row>
    <row r="15">
      <c r="A15" s="5" t="inlineStr">
        <is>
          <t>策略2</t>
        </is>
      </c>
      <c r="B15" s="7" t="inlineStr">
        <is>
          <t>EEM_down_GDX_up</t>
        </is>
      </c>
      <c r="C15" s="7" t="inlineStr">
        <is>
          <t>EEM_down_GDX_up</t>
        </is>
      </c>
    </row>
    <row r="16">
      <c r="A16" s="5" t="inlineStr">
        <is>
          <t>策略3</t>
        </is>
      </c>
      <c r="B16" s="8" t="inlineStr">
        <is>
          <t>EEM_down_FXY_up</t>
        </is>
      </c>
      <c r="C16" s="9" t="inlineStr">
        <is>
          <t>EEM_down_GLD_up</t>
        </is>
      </c>
    </row>
    <row r="17">
      <c r="A17" s="5" t="inlineStr">
        <is>
          <t>08/04/2026</t>
        </is>
      </c>
      <c r="B17" s="5" t="inlineStr"/>
      <c r="C17" s="5" t="inlineStr"/>
    </row>
    <row r="18">
      <c r="A18" s="5" t="inlineStr">
        <is>
          <t>08/03/2026</t>
        </is>
      </c>
      <c r="B18" s="5" t="inlineStr"/>
      <c r="C18" s="5" t="inlineStr"/>
    </row>
    <row r="19">
      <c r="A19" s="5" t="inlineStr">
        <is>
          <t>07/31/2026</t>
        </is>
      </c>
      <c r="B19" s="5" t="inlineStr"/>
      <c r="C19" s="5" t="inlineStr"/>
    </row>
    <row r="20">
      <c r="A20" s="5" t="inlineStr">
        <is>
          <t>07/30/2026</t>
        </is>
      </c>
      <c r="B20" s="5" t="inlineStr"/>
      <c r="C20" s="5" t="inlineStr"/>
    </row>
    <row r="21">
      <c r="A21" s="5" t="inlineStr">
        <is>
          <t>07/29/2026</t>
        </is>
      </c>
      <c r="B21" s="5" t="inlineStr"/>
      <c r="C21" s="5" t="inlineStr"/>
    </row>
    <row r="22">
      <c r="A22" s="5" t="inlineStr">
        <is>
          <t>07/28/2026</t>
        </is>
      </c>
      <c r="B22" s="5" t="inlineStr"/>
      <c r="C22" s="5" t="inlineStr"/>
    </row>
    <row r="23">
      <c r="A23" s="5" t="inlineStr">
        <is>
          <t>07/27/2026</t>
        </is>
      </c>
      <c r="B23" s="5" t="inlineStr"/>
      <c r="C23" s="5" t="inlineStr"/>
    </row>
    <row r="24">
      <c r="A24" s="5" t="inlineStr">
        <is>
          <t>07/24/2026</t>
        </is>
      </c>
      <c r="B24" s="7" t="n">
        <v>-0.6849</v>
      </c>
      <c r="C24" s="7" t="n">
        <v>-0.0112</v>
      </c>
    </row>
    <row r="25">
      <c r="A25" s="5" t="inlineStr">
        <is>
          <t>07/23/2026</t>
        </is>
      </c>
      <c r="B25" s="5" t="inlineStr"/>
      <c r="C25" s="5" t="inlineStr"/>
    </row>
    <row r="26">
      <c r="A26" s="5" t="inlineStr">
        <is>
          <t>07/22/2026</t>
        </is>
      </c>
      <c r="B26" s="7" t="n">
        <v>-3.7802</v>
      </c>
      <c r="C26" s="7" t="n">
        <v>-2.4501</v>
      </c>
    </row>
    <row r="27">
      <c r="A27" s="5" t="inlineStr">
        <is>
          <t>07/21/2026</t>
        </is>
      </c>
      <c r="B27" s="5" t="inlineStr"/>
      <c r="C27" s="5" t="inlineStr"/>
    </row>
    <row r="28">
      <c r="A28" s="5" t="inlineStr">
        <is>
          <t>07/20/2026</t>
        </is>
      </c>
      <c r="B28" s="5" t="inlineStr"/>
      <c r="C28" s="5" t="inlineStr"/>
    </row>
    <row r="29">
      <c r="A29" s="5" t="inlineStr">
        <is>
          <t>07/17/2026</t>
        </is>
      </c>
      <c r="B29" s="8" t="n">
        <v>0.0524</v>
      </c>
      <c r="C29" s="9" t="n">
        <v>-0.4144</v>
      </c>
    </row>
    <row r="30">
      <c r="A30" s="5" t="inlineStr">
        <is>
          <t>07/16/2026</t>
        </is>
      </c>
      <c r="B30" s="5" t="inlineStr"/>
      <c r="C30" s="5" t="inlineStr"/>
    </row>
    <row r="31">
      <c r="A31" s="5" t="inlineStr">
        <is>
          <t>07/15/2026</t>
        </is>
      </c>
      <c r="B31" s="5" t="inlineStr"/>
      <c r="C31" s="9" t="n">
        <v>-1.0393</v>
      </c>
    </row>
    <row r="32">
      <c r="A32" s="5" t="inlineStr">
        <is>
          <t>07/14/2026</t>
        </is>
      </c>
      <c r="B32" s="5" t="inlineStr"/>
      <c r="C32" s="5" t="inlineStr"/>
    </row>
    <row r="33">
      <c r="A33" s="5" t="inlineStr">
        <is>
          <t>07/13/2026</t>
        </is>
      </c>
      <c r="B33" s="5" t="inlineStr"/>
      <c r="C33" s="5" t="inlineStr"/>
    </row>
    <row r="34">
      <c r="A34" s="5" t="inlineStr">
        <is>
          <t>07/10/2026</t>
        </is>
      </c>
      <c r="B34" s="5" t="inlineStr"/>
      <c r="C34" s="5" t="inlineStr"/>
    </row>
    <row r="35">
      <c r="A35" s="5" t="inlineStr">
        <is>
          <t>07/09/2026</t>
        </is>
      </c>
      <c r="B35" s="5" t="inlineStr"/>
      <c r="C35" s="5" t="inlineStr"/>
    </row>
    <row r="36">
      <c r="A36" s="5" t="inlineStr">
        <is>
          <t>07/08/2026</t>
        </is>
      </c>
      <c r="B36" s="5" t="inlineStr"/>
      <c r="C36" s="5" t="inlineStr"/>
    </row>
    <row r="37">
      <c r="A37" s="5" t="inlineStr">
        <is>
          <t>07/07/2026</t>
        </is>
      </c>
      <c r="B37" s="8" t="n">
        <v>0.5332</v>
      </c>
      <c r="C37" s="5" t="inlineStr"/>
    </row>
    <row r="38">
      <c r="A38" s="5" t="inlineStr">
        <is>
          <t>07/06/2026</t>
        </is>
      </c>
      <c r="B38" s="5" t="inlineStr"/>
      <c r="C38" s="5" t="inlineStr"/>
    </row>
    <row r="39">
      <c r="A39" s="5" t="inlineStr">
        <is>
          <t>07/02/2026</t>
        </is>
      </c>
      <c r="B39" s="7" t="n">
        <v>2.5177</v>
      </c>
      <c r="C39" s="7" t="n">
        <v>1.4683</v>
      </c>
    </row>
    <row r="40">
      <c r="A40" s="5" t="inlineStr">
        <is>
          <t>07/01/2026</t>
        </is>
      </c>
      <c r="B40" s="5" t="inlineStr"/>
      <c r="C40" s="9" t="n">
        <v>-0.08210000000000001</v>
      </c>
    </row>
    <row r="41">
      <c r="A41" s="5" t="inlineStr">
        <is>
          <t>06/30/2026</t>
        </is>
      </c>
      <c r="B41" s="5" t="inlineStr"/>
      <c r="C4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41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2">
      <c r="A2" s="3" t="inlineStr">
        <is>
          <t>Hit Ratio</t>
        </is>
      </c>
      <c r="B2" s="2">
        <f>B3/(B3+B4)</f>
        <v/>
      </c>
      <c r="C2" s="2">
        <f>C3/(C3+C4)</f>
        <v/>
      </c>
      <c r="D2" s="2">
        <f>D3/(D3+D4)</f>
        <v/>
      </c>
      <c r="E2" s="2">
        <f>E3/(E3+E4)</f>
        <v/>
      </c>
      <c r="F2" s="2">
        <f>F3/(F3+F4)</f>
        <v/>
      </c>
      <c r="G2" s="2">
        <f>G3/(G3+G4)</f>
        <v/>
      </c>
      <c r="H2" s="2">
        <f>H3/(H3+H4)</f>
        <v/>
      </c>
      <c r="I2" s="2">
        <f>I3/(I3+I4)</f>
        <v/>
      </c>
      <c r="J2" s="2">
        <f>J3/(J3+J4)</f>
        <v/>
      </c>
      <c r="K2" s="2">
        <f>K3/(K3+K4)</f>
        <v/>
      </c>
      <c r="L2" s="2">
        <f>L3/(L3+L4)</f>
        <v/>
      </c>
      <c r="M2" s="2">
        <f>M3/(M3+M4)</f>
        <v/>
      </c>
      <c r="N2" s="2">
        <f>N3/(N3+N4)</f>
        <v/>
      </c>
      <c r="O2" s="2">
        <f>O3/(O3+O4)</f>
        <v/>
      </c>
      <c r="P2" s="2">
        <f>P3/(P3+P4)</f>
        <v/>
      </c>
      <c r="Q2" s="2">
        <f>Q3/(Q3+Q4)</f>
        <v/>
      </c>
      <c r="R2" s="2">
        <f>R3/(R3+R4)</f>
        <v/>
      </c>
      <c r="S2" s="2">
        <f>S3/(S3+S4)</f>
        <v/>
      </c>
      <c r="T2" s="2">
        <f>T3/(T3+T4)</f>
        <v/>
      </c>
      <c r="U2" s="2">
        <f>U3/(U3+U4)</f>
        <v/>
      </c>
      <c r="V2" s="2">
        <f>V3/(V3+V4)</f>
        <v/>
      </c>
    </row>
    <row r="3">
      <c r="A3" s="3" t="inlineStr">
        <is>
          <t>Up Count</t>
        </is>
      </c>
      <c r="B3" s="2">
        <f>COUNTIF(B17:B41,"&gt;0")</f>
        <v/>
      </c>
      <c r="C3" s="2">
        <f>COUNTIF(C17:C41,"&gt;0")</f>
        <v/>
      </c>
      <c r="D3" s="2">
        <f>COUNTIF(D17:D41,"&gt;0")</f>
        <v/>
      </c>
      <c r="E3" s="2">
        <f>COUNTIF(E17:E41,"&gt;0")</f>
        <v/>
      </c>
      <c r="F3" s="2">
        <f>COUNTIF(F17:F41,"&gt;0")</f>
        <v/>
      </c>
      <c r="G3" s="2">
        <f>COUNTIF(G17:G41,"&gt;0")</f>
        <v/>
      </c>
      <c r="H3" s="2">
        <f>COUNTIF(H17:H41,"&gt;0")</f>
        <v/>
      </c>
      <c r="I3" s="2">
        <f>COUNTIF(I17:I41,"&gt;0")</f>
        <v/>
      </c>
      <c r="J3" s="2">
        <f>COUNTIF(J17:J41,"&gt;0")</f>
        <v/>
      </c>
      <c r="K3" s="2">
        <f>COUNTIF(K17:K41,"&gt;0")</f>
        <v/>
      </c>
      <c r="L3" s="2">
        <f>COUNTIF(L17:L41,"&gt;0")</f>
        <v/>
      </c>
      <c r="M3" s="2">
        <f>COUNTIF(M17:M41,"&gt;0")</f>
        <v/>
      </c>
      <c r="N3" s="2">
        <f>COUNTIF(N17:N41,"&gt;0")</f>
        <v/>
      </c>
      <c r="O3" s="2">
        <f>COUNTIF(O17:O41,"&gt;0")</f>
        <v/>
      </c>
      <c r="P3" s="2">
        <f>COUNTIF(P17:P41,"&gt;0")</f>
        <v/>
      </c>
      <c r="Q3" s="2">
        <f>COUNTIF(Q17:Q41,"&gt;0")</f>
        <v/>
      </c>
      <c r="R3" s="2">
        <f>COUNTIF(R17:R41,"&gt;0")</f>
        <v/>
      </c>
      <c r="S3" s="2">
        <f>COUNTIF(S17:S41,"&gt;0")</f>
        <v/>
      </c>
      <c r="T3" s="2">
        <f>COUNTIF(T17:T41,"&gt;0")</f>
        <v/>
      </c>
      <c r="U3" s="2">
        <f>COUNTIF(U17:U41,"&gt;0")</f>
        <v/>
      </c>
      <c r="V3" s="2">
        <f>COUNTIF(V17:V41,"&gt;0")</f>
        <v/>
      </c>
    </row>
    <row r="4">
      <c r="A4" s="3" t="inlineStr">
        <is>
          <t>Down Count</t>
        </is>
      </c>
      <c r="B4" s="2">
        <f>COUNTIF(B17:B41,"&lt;0")</f>
        <v/>
      </c>
      <c r="C4" s="2">
        <f>COUNTIF(C17:C41,"&lt;0")</f>
        <v/>
      </c>
      <c r="D4" s="2">
        <f>COUNTIF(D17:D41,"&lt;0")</f>
        <v/>
      </c>
      <c r="E4" s="2">
        <f>COUNTIF(E17:E41,"&lt;0")</f>
        <v/>
      </c>
      <c r="F4" s="2">
        <f>COUNTIF(F17:F41,"&lt;0")</f>
        <v/>
      </c>
      <c r="G4" s="2">
        <f>COUNTIF(G17:G41,"&lt;0")</f>
        <v/>
      </c>
      <c r="H4" s="2">
        <f>COUNTIF(H17:H41,"&lt;0")</f>
        <v/>
      </c>
      <c r="I4" s="2">
        <f>COUNTIF(I17:I41,"&lt;0")</f>
        <v/>
      </c>
      <c r="J4" s="2">
        <f>COUNTIF(J17:J41,"&lt;0")</f>
        <v/>
      </c>
      <c r="K4" s="2">
        <f>COUNTIF(K17:K41,"&lt;0")</f>
        <v/>
      </c>
      <c r="L4" s="2">
        <f>COUNTIF(L17:L41,"&lt;0")</f>
        <v/>
      </c>
      <c r="M4" s="2">
        <f>COUNTIF(M17:M41,"&lt;0")</f>
        <v/>
      </c>
      <c r="N4" s="2">
        <f>COUNTIF(N17:N41,"&lt;0")</f>
        <v/>
      </c>
      <c r="O4" s="2">
        <f>COUNTIF(O17:O41,"&lt;0")</f>
        <v/>
      </c>
      <c r="P4" s="2">
        <f>COUNTIF(P17:P41,"&lt;0")</f>
        <v/>
      </c>
      <c r="Q4" s="2">
        <f>COUNTIF(Q17:Q41,"&lt;0")</f>
        <v/>
      </c>
      <c r="R4" s="2">
        <f>COUNTIF(R17:R41,"&lt;0")</f>
        <v/>
      </c>
      <c r="S4" s="2">
        <f>COUNTIF(S17:S41,"&lt;0")</f>
        <v/>
      </c>
      <c r="T4" s="2">
        <f>COUNTIF(T17:T41,"&lt;0")</f>
        <v/>
      </c>
      <c r="U4" s="2">
        <f>COUNTIF(U17:U41,"&lt;0")</f>
        <v/>
      </c>
      <c r="V4" s="2">
        <f>COUNTIF(V17:V41,"&lt;0")</f>
        <v/>
      </c>
    </row>
    <row r="5">
      <c r="A5" s="3" t="inlineStr">
        <is>
          <t>Average</t>
        </is>
      </c>
      <c r="B5" s="2">
        <f>AVERAGE(B17:B41)</f>
        <v/>
      </c>
      <c r="C5" s="2">
        <f>AVERAGE(C17:C41)</f>
        <v/>
      </c>
      <c r="D5" s="2">
        <f>AVERAGE(D17:D41)</f>
        <v/>
      </c>
      <c r="E5" s="2">
        <f>AVERAGE(E17:E41)</f>
        <v/>
      </c>
      <c r="F5" s="2">
        <f>AVERAGE(F17:F41)</f>
        <v/>
      </c>
      <c r="G5" s="2">
        <f>AVERAGE(G17:G41)</f>
        <v/>
      </c>
      <c r="H5" s="2">
        <f>AVERAGE(H17:H41)</f>
        <v/>
      </c>
      <c r="I5" s="2">
        <f>AVERAGE(I17:I41)</f>
        <v/>
      </c>
      <c r="J5" s="2">
        <f>AVERAGE(J17:J41)</f>
        <v/>
      </c>
      <c r="K5" s="2">
        <f>AVERAGE(K17:K41)</f>
        <v/>
      </c>
      <c r="L5" s="2">
        <f>AVERAGE(L17:L41)</f>
        <v/>
      </c>
      <c r="M5" s="2">
        <f>AVERAGE(M17:M41)</f>
        <v/>
      </c>
      <c r="N5" s="2">
        <f>AVERAGE(N17:N41)</f>
        <v/>
      </c>
      <c r="O5" s="2">
        <f>AVERAGE(O17:O41)</f>
        <v/>
      </c>
      <c r="P5" s="2">
        <f>AVERAGE(P17:P41)</f>
        <v/>
      </c>
      <c r="Q5" s="2">
        <f>AVERAGE(Q17:Q41)</f>
        <v/>
      </c>
      <c r="R5" s="2">
        <f>AVERAGE(R17:R41)</f>
        <v/>
      </c>
      <c r="S5" s="2">
        <f>AVERAGE(S17:S41)</f>
        <v/>
      </c>
      <c r="T5" s="2">
        <f>AVERAGE(T17:T41)</f>
        <v/>
      </c>
      <c r="U5" s="2">
        <f>AVERAGE(U17:U41)</f>
        <v/>
      </c>
      <c r="V5" s="2">
        <f>AVERAGE(V17:V41)</f>
        <v/>
      </c>
    </row>
    <row r="6">
      <c r="A6" s="3" t="inlineStr">
        <is>
          <t>Max</t>
        </is>
      </c>
      <c r="B6" s="2">
        <f>MAX(B17:B41)</f>
        <v/>
      </c>
      <c r="C6" s="2">
        <f>MAX(C17:C41)</f>
        <v/>
      </c>
      <c r="D6" s="2">
        <f>MAX(D17:D41)</f>
        <v/>
      </c>
      <c r="E6" s="2">
        <f>MAX(E17:E41)</f>
        <v/>
      </c>
      <c r="F6" s="2">
        <f>MAX(F17:F41)</f>
        <v/>
      </c>
      <c r="G6" s="2">
        <f>MAX(G17:G41)</f>
        <v/>
      </c>
      <c r="H6" s="2">
        <f>MAX(H17:H41)</f>
        <v/>
      </c>
      <c r="I6" s="2">
        <f>MAX(I17:I41)</f>
        <v/>
      </c>
      <c r="J6" s="2">
        <f>MAX(J17:J41)</f>
        <v/>
      </c>
      <c r="K6" s="2">
        <f>MAX(K17:K41)</f>
        <v/>
      </c>
      <c r="L6" s="2">
        <f>MAX(L17:L41)</f>
        <v/>
      </c>
      <c r="M6" s="2">
        <f>MAX(M17:M41)</f>
        <v/>
      </c>
      <c r="N6" s="2">
        <f>MAX(N17:N41)</f>
        <v/>
      </c>
      <c r="O6" s="2">
        <f>MAX(O17:O41)</f>
        <v/>
      </c>
      <c r="P6" s="2">
        <f>MAX(P17:P41)</f>
        <v/>
      </c>
      <c r="Q6" s="2">
        <f>MAX(Q17:Q41)</f>
        <v/>
      </c>
      <c r="R6" s="2">
        <f>MAX(R17:R41)</f>
        <v/>
      </c>
      <c r="S6" s="2">
        <f>MAX(S17:S41)</f>
        <v/>
      </c>
      <c r="T6" s="2">
        <f>MAX(T17:T41)</f>
        <v/>
      </c>
      <c r="U6" s="2">
        <f>MAX(U17:U41)</f>
        <v/>
      </c>
      <c r="V6" s="2">
        <f>MAX(V17:V41)</f>
        <v/>
      </c>
    </row>
    <row r="7">
      <c r="A7" s="3" t="inlineStr">
        <is>
          <t>Min</t>
        </is>
      </c>
      <c r="B7" s="2">
        <f>MIN(B17:B41)</f>
        <v/>
      </c>
      <c r="C7" s="2">
        <f>MIN(C17:C41)</f>
        <v/>
      </c>
      <c r="D7" s="2">
        <f>MIN(D17:D41)</f>
        <v/>
      </c>
      <c r="E7" s="2">
        <f>MIN(E17:E41)</f>
        <v/>
      </c>
      <c r="F7" s="2">
        <f>MIN(F17:F41)</f>
        <v/>
      </c>
      <c r="G7" s="2">
        <f>MIN(G17:G41)</f>
        <v/>
      </c>
      <c r="H7" s="2">
        <f>MIN(H17:H41)</f>
        <v/>
      </c>
      <c r="I7" s="2">
        <f>MIN(I17:I41)</f>
        <v/>
      </c>
      <c r="J7" s="2">
        <f>MIN(J17:J41)</f>
        <v/>
      </c>
      <c r="K7" s="2">
        <f>MIN(K17:K41)</f>
        <v/>
      </c>
      <c r="L7" s="2">
        <f>MIN(L17:L41)</f>
        <v/>
      </c>
      <c r="M7" s="2">
        <f>MIN(M17:M41)</f>
        <v/>
      </c>
      <c r="N7" s="2">
        <f>MIN(N17:N41)</f>
        <v/>
      </c>
      <c r="O7" s="2">
        <f>MIN(O17:O41)</f>
        <v/>
      </c>
      <c r="P7" s="2">
        <f>MIN(P17:P41)</f>
        <v/>
      </c>
      <c r="Q7" s="2">
        <f>MIN(Q17:Q41)</f>
        <v/>
      </c>
      <c r="R7" s="2">
        <f>MIN(R17:R41)</f>
        <v/>
      </c>
      <c r="S7" s="2">
        <f>MIN(S17:S41)</f>
        <v/>
      </c>
      <c r="T7" s="2">
        <f>MIN(T17:T41)</f>
        <v/>
      </c>
      <c r="U7" s="2">
        <f>MIN(U17:U41)</f>
        <v/>
      </c>
      <c r="V7" s="2">
        <f>MIN(V17:V41)</f>
        <v/>
      </c>
    </row>
    <row r="8">
      <c r="A8" s="3" t="inlineStr">
        <is>
          <t>Count</t>
        </is>
      </c>
      <c r="B8" s="2">
        <f>COUNT(B17:B41)</f>
        <v/>
      </c>
      <c r="C8" s="2">
        <f>COUNT(C17:C41)</f>
        <v/>
      </c>
      <c r="D8" s="2">
        <f>COUNT(D17:D41)</f>
        <v/>
      </c>
      <c r="E8" s="2">
        <f>COUNT(E17:E41)</f>
        <v/>
      </c>
      <c r="F8" s="2">
        <f>COUNT(F17:F41)</f>
        <v/>
      </c>
      <c r="G8" s="2">
        <f>COUNT(G17:G41)</f>
        <v/>
      </c>
      <c r="H8" s="2">
        <f>COUNT(H17:H41)</f>
        <v/>
      </c>
      <c r="I8" s="2">
        <f>COUNT(I17:I41)</f>
        <v/>
      </c>
      <c r="J8" s="2">
        <f>COUNT(J17:J41)</f>
        <v/>
      </c>
      <c r="K8" s="2">
        <f>COUNT(K17:K41)</f>
        <v/>
      </c>
      <c r="L8" s="2">
        <f>COUNT(L17:L41)</f>
        <v/>
      </c>
      <c r="M8" s="2">
        <f>COUNT(M17:M41)</f>
        <v/>
      </c>
      <c r="N8" s="2">
        <f>COUNT(N17:N41)</f>
        <v/>
      </c>
      <c r="O8" s="2">
        <f>COUNT(O17:O41)</f>
        <v/>
      </c>
      <c r="P8" s="2">
        <f>COUNT(P17:P41)</f>
        <v/>
      </c>
      <c r="Q8" s="2">
        <f>COUNT(Q17:Q41)</f>
        <v/>
      </c>
      <c r="R8" s="2">
        <f>COUNT(R17:R41)</f>
        <v/>
      </c>
      <c r="S8" s="2">
        <f>COUNT(S17:S41)</f>
        <v/>
      </c>
      <c r="T8" s="2">
        <f>COUNT(T17:T41)</f>
        <v/>
      </c>
      <c r="U8" s="2">
        <f>COUNT(U17:U41)</f>
        <v/>
      </c>
      <c r="V8" s="2">
        <f>COUNT(V17:V41)</f>
        <v/>
      </c>
    </row>
    <row r="9">
      <c r="A9" s="3" t="inlineStr">
        <is>
          <t>Std</t>
        </is>
      </c>
      <c r="B9" s="2">
        <f>STDEV(B17:B41)</f>
        <v/>
      </c>
      <c r="C9" s="2">
        <f>STDEV(C17:C41)</f>
        <v/>
      </c>
      <c r="D9" s="2">
        <f>STDEV(D17:D41)</f>
        <v/>
      </c>
      <c r="E9" s="2">
        <f>STDEV(E17:E41)</f>
        <v/>
      </c>
      <c r="F9" s="2">
        <f>STDEV(F17:F41)</f>
        <v/>
      </c>
      <c r="G9" s="2">
        <f>STDEV(G17:G41)</f>
        <v/>
      </c>
      <c r="H9" s="2">
        <f>STDEV(H17:H41)</f>
        <v/>
      </c>
      <c r="I9" s="2">
        <f>STDEV(I17:I41)</f>
        <v/>
      </c>
      <c r="J9" s="2">
        <f>STDEV(J17:J41)</f>
        <v/>
      </c>
      <c r="K9" s="2">
        <f>STDEV(K17:K41)</f>
        <v/>
      </c>
      <c r="L9" s="2">
        <f>STDEV(L17:L41)</f>
        <v/>
      </c>
      <c r="M9" s="2">
        <f>STDEV(M17:M41)</f>
        <v/>
      </c>
      <c r="N9" s="2">
        <f>STDEV(N17:N41)</f>
        <v/>
      </c>
      <c r="O9" s="2">
        <f>STDEV(O17:O41)</f>
        <v/>
      </c>
      <c r="P9" s="2">
        <f>STDEV(P17:P41)</f>
        <v/>
      </c>
      <c r="Q9" s="2">
        <f>STDEV(Q17:Q41)</f>
        <v/>
      </c>
      <c r="R9" s="2">
        <f>STDEV(R17:R41)</f>
        <v/>
      </c>
      <c r="S9" s="2">
        <f>STDEV(S17:S41)</f>
        <v/>
      </c>
      <c r="T9" s="2">
        <f>STDEV(T17:T41)</f>
        <v/>
      </c>
      <c r="U9" s="2">
        <f>STDEV(U17:U41)</f>
        <v/>
      </c>
      <c r="V9" s="2">
        <f>STDEV(V17:V41)</f>
        <v/>
      </c>
    </row>
    <row r="10">
      <c r="A10" s="3" t="inlineStr">
        <is>
          <t>Sum</t>
        </is>
      </c>
      <c r="B10" s="2">
        <f>SUM(B17:B41)</f>
        <v/>
      </c>
      <c r="C10" s="2">
        <f>SUM(C17:C41)</f>
        <v/>
      </c>
      <c r="D10" s="2">
        <f>SUM(D17:D41)</f>
        <v/>
      </c>
      <c r="E10" s="2">
        <f>SUM(E17:E41)</f>
        <v/>
      </c>
      <c r="F10" s="2">
        <f>SUM(F17:F41)</f>
        <v/>
      </c>
      <c r="G10" s="2">
        <f>SUM(G17:G41)</f>
        <v/>
      </c>
      <c r="H10" s="2">
        <f>SUM(H17:H41)</f>
        <v/>
      </c>
      <c r="I10" s="2">
        <f>SUM(I17:I41)</f>
        <v/>
      </c>
      <c r="J10" s="2">
        <f>SUM(J17:J41)</f>
        <v/>
      </c>
      <c r="K10" s="2">
        <f>SUM(K17:K41)</f>
        <v/>
      </c>
      <c r="L10" s="2">
        <f>SUM(L17:L41)</f>
        <v/>
      </c>
      <c r="M10" s="2">
        <f>SUM(M17:M41)</f>
        <v/>
      </c>
      <c r="N10" s="2">
        <f>SUM(N17:N41)</f>
        <v/>
      </c>
      <c r="O10" s="2">
        <f>SUM(O17:O41)</f>
        <v/>
      </c>
      <c r="P10" s="2">
        <f>SUM(P17:P41)</f>
        <v/>
      </c>
      <c r="Q10" s="2">
        <f>SUM(Q17:Q41)</f>
        <v/>
      </c>
      <c r="R10" s="2">
        <f>SUM(R17:R41)</f>
        <v/>
      </c>
      <c r="S10" s="2">
        <f>SUM(S17:S41)</f>
        <v/>
      </c>
      <c r="T10" s="2">
        <f>SUM(T17:T41)</f>
        <v/>
      </c>
      <c r="U10" s="2">
        <f>SUM(U17:U41)</f>
        <v/>
      </c>
      <c r="V10" s="2">
        <f>SUM(V17:V41)</f>
        <v/>
      </c>
    </row>
    <row r="13">
      <c r="A13" s="4" t="inlineStr">
        <is>
          <t>日期</t>
        </is>
      </c>
      <c r="B13" s="4" t="inlineStr">
        <is>
          <t>SPY</t>
        </is>
      </c>
      <c r="C13" s="4" t="inlineStr">
        <is>
          <t>QQQ</t>
        </is>
      </c>
      <c r="D13" s="4" t="inlineStr">
        <is>
          <t>IWM</t>
        </is>
      </c>
      <c r="E13" s="4" t="inlineStr">
        <is>
          <t>TLT</t>
        </is>
      </c>
      <c r="F13" s="4" t="inlineStr">
        <is>
          <t>TIP</t>
        </is>
      </c>
      <c r="G13" s="4" t="inlineStr">
        <is>
          <t>EEM</t>
        </is>
      </c>
      <c r="H13" s="4" t="inlineStr">
        <is>
          <t>LQD</t>
        </is>
      </c>
      <c r="I13" s="4" t="inlineStr">
        <is>
          <t>HYG</t>
        </is>
      </c>
      <c r="J13" s="4" t="inlineStr">
        <is>
          <t>UUP</t>
        </is>
      </c>
      <c r="K13" s="4" t="inlineStr">
        <is>
          <t>SLV</t>
        </is>
      </c>
      <c r="L13" s="4" t="inlineStr">
        <is>
          <t>JNK</t>
        </is>
      </c>
      <c r="M13" s="4" t="inlineStr">
        <is>
          <t>GLD</t>
        </is>
      </c>
      <c r="N13" s="4" t="inlineStr">
        <is>
          <t>GDX</t>
        </is>
      </c>
      <c r="O13" s="4" t="inlineStr">
        <is>
          <t>XLV</t>
        </is>
      </c>
      <c r="P13" s="4" t="inlineStr">
        <is>
          <t>XLU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FXY</t>
        </is>
      </c>
      <c r="U13" s="4" t="inlineStr">
        <is>
          <t>VIX_Chg%</t>
        </is>
      </c>
      <c r="V13" s="4" t="inlineStr">
        <is>
          <t>TNX_ChgBp</t>
        </is>
      </c>
    </row>
    <row r="14">
      <c r="A14" s="5" t="inlineStr">
        <is>
          <t>策略1</t>
        </is>
      </c>
      <c r="B14" s="5" t="inlineStr"/>
      <c r="C14" s="5" t="inlineStr"/>
      <c r="D14" s="5" t="inlineStr"/>
      <c r="E14" s="5" t="inlineStr"/>
      <c r="F14" s="5" t="inlineStr"/>
      <c r="G14" s="7" t="inlineStr">
        <is>
          <t>EEM_down_GDX_up</t>
        </is>
      </c>
      <c r="H14" s="5" t="inlineStr"/>
      <c r="I14" s="5" t="inlineStr"/>
      <c r="J14" s="5" t="inlineStr"/>
      <c r="K14" s="5" t="inlineStr"/>
      <c r="L14" s="5" t="inlineStr"/>
      <c r="M14" s="9" t="inlineStr">
        <is>
          <t>EEM_down_GLD_up</t>
        </is>
      </c>
      <c r="N14" s="7" t="inlineStr">
        <is>
          <t>EEM_down_GDX_up</t>
        </is>
      </c>
      <c r="O14" s="5" t="inlineStr"/>
      <c r="P14" s="5" t="inlineStr"/>
      <c r="Q14" s="5" t="inlineStr"/>
      <c r="R14" s="5" t="inlineStr"/>
      <c r="S14" s="5" t="inlineStr"/>
      <c r="T14" s="6" t="inlineStr">
        <is>
          <t>FXY_big_up</t>
        </is>
      </c>
      <c r="U14" s="5" t="inlineStr"/>
      <c r="V14" s="5" t="inlineStr"/>
    </row>
    <row r="15">
      <c r="A15" s="5" t="inlineStr">
        <is>
          <t>策略2</t>
        </is>
      </c>
      <c r="B15" s="5" t="inlineStr"/>
      <c r="C15" s="5" t="inlineStr"/>
      <c r="D15" s="5" t="inlineStr"/>
      <c r="E15" s="5" t="inlineStr"/>
      <c r="F15" s="5" t="inlineStr"/>
      <c r="G15" s="8" t="inlineStr">
        <is>
          <t>EEM_down_FXY_up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8" t="inlineStr">
        <is>
          <t>EEM_down_FXY_up</t>
        </is>
      </c>
      <c r="U15" s="5" t="inlineStr"/>
      <c r="V15" s="5" t="inlineStr"/>
    </row>
    <row r="16">
      <c r="A16" s="5" t="inlineStr">
        <is>
          <t>策略3</t>
        </is>
      </c>
      <c r="B16" s="5" t="inlineStr"/>
      <c r="C16" s="5" t="inlineStr"/>
      <c r="D16" s="5" t="inlineStr"/>
      <c r="E16" s="5" t="inlineStr"/>
      <c r="F16" s="5" t="inlineStr"/>
      <c r="G16" s="9" t="inlineStr">
        <is>
          <t>EEM_down_GLD_up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</row>
    <row r="17">
      <c r="A17" s="5" t="inlineStr">
        <is>
          <t>08/04/2026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</row>
    <row r="18">
      <c r="A18" s="5" t="inlineStr">
        <is>
          <t>08/03/2026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</row>
    <row r="19">
      <c r="A19" s="5" t="inlineStr">
        <is>
          <t>07/31/2026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</row>
    <row r="20">
      <c r="A20" s="5" t="inlineStr">
        <is>
          <t>07/30/2026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</row>
    <row r="21">
      <c r="A21" s="5" t="inlineStr">
        <is>
          <t>07/29/2026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</row>
    <row r="22">
      <c r="A22" s="5" t="inlineStr">
        <is>
          <t>07/28/2026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</row>
    <row r="23">
      <c r="A23" s="5" t="inlineStr">
        <is>
          <t>07/27/2026</t>
        </is>
      </c>
      <c r="B23" s="5" t="n">
        <v>0.0217</v>
      </c>
      <c r="C23" s="5" t="n">
        <v>-0.3084</v>
      </c>
      <c r="D23" s="5" t="n">
        <v>0.5976</v>
      </c>
      <c r="E23" s="5" t="n">
        <v>0.6006</v>
      </c>
      <c r="F23" s="5" t="n">
        <v>-0.1023</v>
      </c>
      <c r="G23" s="5" t="n">
        <v>0.4579</v>
      </c>
      <c r="H23" s="5" t="n">
        <v>0.2636</v>
      </c>
      <c r="I23" s="5" t="n">
        <v>0.0505</v>
      </c>
      <c r="J23" s="5" t="n">
        <v>0.07000000000000001</v>
      </c>
      <c r="K23" s="5" t="n">
        <v>0.6465</v>
      </c>
      <c r="L23" s="5" t="n">
        <v>0.07340000000000001</v>
      </c>
      <c r="M23" s="5" t="n">
        <v>0.7341</v>
      </c>
      <c r="N23" s="5" t="n">
        <v>0.6646</v>
      </c>
      <c r="O23" s="5" t="n">
        <v>0.5105</v>
      </c>
      <c r="P23" s="5" t="n">
        <v>-1.3178</v>
      </c>
      <c r="Q23" s="5" t="n">
        <v>-2.1134</v>
      </c>
      <c r="R23" s="5" t="n">
        <v>1.0123</v>
      </c>
      <c r="S23" s="5" t="n">
        <v>-0.8983</v>
      </c>
      <c r="T23" s="5" t="n">
        <v>-0.0535</v>
      </c>
      <c r="U23" s="5" t="inlineStr"/>
      <c r="V23" s="5" t="inlineStr"/>
    </row>
    <row r="24">
      <c r="A24" s="5" t="inlineStr">
        <is>
          <t>07/24/2026</t>
        </is>
      </c>
      <c r="B24" s="5" t="n">
        <v>0.1016</v>
      </c>
      <c r="C24" s="5" t="n">
        <v>-1.1171</v>
      </c>
      <c r="D24" s="5" t="n">
        <v>-0.315</v>
      </c>
      <c r="E24" s="5" t="n">
        <v>0.09619999999999999</v>
      </c>
      <c r="F24" s="5" t="n">
        <v>0.009299999999999999</v>
      </c>
      <c r="G24" s="7" t="n">
        <v>-1.9659</v>
      </c>
      <c r="H24" s="5" t="n">
        <v>-0.0282</v>
      </c>
      <c r="I24" s="5" t="n">
        <v>0</v>
      </c>
      <c r="J24" s="5" t="n">
        <v>0.07000000000000001</v>
      </c>
      <c r="K24" s="5" t="n">
        <v>1.0181</v>
      </c>
      <c r="L24" s="5" t="n">
        <v>-0.0105</v>
      </c>
      <c r="M24" s="9" t="n">
        <v>0.1023</v>
      </c>
      <c r="N24" s="7" t="n">
        <v>0.2799</v>
      </c>
      <c r="O24" s="5" t="n">
        <v>0.7</v>
      </c>
      <c r="P24" s="5" t="n">
        <v>0.2165</v>
      </c>
      <c r="Q24" s="5" t="n">
        <v>0.4042</v>
      </c>
      <c r="R24" s="5" t="n">
        <v>0.8598</v>
      </c>
      <c r="S24" s="5" t="n">
        <v>-1.4402</v>
      </c>
      <c r="T24" s="8" t="n">
        <v>0.0536</v>
      </c>
      <c r="U24" s="5" t="n">
        <v>0</v>
      </c>
      <c r="V24" s="5" t="n">
        <v>0</v>
      </c>
    </row>
    <row r="25">
      <c r="A25" s="5" t="inlineStr">
        <is>
          <t>07/23/2026</t>
        </is>
      </c>
      <c r="B25" s="5" t="n">
        <v>-1.2349</v>
      </c>
      <c r="C25" s="5" t="n">
        <v>-1.8983</v>
      </c>
      <c r="D25" s="5" t="n">
        <v>-0.5786</v>
      </c>
      <c r="E25" s="5" t="n">
        <v>-0.3236</v>
      </c>
      <c r="F25" s="5" t="n">
        <v>-0.2598</v>
      </c>
      <c r="G25" s="5" t="n">
        <v>-0.6001</v>
      </c>
      <c r="H25" s="5" t="n">
        <v>-0.3844</v>
      </c>
      <c r="I25" s="5" t="n">
        <v>-0.3647</v>
      </c>
      <c r="J25" s="5" t="n">
        <v>0.3866</v>
      </c>
      <c r="K25" s="5" t="n">
        <v>-3.4496</v>
      </c>
      <c r="L25" s="5" t="n">
        <v>-0.3655</v>
      </c>
      <c r="M25" s="5" t="n">
        <v>-2.0046</v>
      </c>
      <c r="N25" s="5" t="n">
        <v>-2.1648</v>
      </c>
      <c r="O25" s="5" t="n">
        <v>1.2607</v>
      </c>
      <c r="P25" s="5" t="n">
        <v>0.5661</v>
      </c>
      <c r="Q25" s="5" t="n">
        <v>0.3041</v>
      </c>
      <c r="R25" s="5" t="n">
        <v>-0.3925</v>
      </c>
      <c r="S25" s="5" t="n">
        <v>-1.0096</v>
      </c>
      <c r="T25" s="5" t="n">
        <v>-0.3913</v>
      </c>
      <c r="U25" s="5" t="n">
        <v>0.6459</v>
      </c>
      <c r="V25" s="5" t="n">
        <v>2.4</v>
      </c>
    </row>
    <row r="26">
      <c r="A26" s="5" t="inlineStr">
        <is>
          <t>07/22/2026</t>
        </is>
      </c>
      <c r="B26" s="5" t="n">
        <v>-0.1163</v>
      </c>
      <c r="C26" s="5" t="n">
        <v>-0.5106000000000001</v>
      </c>
      <c r="D26" s="5" t="n">
        <v>-0.9274</v>
      </c>
      <c r="E26" s="5" t="n">
        <v>-0.263</v>
      </c>
      <c r="F26" s="5" t="n">
        <v>-0.102</v>
      </c>
      <c r="G26" s="7" t="n">
        <v>-0.5357</v>
      </c>
      <c r="H26" s="5" t="n">
        <v>-0.1685</v>
      </c>
      <c r="I26" s="5" t="n">
        <v>-0.1632</v>
      </c>
      <c r="J26" s="5" t="n">
        <v>-0.1053</v>
      </c>
      <c r="K26" s="5" t="n">
        <v>1.5825</v>
      </c>
      <c r="L26" s="5" t="n">
        <v>-0.1564</v>
      </c>
      <c r="M26" s="9" t="n">
        <v>1.1499</v>
      </c>
      <c r="N26" s="7" t="n">
        <v>3.3562</v>
      </c>
      <c r="O26" s="5" t="n">
        <v>-0.5117</v>
      </c>
      <c r="P26" s="5" t="n">
        <v>2.2484</v>
      </c>
      <c r="Q26" s="5" t="n">
        <v>1.1966</v>
      </c>
      <c r="R26" s="5" t="n">
        <v>-0.1069</v>
      </c>
      <c r="S26" s="5" t="n">
        <v>-0.2821</v>
      </c>
      <c r="T26" s="8" t="n">
        <v>0.0178</v>
      </c>
      <c r="U26" s="5" t="n">
        <v>-11.016</v>
      </c>
      <c r="V26" s="5" t="n">
        <v>-4.6</v>
      </c>
    </row>
    <row r="27">
      <c r="A27" s="5" t="inlineStr">
        <is>
          <t>07/21/2026</t>
        </is>
      </c>
      <c r="B27" s="5" t="n">
        <v>0.8341</v>
      </c>
      <c r="C27" s="5" t="n">
        <v>1.8547</v>
      </c>
      <c r="D27" s="5" t="n">
        <v>1.4471</v>
      </c>
      <c r="E27" s="5" t="n">
        <v>-0.2742</v>
      </c>
      <c r="F27" s="5" t="n">
        <v>-0.1573</v>
      </c>
      <c r="G27" s="5" t="n">
        <v>2.8005</v>
      </c>
      <c r="H27" s="5" t="n">
        <v>-0.28</v>
      </c>
      <c r="I27" s="5" t="n">
        <v>-0.0377</v>
      </c>
      <c r="J27" s="5" t="n">
        <v>0.317</v>
      </c>
      <c r="K27" s="5" t="n">
        <v>4.1193</v>
      </c>
      <c r="L27" s="5" t="n">
        <v>-0.0521</v>
      </c>
      <c r="M27" s="5" t="n">
        <v>1.9614</v>
      </c>
      <c r="N27" s="5" t="n">
        <v>4.877</v>
      </c>
      <c r="O27" s="5" t="n">
        <v>0.6279</v>
      </c>
      <c r="P27" s="5" t="n">
        <v>-0.0445</v>
      </c>
      <c r="Q27" s="5" t="n">
        <v>0.9665</v>
      </c>
      <c r="R27" s="5" t="n">
        <v>0.1249</v>
      </c>
      <c r="S27" s="5" t="n">
        <v>2.8854</v>
      </c>
      <c r="T27" s="5" t="n">
        <v>-0.4251</v>
      </c>
      <c r="U27" s="5" t="n">
        <v>2.4639</v>
      </c>
      <c r="V27" s="5" t="n">
        <v>-2.9</v>
      </c>
    </row>
    <row r="28">
      <c r="A28" s="5" t="inlineStr">
        <is>
          <t>07/20/2026</t>
        </is>
      </c>
      <c r="B28" s="5" t="n">
        <v>-0.1614</v>
      </c>
      <c r="C28" s="5" t="n">
        <v>0.105</v>
      </c>
      <c r="D28" s="5" t="n">
        <v>-0.5884</v>
      </c>
      <c r="E28" s="5" t="n">
        <v>-0.7454</v>
      </c>
      <c r="F28" s="5" t="n">
        <v>-0.2032</v>
      </c>
      <c r="G28" s="5" t="n">
        <v>0.4266</v>
      </c>
      <c r="H28" s="5" t="n">
        <v>-0.3812</v>
      </c>
      <c r="I28" s="5" t="n">
        <v>0.0377</v>
      </c>
      <c r="J28" s="5" t="n">
        <v>0.2118</v>
      </c>
      <c r="K28" s="5" t="n">
        <v>0.3939</v>
      </c>
      <c r="L28" s="5" t="n">
        <v>-0.0313</v>
      </c>
      <c r="M28" s="5" t="n">
        <v>-0.2199</v>
      </c>
      <c r="N28" s="5" t="n">
        <v>-0.8132</v>
      </c>
      <c r="O28" s="5" t="n">
        <v>-1.1422</v>
      </c>
      <c r="P28" s="5" t="n">
        <v>-0.5092</v>
      </c>
      <c r="Q28" s="5" t="n">
        <v>0.4508</v>
      </c>
      <c r="R28" s="5" t="n">
        <v>-0.391</v>
      </c>
      <c r="S28" s="5" t="n">
        <v>0.0683</v>
      </c>
      <c r="T28" s="5" t="n">
        <v>-0.0885</v>
      </c>
      <c r="U28" s="5" t="n">
        <v>9.3842</v>
      </c>
      <c r="V28" s="5" t="n">
        <v>-3</v>
      </c>
    </row>
    <row r="29">
      <c r="A29" s="5" t="inlineStr">
        <is>
          <t>07/17/2026</t>
        </is>
      </c>
      <c r="B29" s="5" t="n">
        <v>-0.9897</v>
      </c>
      <c r="C29" s="5" t="n">
        <v>-1.503</v>
      </c>
      <c r="D29" s="5" t="n">
        <v>-0.5244</v>
      </c>
      <c r="E29" s="5" t="n">
        <v>0.3681</v>
      </c>
      <c r="F29" s="5" t="n">
        <v>0.2779</v>
      </c>
      <c r="G29" s="8" t="n">
        <v>-1.4021</v>
      </c>
      <c r="H29" s="5" t="n">
        <v>0.0558</v>
      </c>
      <c r="I29" s="5" t="n">
        <v>-0.188</v>
      </c>
      <c r="J29" s="5" t="n">
        <v>-0.0353</v>
      </c>
      <c r="K29" s="5" t="n">
        <v>0.774</v>
      </c>
      <c r="L29" s="5" t="n">
        <v>-0.1041</v>
      </c>
      <c r="M29" s="9" t="n">
        <v>0.9453</v>
      </c>
      <c r="N29" s="5" t="n">
        <v>-0.112</v>
      </c>
      <c r="O29" s="5" t="n">
        <v>-0.4388</v>
      </c>
      <c r="P29" s="5" t="n">
        <v>-0.6598000000000001</v>
      </c>
      <c r="Q29" s="5" t="n">
        <v>1.1575</v>
      </c>
      <c r="R29" s="5" t="n">
        <v>-0.8633999999999999</v>
      </c>
      <c r="S29" s="5" t="n">
        <v>-1.0872</v>
      </c>
      <c r="T29" s="8" t="n">
        <v>0.1063</v>
      </c>
      <c r="U29" s="5" t="n">
        <v>0.6434</v>
      </c>
      <c r="V29" s="5" t="n">
        <v>-5.7</v>
      </c>
    </row>
    <row r="30">
      <c r="A30" s="5" t="inlineStr">
        <is>
          <t>07/16/2026</t>
        </is>
      </c>
      <c r="B30" s="5" t="n">
        <v>-0.5419</v>
      </c>
      <c r="C30" s="5" t="n">
        <v>-1.644</v>
      </c>
      <c r="D30" s="5" t="n">
        <v>-0.0609</v>
      </c>
      <c r="E30" s="5" t="n">
        <v>-0.0356</v>
      </c>
      <c r="F30" s="5" t="n">
        <v>-0.0925</v>
      </c>
      <c r="G30" s="5" t="n">
        <v>-2.1046</v>
      </c>
      <c r="H30" s="5" t="n">
        <v>-0.07439999999999999</v>
      </c>
      <c r="I30" s="5" t="n">
        <v>-0.0125</v>
      </c>
      <c r="J30" s="5" t="n">
        <v>0.3186</v>
      </c>
      <c r="K30" s="5" t="n">
        <v>-3.4859</v>
      </c>
      <c r="L30" s="5" t="n">
        <v>0.0104</v>
      </c>
      <c r="M30" s="5" t="n">
        <v>-1.9847</v>
      </c>
      <c r="N30" s="5" t="n">
        <v>-3.5135</v>
      </c>
      <c r="O30" s="5" t="n">
        <v>2.2174</v>
      </c>
      <c r="P30" s="5" t="n">
        <v>0.5528999999999999</v>
      </c>
      <c r="Q30" s="5" t="n">
        <v>0.9204</v>
      </c>
      <c r="R30" s="5" t="n">
        <v>0.3359</v>
      </c>
      <c r="S30" s="5" t="n">
        <v>-2.2359</v>
      </c>
      <c r="T30" s="5" t="n">
        <v>-0.1415</v>
      </c>
      <c r="U30" s="5" t="n">
        <v>-10.8684</v>
      </c>
      <c r="V30" s="5" t="n">
        <v>2.8</v>
      </c>
    </row>
    <row r="31">
      <c r="A31" s="5" t="inlineStr">
        <is>
          <t>07/15/2026</t>
        </is>
      </c>
      <c r="B31" s="5" t="n">
        <v>0.3964</v>
      </c>
      <c r="C31" s="5" t="n">
        <v>-0.2709</v>
      </c>
      <c r="D31" s="5" t="n">
        <v>0.4278</v>
      </c>
      <c r="E31" s="5" t="n">
        <v>0.1903</v>
      </c>
      <c r="F31" s="5" t="n">
        <v>0.0556</v>
      </c>
      <c r="G31" s="9" t="n">
        <v>-0.1523</v>
      </c>
      <c r="H31" s="5" t="n">
        <v>0.3451</v>
      </c>
      <c r="I31" s="5" t="n">
        <v>0.1632</v>
      </c>
      <c r="J31" s="5" t="n">
        <v>-0.4931</v>
      </c>
      <c r="K31" s="5" t="n">
        <v>-1.8055</v>
      </c>
      <c r="L31" s="5" t="n">
        <v>0.1773</v>
      </c>
      <c r="M31" s="9" t="n">
        <v>0.0537</v>
      </c>
      <c r="N31" s="5" t="n">
        <v>-1.1752</v>
      </c>
      <c r="O31" s="5" t="n">
        <v>0</v>
      </c>
      <c r="P31" s="5" t="n">
        <v>-1.0287</v>
      </c>
      <c r="Q31" s="5" t="n">
        <v>-0.7902</v>
      </c>
      <c r="R31" s="5" t="n">
        <v>0.6764</v>
      </c>
      <c r="S31" s="5" t="n">
        <v>-1.111</v>
      </c>
      <c r="T31" s="5" t="n">
        <v>-0.0707</v>
      </c>
      <c r="U31" s="5" t="n">
        <v>-6.3359</v>
      </c>
      <c r="V31" s="5" t="n">
        <v>-2.4</v>
      </c>
    </row>
    <row r="32">
      <c r="A32" s="5" t="inlineStr">
        <is>
          <t>07/14/2026</t>
        </is>
      </c>
      <c r="B32" s="5" t="n">
        <v>0.3551</v>
      </c>
      <c r="C32" s="5" t="n">
        <v>1.117</v>
      </c>
      <c r="D32" s="5" t="n">
        <v>0.351</v>
      </c>
      <c r="E32" s="5" t="n">
        <v>0.131</v>
      </c>
      <c r="F32" s="5" t="n">
        <v>0.0927</v>
      </c>
      <c r="G32" s="5" t="n">
        <v>1.814</v>
      </c>
      <c r="H32" s="5" t="n">
        <v>0.2337</v>
      </c>
      <c r="I32" s="5" t="n">
        <v>0.2012</v>
      </c>
      <c r="J32" s="5" t="n">
        <v>-0.386</v>
      </c>
      <c r="K32" s="5" t="n">
        <v>1.9363</v>
      </c>
      <c r="L32" s="5" t="n">
        <v>0.1462</v>
      </c>
      <c r="M32" s="5" t="n">
        <v>1.3674</v>
      </c>
      <c r="N32" s="5" t="n">
        <v>2.0581</v>
      </c>
      <c r="O32" s="5" t="n">
        <v>-1.933</v>
      </c>
      <c r="P32" s="5" t="n">
        <v>-0.06560000000000001</v>
      </c>
      <c r="Q32" s="5" t="n">
        <v>0.3701</v>
      </c>
      <c r="R32" s="5" t="n">
        <v>0.1962</v>
      </c>
      <c r="S32" s="5" t="n">
        <v>1.2908</v>
      </c>
      <c r="T32" s="5" t="n">
        <v>0.1948</v>
      </c>
      <c r="U32" s="5" t="n">
        <v>5.2967</v>
      </c>
      <c r="V32" s="5" t="n">
        <v>4</v>
      </c>
    </row>
    <row r="33">
      <c r="A33" s="5" t="inlineStr">
        <is>
          <t>07/13/2026</t>
        </is>
      </c>
      <c r="B33" s="5" t="n">
        <v>-0.7655999999999999</v>
      </c>
      <c r="C33" s="5" t="n">
        <v>-1.898</v>
      </c>
      <c r="D33" s="5" t="n">
        <v>-0.848</v>
      </c>
      <c r="E33" s="5" t="n">
        <v>-0.5919</v>
      </c>
      <c r="F33" s="5" t="n">
        <v>-0.2035</v>
      </c>
      <c r="G33" s="5" t="n">
        <v>-3.5874</v>
      </c>
      <c r="H33" s="5" t="n">
        <v>-0.4653</v>
      </c>
      <c r="I33" s="5" t="n">
        <v>-0.2384</v>
      </c>
      <c r="J33" s="5" t="n">
        <v>0.3875</v>
      </c>
      <c r="K33" s="5" t="n">
        <v>-3.3179</v>
      </c>
      <c r="L33" s="5" t="n">
        <v>-0.1772</v>
      </c>
      <c r="M33" s="5" t="n">
        <v>-2.6206</v>
      </c>
      <c r="N33" s="5" t="n">
        <v>-2.8598</v>
      </c>
      <c r="O33" s="5" t="n">
        <v>0.3544</v>
      </c>
      <c r="P33" s="5" t="n">
        <v>0.6827</v>
      </c>
      <c r="Q33" s="5" t="n">
        <v>3.0138</v>
      </c>
      <c r="R33" s="5" t="n">
        <v>0.6462</v>
      </c>
      <c r="S33" s="5" t="n">
        <v>-2.4222</v>
      </c>
      <c r="T33" s="5" t="n">
        <v>-0.4935</v>
      </c>
      <c r="U33" s="5" t="n">
        <v>4</v>
      </c>
      <c r="V33" s="5" t="n">
        <v>2.4</v>
      </c>
    </row>
    <row r="34">
      <c r="A34" s="5" t="inlineStr">
        <is>
          <t>07/10/2026</t>
        </is>
      </c>
      <c r="B34" s="5" t="n">
        <v>0.431</v>
      </c>
      <c r="C34" s="5" t="n">
        <v>0.3083</v>
      </c>
      <c r="D34" s="5" t="n">
        <v>-0.4205</v>
      </c>
      <c r="E34" s="5" t="n">
        <v>-0.0237</v>
      </c>
      <c r="F34" s="5" t="n">
        <v>0.0092</v>
      </c>
      <c r="G34" s="5" t="n">
        <v>0.1797</v>
      </c>
      <c r="H34" s="5" t="n">
        <v>-0.2321</v>
      </c>
      <c r="I34" s="5" t="n">
        <v>-0.0502</v>
      </c>
      <c r="J34" s="5" t="n">
        <v>0.1058</v>
      </c>
      <c r="K34" s="5" t="n">
        <v>-0.3509</v>
      </c>
      <c r="L34" s="5" t="n">
        <v>-0.07290000000000001</v>
      </c>
      <c r="M34" s="5" t="n">
        <v>-0.3094</v>
      </c>
      <c r="N34" s="5" t="n">
        <v>-0.3299</v>
      </c>
      <c r="O34" s="5" t="n">
        <v>-0.8201000000000001</v>
      </c>
      <c r="P34" s="5" t="n">
        <v>0.6204</v>
      </c>
      <c r="Q34" s="5" t="n">
        <v>0.4743</v>
      </c>
      <c r="R34" s="5" t="n">
        <v>0.3061</v>
      </c>
      <c r="S34" s="5" t="n">
        <v>0.232</v>
      </c>
      <c r="T34" s="5" t="n">
        <v>0.4603</v>
      </c>
      <c r="U34" s="5" t="n">
        <v>-12.4126</v>
      </c>
      <c r="V34" s="5" t="n">
        <v>-4</v>
      </c>
    </row>
    <row r="35">
      <c r="A35" s="5" t="inlineStr">
        <is>
          <t>07/09/2026</t>
        </is>
      </c>
      <c r="B35" s="5" t="n">
        <v>0.8465</v>
      </c>
      <c r="C35" s="5" t="n">
        <v>1.6642</v>
      </c>
      <c r="D35" s="5" t="n">
        <v>1.2812</v>
      </c>
      <c r="E35" s="5" t="n">
        <v>0.1541</v>
      </c>
      <c r="F35" s="5" t="n">
        <v>0.0648</v>
      </c>
      <c r="G35" s="5" t="n">
        <v>0.8304</v>
      </c>
      <c r="H35" s="5" t="n">
        <v>0.0372</v>
      </c>
      <c r="I35" s="5" t="n">
        <v>0.113</v>
      </c>
      <c r="J35" s="5" t="n">
        <v>0</v>
      </c>
      <c r="K35" s="5" t="n">
        <v>2.4797</v>
      </c>
      <c r="L35" s="5" t="n">
        <v>0.1043</v>
      </c>
      <c r="M35" s="5" t="n">
        <v>0.9961</v>
      </c>
      <c r="N35" s="5" t="n">
        <v>3.06</v>
      </c>
      <c r="O35" s="5" t="n">
        <v>-0.0801</v>
      </c>
      <c r="P35" s="5" t="n">
        <v>-0.5071</v>
      </c>
      <c r="Q35" s="5" t="n">
        <v>-1.4029</v>
      </c>
      <c r="R35" s="5" t="n">
        <v>1.0369</v>
      </c>
      <c r="S35" s="5" t="n">
        <v>2.1775</v>
      </c>
      <c r="T35" s="5" t="n">
        <v>0.0354</v>
      </c>
      <c r="U35" s="5" t="n">
        <v>5.3892</v>
      </c>
      <c r="V35" s="5" t="n">
        <v>-3</v>
      </c>
    </row>
    <row r="36">
      <c r="A36" s="5" t="inlineStr">
        <is>
          <t>07/08/2026</t>
        </is>
      </c>
      <c r="B36" s="5" t="n">
        <v>-0.3089</v>
      </c>
      <c r="C36" s="5" t="n">
        <v>0.2833</v>
      </c>
      <c r="D36" s="5" t="n">
        <v>-0.915</v>
      </c>
      <c r="E36" s="5" t="n">
        <v>-0.2247</v>
      </c>
      <c r="F36" s="5" t="n">
        <v>-0.1109</v>
      </c>
      <c r="G36" s="5" t="n">
        <v>0.776</v>
      </c>
      <c r="H36" s="5" t="n">
        <v>-0.1947</v>
      </c>
      <c r="I36" s="5" t="n">
        <v>-0.1254</v>
      </c>
      <c r="J36" s="5" t="n">
        <v>-0.1408</v>
      </c>
      <c r="K36" s="5" t="n">
        <v>-2.993</v>
      </c>
      <c r="L36" s="5" t="n">
        <v>-0.1562</v>
      </c>
      <c r="M36" s="5" t="n">
        <v>-0.8053</v>
      </c>
      <c r="N36" s="5" t="n">
        <v>-2.9435</v>
      </c>
      <c r="O36" s="5" t="n">
        <v>-1.3014</v>
      </c>
      <c r="P36" s="5" t="n">
        <v>-0.744</v>
      </c>
      <c r="Q36" s="5" t="n">
        <v>1.757</v>
      </c>
      <c r="R36" s="5" t="n">
        <v>-1.9269</v>
      </c>
      <c r="S36" s="5" t="n">
        <v>1.239</v>
      </c>
      <c r="T36" s="5" t="n">
        <v>-0.3002</v>
      </c>
      <c r="U36" s="5" t="n">
        <v>6.6919</v>
      </c>
      <c r="V36" s="5" t="n">
        <v>3</v>
      </c>
    </row>
    <row r="37">
      <c r="A37" s="5" t="inlineStr">
        <is>
          <t>07/07/2026</t>
        </is>
      </c>
      <c r="B37" s="5" t="n">
        <v>-0.4752</v>
      </c>
      <c r="C37" s="5" t="n">
        <v>-1.8525</v>
      </c>
      <c r="D37" s="5" t="n">
        <v>-0.9067</v>
      </c>
      <c r="E37" s="5" t="n">
        <v>-1.0532</v>
      </c>
      <c r="F37" s="5" t="n">
        <v>-0.295</v>
      </c>
      <c r="G37" s="8" t="n">
        <v>-2.7379</v>
      </c>
      <c r="H37" s="5" t="n">
        <v>-0.727</v>
      </c>
      <c r="I37" s="5" t="n">
        <v>-0.1377</v>
      </c>
      <c r="J37" s="5" t="n">
        <v>0.2825</v>
      </c>
      <c r="K37" s="5" t="n">
        <v>-2.9407</v>
      </c>
      <c r="L37" s="5" t="n">
        <v>-0.104</v>
      </c>
      <c r="M37" s="5" t="n">
        <v>-1.2142</v>
      </c>
      <c r="N37" s="5" t="n">
        <v>-3.7846</v>
      </c>
      <c r="O37" s="5" t="n">
        <v>1.5312</v>
      </c>
      <c r="P37" s="5" t="n">
        <v>0.883</v>
      </c>
      <c r="Q37" s="5" t="n">
        <v>2.8421</v>
      </c>
      <c r="R37" s="5" t="n">
        <v>-0.1603</v>
      </c>
      <c r="S37" s="5" t="n">
        <v>-2.3915</v>
      </c>
      <c r="T37" s="8" t="n">
        <v>0.0707</v>
      </c>
      <c r="U37" s="5" t="n">
        <v>-4.5562</v>
      </c>
      <c r="V37" s="5" t="n">
        <v>-4</v>
      </c>
    </row>
    <row r="38">
      <c r="A38" s="5" t="inlineStr">
        <is>
          <t>07/06/2026</t>
        </is>
      </c>
      <c r="B38" s="5" t="n">
        <v>0.8727</v>
      </c>
      <c r="C38" s="5" t="n">
        <v>1.4342</v>
      </c>
      <c r="D38" s="5" t="n">
        <v>0.4436</v>
      </c>
      <c r="E38" s="5" t="n">
        <v>-0.0702</v>
      </c>
      <c r="F38" s="5" t="n">
        <v>0.1477</v>
      </c>
      <c r="G38" s="5" t="n">
        <v>2.8463</v>
      </c>
      <c r="H38" s="5" t="n">
        <v>0.0276</v>
      </c>
      <c r="I38" s="5" t="n">
        <v>0.2007</v>
      </c>
      <c r="J38" s="5" t="n">
        <v>-0.0706</v>
      </c>
      <c r="K38" s="5" t="n">
        <v>1.9811</v>
      </c>
      <c r="L38" s="5" t="n">
        <v>0.1667</v>
      </c>
      <c r="M38" s="5" t="n">
        <v>1.0578</v>
      </c>
      <c r="N38" s="5" t="n">
        <v>0.3953</v>
      </c>
      <c r="O38" s="5" t="n">
        <v>-1.0871</v>
      </c>
      <c r="P38" s="5" t="n">
        <v>-1.0052</v>
      </c>
      <c r="Q38" s="5" t="n">
        <v>-0.1691</v>
      </c>
      <c r="R38" s="5" t="n">
        <v>0.9349</v>
      </c>
      <c r="S38" s="5" t="n">
        <v>1.6501</v>
      </c>
      <c r="T38" s="5" t="n">
        <v>-0.6321</v>
      </c>
      <c r="U38" s="5" t="n">
        <v>-3.4718</v>
      </c>
      <c r="V38" s="5" t="n">
        <v>-5</v>
      </c>
    </row>
    <row r="39">
      <c r="A39" s="5" t="inlineStr">
        <is>
          <t>07/02/2026</t>
        </is>
      </c>
      <c r="B39" s="5" t="n">
        <v>-0.1314</v>
      </c>
      <c r="C39" s="5" t="n">
        <v>-1.7334</v>
      </c>
      <c r="D39" s="5" t="n">
        <v>-0.5813</v>
      </c>
      <c r="E39" s="5" t="n">
        <v>-0.0117</v>
      </c>
      <c r="F39" s="5" t="n">
        <v>0.1479</v>
      </c>
      <c r="G39" s="7" t="n">
        <v>-1.1733</v>
      </c>
      <c r="H39" s="5" t="n">
        <v>0.166</v>
      </c>
      <c r="I39" s="5" t="n">
        <v>0.1508</v>
      </c>
      <c r="J39" s="5" t="n">
        <v>-0.5265</v>
      </c>
      <c r="K39" s="5" t="n">
        <v>2.6876</v>
      </c>
      <c r="L39" s="5" t="n">
        <v>0.1147</v>
      </c>
      <c r="M39" s="9" t="n">
        <v>2.0318</v>
      </c>
      <c r="N39" s="7" t="n">
        <v>4.4758</v>
      </c>
      <c r="O39" s="5" t="n">
        <v>2.6326</v>
      </c>
      <c r="P39" s="5" t="n">
        <v>2.2113</v>
      </c>
      <c r="Q39" s="5" t="n">
        <v>0.7764</v>
      </c>
      <c r="R39" s="5" t="n">
        <v>1.5334</v>
      </c>
      <c r="S39" s="5" t="n">
        <v>-2.7098</v>
      </c>
      <c r="T39" s="8" t="n">
        <v>0.9215</v>
      </c>
      <c r="U39" s="5" t="n">
        <v>3.7251</v>
      </c>
      <c r="V39" s="5" t="n">
        <v>0.6</v>
      </c>
    </row>
    <row r="40">
      <c r="A40" s="5" t="inlineStr">
        <is>
          <t>07/01/2026</t>
        </is>
      </c>
      <c r="B40" s="5" t="n">
        <v>-0.1352</v>
      </c>
      <c r="C40" s="5" t="n">
        <v>-1.525</v>
      </c>
      <c r="D40" s="5" t="n">
        <v>-0.3761</v>
      </c>
      <c r="E40" s="5" t="n">
        <v>-0.6758999999999999</v>
      </c>
      <c r="F40" s="5" t="n">
        <v>-0.1864</v>
      </c>
      <c r="G40" s="9" t="n">
        <v>-2.8212</v>
      </c>
      <c r="H40" s="5" t="n">
        <v>-0.2098</v>
      </c>
      <c r="I40" s="5" t="n">
        <v>-0.0138</v>
      </c>
      <c r="J40" s="5" t="n">
        <v>0.2816</v>
      </c>
      <c r="K40" s="5" t="n">
        <v>0.2057</v>
      </c>
      <c r="L40" s="5" t="n">
        <v>0.0428</v>
      </c>
      <c r="M40" s="9" t="n">
        <v>0.6026</v>
      </c>
      <c r="N40" s="5" t="n">
        <v>-0.5036</v>
      </c>
      <c r="O40" s="5" t="n">
        <v>0.5546</v>
      </c>
      <c r="P40" s="5" t="n">
        <v>-1.2572</v>
      </c>
      <c r="Q40" s="5" t="n">
        <v>-0.5649</v>
      </c>
      <c r="R40" s="5" t="n">
        <v>2.1824</v>
      </c>
      <c r="S40" s="5" t="n">
        <v>-2.5719</v>
      </c>
      <c r="T40" s="5" t="n">
        <v>-0.0177</v>
      </c>
      <c r="U40" s="5" t="n">
        <v>2.7245</v>
      </c>
      <c r="V40" s="5" t="n">
        <v>-1</v>
      </c>
    </row>
    <row r="41">
      <c r="A41" s="5" t="inlineStr">
        <is>
          <t>06/30/2026</t>
        </is>
      </c>
      <c r="B41" s="5" t="n">
        <v>0.7786999999999999</v>
      </c>
      <c r="C41" s="5" t="n">
        <v>1.7015</v>
      </c>
      <c r="D41" s="5" t="n">
        <v>0.495</v>
      </c>
      <c r="E41" s="5" t="n">
        <v>-1.1778</v>
      </c>
      <c r="F41" s="5" t="n">
        <v>-0.4277</v>
      </c>
      <c r="G41" s="5" t="n">
        <v>1.4534</v>
      </c>
      <c r="H41" s="5" t="n">
        <v>-0.5743</v>
      </c>
      <c r="I41" s="5" t="n">
        <v>-0.05</v>
      </c>
      <c r="J41" s="5" t="n">
        <v>0.141</v>
      </c>
      <c r="K41" s="5" t="n">
        <v>1.4996</v>
      </c>
      <c r="L41" s="5" t="n">
        <v>-0.0311</v>
      </c>
      <c r="M41" s="5" t="n">
        <v>-0.0543</v>
      </c>
      <c r="N41" s="5" t="n">
        <v>-0.3039</v>
      </c>
      <c r="O41" s="5" t="n">
        <v>-1.294</v>
      </c>
      <c r="P41" s="5" t="n">
        <v>-1.4776</v>
      </c>
      <c r="Q41" s="5" t="n">
        <v>-0.8772</v>
      </c>
      <c r="R41" s="5" t="n">
        <v>-0.2048</v>
      </c>
      <c r="S41" s="5" t="n">
        <v>2.7561</v>
      </c>
      <c r="T41" s="5" t="n">
        <v>-0.3883</v>
      </c>
      <c r="U41" s="5" t="n">
        <v>-0.8439</v>
      </c>
      <c r="V41" s="5" t="n">
        <v>-5.7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2026-08-06T05:28:50Z</dcterms:created>
  <dcterms:modified xmlns:dcterms="http://purl.org/dc/terms/" xmlns:xsi="http://www.w3.org/2001/XMLSchema-instance" xsi:type="dcterms:W3CDTF">2026-08-06T05:28:51Z</dcterms:modified>
</cp:coreProperties>
</file>