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两基金 m30 新版式示例</t>
        </is>
      </c>
    </row>
    <row r="3">
      <c r="A3" t="inlineStr">
        <is>
          <t>用途：审批新版式，确认后再全量生成 m30。</t>
        </is>
      </c>
    </row>
    <row r="4">
      <c r="A4" t="inlineStr">
        <is>
          <t>版式：最左侧为基础数据，每支基金前为单独策略列，最后一列为合并效果。</t>
        </is>
      </c>
    </row>
    <row r="5">
      <c r="A5" t="inlineStr">
        <is>
          <t>最左侧先放原始 Adj Close，旁边回报率列用 Excel 公式从 Adj Close 计算。</t>
        </is>
      </c>
    </row>
    <row r="6">
      <c r="A6" t="inlineStr">
        <is>
          <t>策略列/合并列引用回报率列计算，全部为 Excel 公式。</t>
        </is>
      </c>
    </row>
    <row r="7">
      <c r="A7" t="inlineStr">
        <is>
          <t>日期格式：YYYY/MM/DD，按公司格式降序。</t>
        </is>
      </c>
    </row>
    <row r="8">
      <c r="A8" t="inlineStr">
        <is>
          <t>策略名写清阈值，并统一标注“买基金第二天”。</t>
        </is>
      </c>
    </row>
    <row r="9">
      <c r="A9" t="inlineStr">
        <is>
          <t>示例基金：Ultra NASDAQ-100 ProFunds Investor Class（UOPIX）、UltraBull ProFund Investor Shares（ULPIX），最近 60 个交易日。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D73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3">
        <f>AA3/(AA3+AA4)</f>
        <v/>
      </c>
      <c r="AB2" s="3">
        <f>AB3/(AB3+AB4)</f>
        <v/>
      </c>
      <c r="AC2" s="3">
        <f>AC3/(AC3+AC4)</f>
        <v/>
      </c>
      <c r="AD2" s="3">
        <f>AD3/(AD3+AD4)</f>
        <v/>
      </c>
    </row>
    <row r="3">
      <c r="A3" s="2" t="inlineStr">
        <is>
          <t>Up Count</t>
        </is>
      </c>
      <c r="B3" s="3">
        <f>COUNTIF(B14:B73,"&gt;0")</f>
        <v/>
      </c>
      <c r="C3" s="3">
        <f>COUNTIF(C14:C73,"&gt;0")</f>
        <v/>
      </c>
      <c r="D3" s="3">
        <f>COUNTIF(D14:D73,"&gt;0")</f>
        <v/>
      </c>
      <c r="E3" s="3">
        <f>COUNTIF(E14:E73,"&gt;0")</f>
        <v/>
      </c>
      <c r="F3" s="3">
        <f>COUNTIF(F14:F73,"&gt;0")</f>
        <v/>
      </c>
      <c r="G3" s="3">
        <f>COUNTIF(G14:G73,"&gt;0")</f>
        <v/>
      </c>
      <c r="H3" s="3">
        <f>COUNTIF(H14:H73,"&gt;0")</f>
        <v/>
      </c>
      <c r="I3" s="3">
        <f>COUNTIF(I14:I73,"&gt;0")</f>
        <v/>
      </c>
      <c r="J3" s="3">
        <f>COUNTIF(J14:J73,"&gt;0")</f>
        <v/>
      </c>
      <c r="K3" s="3">
        <f>COUNTIF(K14:K73,"&gt;0")</f>
        <v/>
      </c>
      <c r="L3" s="3">
        <f>COUNTIF(L14:L73,"&gt;0")</f>
        <v/>
      </c>
      <c r="M3" s="3">
        <f>COUNTIF(M14:M73,"&gt;0")</f>
        <v/>
      </c>
      <c r="N3" s="3">
        <f>COUNTIF(N14:N73,"&gt;0")</f>
        <v/>
      </c>
      <c r="O3" s="3">
        <f>COUNTIF(O14:O73,"&gt;0")</f>
        <v/>
      </c>
      <c r="P3" s="3">
        <f>COUNTIF(P14:P73,"&gt;0")</f>
        <v/>
      </c>
      <c r="Q3" s="3">
        <f>COUNTIF(Q14:Q73,"&gt;0")</f>
        <v/>
      </c>
      <c r="R3" s="3">
        <f>COUNTIF(R14:R73,"&gt;0")</f>
        <v/>
      </c>
      <c r="S3" s="3">
        <f>COUNTIF(S14:S73,"&gt;0")</f>
        <v/>
      </c>
      <c r="T3" s="3">
        <f>COUNTIF(T14:T73,"&gt;0")</f>
        <v/>
      </c>
      <c r="U3" s="3">
        <f>COUNTIF(U14:U73,"&gt;0")</f>
        <v/>
      </c>
      <c r="V3" s="3">
        <f>COUNTIF(V14:V73,"&gt;0")</f>
        <v/>
      </c>
      <c r="W3" s="3">
        <f>COUNTIF(W14:W73,"&gt;0")</f>
        <v/>
      </c>
      <c r="X3" s="3">
        <f>COUNTIF(X14:X73,"&gt;0")</f>
        <v/>
      </c>
      <c r="Y3" s="3">
        <f>COUNTIF(Y14:Y73,"&gt;0")</f>
        <v/>
      </c>
      <c r="Z3" s="3">
        <f>COUNTIF(Z14:Z73,"&gt;0")</f>
        <v/>
      </c>
      <c r="AA3" s="3">
        <f>COUNTIF(AA14:AA73,"&gt;0")</f>
        <v/>
      </c>
      <c r="AB3" s="3">
        <f>COUNTIF(AB14:AB73,"&gt;0")</f>
        <v/>
      </c>
      <c r="AC3" s="3">
        <f>COUNTIF(AC14:AC73,"&gt;0")</f>
        <v/>
      </c>
      <c r="AD3" s="3">
        <f>COUNTIF(AD14:AD73,"&gt;0")</f>
        <v/>
      </c>
    </row>
    <row r="4">
      <c r="A4" s="2" t="inlineStr">
        <is>
          <t>Down Count</t>
        </is>
      </c>
      <c r="B4" s="3">
        <f>COUNTIF(B14:B73,"&lt;0")</f>
        <v/>
      </c>
      <c r="C4" s="3">
        <f>COUNTIF(C14:C73,"&lt;0")</f>
        <v/>
      </c>
      <c r="D4" s="3">
        <f>COUNTIF(D14:D73,"&lt;0")</f>
        <v/>
      </c>
      <c r="E4" s="3">
        <f>COUNTIF(E14:E73,"&lt;0")</f>
        <v/>
      </c>
      <c r="F4" s="3">
        <f>COUNTIF(F14:F73,"&lt;0")</f>
        <v/>
      </c>
      <c r="G4" s="3">
        <f>COUNTIF(G14:G73,"&lt;0")</f>
        <v/>
      </c>
      <c r="H4" s="3">
        <f>COUNTIF(H14:H73,"&lt;0")</f>
        <v/>
      </c>
      <c r="I4" s="3">
        <f>COUNTIF(I14:I73,"&lt;0")</f>
        <v/>
      </c>
      <c r="J4" s="3">
        <f>COUNTIF(J14:J73,"&lt;0")</f>
        <v/>
      </c>
      <c r="K4" s="3">
        <f>COUNTIF(K14:K73,"&lt;0")</f>
        <v/>
      </c>
      <c r="L4" s="3">
        <f>COUNTIF(L14:L73,"&lt;0")</f>
        <v/>
      </c>
      <c r="M4" s="3">
        <f>COUNTIF(M14:M73,"&lt;0")</f>
        <v/>
      </c>
      <c r="N4" s="3">
        <f>COUNTIF(N14:N73,"&lt;0")</f>
        <v/>
      </c>
      <c r="O4" s="3">
        <f>COUNTIF(O14:O73,"&lt;0")</f>
        <v/>
      </c>
      <c r="P4" s="3">
        <f>COUNTIF(P14:P73,"&lt;0")</f>
        <v/>
      </c>
      <c r="Q4" s="3">
        <f>COUNTIF(Q14:Q73,"&lt;0")</f>
        <v/>
      </c>
      <c r="R4" s="3">
        <f>COUNTIF(R14:R73,"&lt;0")</f>
        <v/>
      </c>
      <c r="S4" s="3">
        <f>COUNTIF(S14:S73,"&lt;0")</f>
        <v/>
      </c>
      <c r="T4" s="3">
        <f>COUNTIF(T14:T73,"&lt;0")</f>
        <v/>
      </c>
      <c r="U4" s="3">
        <f>COUNTIF(U14:U73,"&lt;0")</f>
        <v/>
      </c>
      <c r="V4" s="3">
        <f>COUNTIF(V14:V73,"&lt;0")</f>
        <v/>
      </c>
      <c r="W4" s="3">
        <f>COUNTIF(W14:W73,"&lt;0")</f>
        <v/>
      </c>
      <c r="X4" s="3">
        <f>COUNTIF(X14:X73,"&lt;0")</f>
        <v/>
      </c>
      <c r="Y4" s="3">
        <f>COUNTIF(Y14:Y73,"&lt;0")</f>
        <v/>
      </c>
      <c r="Z4" s="3">
        <f>COUNTIF(Z14:Z73,"&lt;0")</f>
        <v/>
      </c>
      <c r="AA4" s="3">
        <f>COUNTIF(AA14:AA73,"&lt;0")</f>
        <v/>
      </c>
      <c r="AB4" s="3">
        <f>COUNTIF(AB14:AB73,"&lt;0")</f>
        <v/>
      </c>
      <c r="AC4" s="3">
        <f>COUNTIF(AC14:AC73,"&lt;0")</f>
        <v/>
      </c>
      <c r="AD4" s="3">
        <f>COUNTIF(AD14:AD73,"&lt;0")</f>
        <v/>
      </c>
    </row>
    <row r="5">
      <c r="A5" s="2" t="inlineStr">
        <is>
          <t>Average</t>
        </is>
      </c>
      <c r="B5" s="3">
        <f>AVERAGE(B14:B73)</f>
        <v/>
      </c>
      <c r="C5" s="3">
        <f>AVERAGE(C14:C73)</f>
        <v/>
      </c>
      <c r="D5" s="3">
        <f>AVERAGE(D14:D73)</f>
        <v/>
      </c>
      <c r="E5" s="3">
        <f>AVERAGE(E14:E73)</f>
        <v/>
      </c>
      <c r="F5" s="3">
        <f>AVERAGE(F14:F73)</f>
        <v/>
      </c>
      <c r="G5" s="3">
        <f>AVERAGE(G14:G73)</f>
        <v/>
      </c>
      <c r="H5" s="3">
        <f>AVERAGE(H14:H73)</f>
        <v/>
      </c>
      <c r="I5" s="3">
        <f>AVERAGE(I14:I73)</f>
        <v/>
      </c>
      <c r="J5" s="3">
        <f>AVERAGE(J14:J73)</f>
        <v/>
      </c>
      <c r="K5" s="3">
        <f>AVERAGE(K14:K73)</f>
        <v/>
      </c>
      <c r="L5" s="3">
        <f>AVERAGE(L14:L73)</f>
        <v/>
      </c>
      <c r="M5" s="3">
        <f>AVERAGE(M14:M73)</f>
        <v/>
      </c>
      <c r="N5" s="3">
        <f>AVERAGE(N14:N73)</f>
        <v/>
      </c>
      <c r="O5" s="3">
        <f>AVERAGE(O14:O73)</f>
        <v/>
      </c>
      <c r="P5" s="3">
        <f>AVERAGE(P14:P73)</f>
        <v/>
      </c>
      <c r="Q5" s="3">
        <f>AVERAGE(Q14:Q73)</f>
        <v/>
      </c>
      <c r="R5" s="3">
        <f>AVERAGE(R14:R73)</f>
        <v/>
      </c>
      <c r="S5" s="3">
        <f>AVERAGE(S14:S73)</f>
        <v/>
      </c>
      <c r="T5" s="3">
        <f>AVERAGE(T14:T73)</f>
        <v/>
      </c>
      <c r="U5" s="3">
        <f>AVERAGE(U14:U73)</f>
        <v/>
      </c>
      <c r="V5" s="3">
        <f>AVERAGE(V14:V73)</f>
        <v/>
      </c>
      <c r="W5" s="3">
        <f>AVERAGE(W14:W73)</f>
        <v/>
      </c>
      <c r="X5" s="3">
        <f>AVERAGE(X14:X73)</f>
        <v/>
      </c>
      <c r="Y5" s="3">
        <f>AVERAGE(Y14:Y73)</f>
        <v/>
      </c>
      <c r="Z5" s="3">
        <f>AVERAGE(Z14:Z73)</f>
        <v/>
      </c>
      <c r="AA5" s="3">
        <f>AVERAGE(AA14:AA73)</f>
        <v/>
      </c>
      <c r="AB5" s="3">
        <f>AVERAGE(AB14:AB73)</f>
        <v/>
      </c>
      <c r="AC5" s="3">
        <f>AVERAGE(AC14:AC73)</f>
        <v/>
      </c>
      <c r="AD5" s="3">
        <f>AVERAGE(AD14:AD73)</f>
        <v/>
      </c>
    </row>
    <row r="6">
      <c r="A6" s="2" t="inlineStr">
        <is>
          <t>Max</t>
        </is>
      </c>
      <c r="B6" s="3">
        <f>MAX(B14:B73)</f>
        <v/>
      </c>
      <c r="C6" s="3">
        <f>MAX(C14:C73)</f>
        <v/>
      </c>
      <c r="D6" s="3">
        <f>MAX(D14:D73)</f>
        <v/>
      </c>
      <c r="E6" s="3">
        <f>MAX(E14:E73)</f>
        <v/>
      </c>
      <c r="F6" s="3">
        <f>MAX(F14:F73)</f>
        <v/>
      </c>
      <c r="G6" s="3">
        <f>MAX(G14:G73)</f>
        <v/>
      </c>
      <c r="H6" s="3">
        <f>MAX(H14:H73)</f>
        <v/>
      </c>
      <c r="I6" s="3">
        <f>MAX(I14:I73)</f>
        <v/>
      </c>
      <c r="J6" s="3">
        <f>MAX(J14:J73)</f>
        <v/>
      </c>
      <c r="K6" s="3">
        <f>MAX(K14:K73)</f>
        <v/>
      </c>
      <c r="L6" s="3">
        <f>MAX(L14:L73)</f>
        <v/>
      </c>
      <c r="M6" s="3">
        <f>MAX(M14:M73)</f>
        <v/>
      </c>
      <c r="N6" s="3">
        <f>MAX(N14:N73)</f>
        <v/>
      </c>
      <c r="O6" s="3">
        <f>MAX(O14:O73)</f>
        <v/>
      </c>
      <c r="P6" s="3">
        <f>MAX(P14:P73)</f>
        <v/>
      </c>
      <c r="Q6" s="3">
        <f>MAX(Q14:Q73)</f>
        <v/>
      </c>
      <c r="R6" s="3">
        <f>MAX(R14:R73)</f>
        <v/>
      </c>
      <c r="S6" s="3">
        <f>MAX(S14:S73)</f>
        <v/>
      </c>
      <c r="T6" s="3">
        <f>MAX(T14:T73)</f>
        <v/>
      </c>
      <c r="U6" s="3">
        <f>MAX(U14:U73)</f>
        <v/>
      </c>
      <c r="V6" s="3">
        <f>MAX(V14:V73)</f>
        <v/>
      </c>
      <c r="W6" s="3">
        <f>MAX(W14:W73)</f>
        <v/>
      </c>
      <c r="X6" s="3">
        <f>MAX(X14:X73)</f>
        <v/>
      </c>
      <c r="Y6" s="3">
        <f>MAX(Y14:Y73)</f>
        <v/>
      </c>
      <c r="Z6" s="3">
        <f>MAX(Z14:Z73)</f>
        <v/>
      </c>
      <c r="AA6" s="3">
        <f>MAX(AA14:AA73)</f>
        <v/>
      </c>
      <c r="AB6" s="3">
        <f>MAX(AB14:AB73)</f>
        <v/>
      </c>
      <c r="AC6" s="3">
        <f>MAX(AC14:AC73)</f>
        <v/>
      </c>
      <c r="AD6" s="3">
        <f>MAX(AD14:AD73)</f>
        <v/>
      </c>
    </row>
    <row r="7">
      <c r="A7" s="2" t="inlineStr">
        <is>
          <t>Min</t>
        </is>
      </c>
      <c r="B7" s="3">
        <f>MIN(B14:B73)</f>
        <v/>
      </c>
      <c r="C7" s="3">
        <f>MIN(C14:C73)</f>
        <v/>
      </c>
      <c r="D7" s="3">
        <f>MIN(D14:D73)</f>
        <v/>
      </c>
      <c r="E7" s="3">
        <f>MIN(E14:E73)</f>
        <v/>
      </c>
      <c r="F7" s="3">
        <f>MIN(F14:F73)</f>
        <v/>
      </c>
      <c r="G7" s="3">
        <f>MIN(G14:G73)</f>
        <v/>
      </c>
      <c r="H7" s="3">
        <f>MIN(H14:H73)</f>
        <v/>
      </c>
      <c r="I7" s="3">
        <f>MIN(I14:I73)</f>
        <v/>
      </c>
      <c r="J7" s="3">
        <f>MIN(J14:J73)</f>
        <v/>
      </c>
      <c r="K7" s="3">
        <f>MIN(K14:K73)</f>
        <v/>
      </c>
      <c r="L7" s="3">
        <f>MIN(L14:L73)</f>
        <v/>
      </c>
      <c r="M7" s="3">
        <f>MIN(M14:M73)</f>
        <v/>
      </c>
      <c r="N7" s="3">
        <f>MIN(N14:N73)</f>
        <v/>
      </c>
      <c r="O7" s="3">
        <f>MIN(O14:O73)</f>
        <v/>
      </c>
      <c r="P7" s="3">
        <f>MIN(P14:P73)</f>
        <v/>
      </c>
      <c r="Q7" s="3">
        <f>MIN(Q14:Q73)</f>
        <v/>
      </c>
      <c r="R7" s="3">
        <f>MIN(R14:R73)</f>
        <v/>
      </c>
      <c r="S7" s="3">
        <f>MIN(S14:S73)</f>
        <v/>
      </c>
      <c r="T7" s="3">
        <f>MIN(T14:T73)</f>
        <v/>
      </c>
      <c r="U7" s="3">
        <f>MIN(U14:U73)</f>
        <v/>
      </c>
      <c r="V7" s="3">
        <f>MIN(V14:V73)</f>
        <v/>
      </c>
      <c r="W7" s="3">
        <f>MIN(W14:W73)</f>
        <v/>
      </c>
      <c r="X7" s="3">
        <f>MIN(X14:X73)</f>
        <v/>
      </c>
      <c r="Y7" s="3">
        <f>MIN(Y14:Y73)</f>
        <v/>
      </c>
      <c r="Z7" s="3">
        <f>MIN(Z14:Z73)</f>
        <v/>
      </c>
      <c r="AA7" s="3">
        <f>MIN(AA14:AA73)</f>
        <v/>
      </c>
      <c r="AB7" s="3">
        <f>MIN(AB14:AB73)</f>
        <v/>
      </c>
      <c r="AC7" s="3">
        <f>MIN(AC14:AC73)</f>
        <v/>
      </c>
      <c r="AD7" s="3">
        <f>MIN(AD14:AD73)</f>
        <v/>
      </c>
    </row>
    <row r="8">
      <c r="A8" s="2" t="inlineStr">
        <is>
          <t>Count</t>
        </is>
      </c>
      <c r="B8" s="3">
        <f>COUNT(B14:B73)</f>
        <v/>
      </c>
      <c r="C8" s="3">
        <f>COUNT(C14:C73)</f>
        <v/>
      </c>
      <c r="D8" s="3">
        <f>COUNT(D14:D73)</f>
        <v/>
      </c>
      <c r="E8" s="3">
        <f>COUNT(E14:E73)</f>
        <v/>
      </c>
      <c r="F8" s="3">
        <f>COUNT(F14:F73)</f>
        <v/>
      </c>
      <c r="G8" s="3">
        <f>COUNT(G14:G73)</f>
        <v/>
      </c>
      <c r="H8" s="3">
        <f>COUNT(H14:H73)</f>
        <v/>
      </c>
      <c r="I8" s="3">
        <f>COUNT(I14:I73)</f>
        <v/>
      </c>
      <c r="J8" s="3">
        <f>COUNT(J14:J73)</f>
        <v/>
      </c>
      <c r="K8" s="3">
        <f>COUNT(K14:K73)</f>
        <v/>
      </c>
      <c r="L8" s="3">
        <f>COUNT(L14:L73)</f>
        <v/>
      </c>
      <c r="M8" s="3">
        <f>COUNT(M14:M73)</f>
        <v/>
      </c>
      <c r="N8" s="3">
        <f>COUNT(N14:N73)</f>
        <v/>
      </c>
      <c r="O8" s="3">
        <f>COUNT(O14:O73)</f>
        <v/>
      </c>
      <c r="P8" s="3">
        <f>COUNT(P14:P73)</f>
        <v/>
      </c>
      <c r="Q8" s="3">
        <f>COUNT(Q14:Q73)</f>
        <v/>
      </c>
      <c r="R8" s="3">
        <f>COUNT(R14:R73)</f>
        <v/>
      </c>
      <c r="S8" s="3">
        <f>COUNT(S14:S73)</f>
        <v/>
      </c>
      <c r="T8" s="3">
        <f>COUNT(T14:T73)</f>
        <v/>
      </c>
      <c r="U8" s="3">
        <f>COUNT(U14:U73)</f>
        <v/>
      </c>
      <c r="V8" s="3">
        <f>COUNT(V14:V73)</f>
        <v/>
      </c>
      <c r="W8" s="3">
        <f>COUNT(W14:W73)</f>
        <v/>
      </c>
      <c r="X8" s="3">
        <f>COUNT(X14:X73)</f>
        <v/>
      </c>
      <c r="Y8" s="3">
        <f>COUNT(Y14:Y73)</f>
        <v/>
      </c>
      <c r="Z8" s="3">
        <f>COUNT(Z14:Z73)</f>
        <v/>
      </c>
      <c r="AA8" s="3">
        <f>COUNT(AA14:AA73)</f>
        <v/>
      </c>
      <c r="AB8" s="3">
        <f>COUNT(AB14:AB73)</f>
        <v/>
      </c>
      <c r="AC8" s="3">
        <f>COUNT(AC14:AC73)</f>
        <v/>
      </c>
      <c r="AD8" s="3">
        <f>COUNT(AD14:AD73)</f>
        <v/>
      </c>
    </row>
    <row r="9">
      <c r="A9" s="2" t="inlineStr">
        <is>
          <t>Std</t>
        </is>
      </c>
      <c r="B9" s="3">
        <f>STDEV(B14:B73)</f>
        <v/>
      </c>
      <c r="C9" s="3">
        <f>STDEV(C14:C73)</f>
        <v/>
      </c>
      <c r="D9" s="3">
        <f>STDEV(D14:D73)</f>
        <v/>
      </c>
      <c r="E9" s="3">
        <f>STDEV(E14:E73)</f>
        <v/>
      </c>
      <c r="F9" s="3">
        <f>STDEV(F14:F73)</f>
        <v/>
      </c>
      <c r="G9" s="3">
        <f>STDEV(G14:G73)</f>
        <v/>
      </c>
      <c r="H9" s="3">
        <f>STDEV(H14:H73)</f>
        <v/>
      </c>
      <c r="I9" s="3">
        <f>STDEV(I14:I73)</f>
        <v/>
      </c>
      <c r="J9" s="3">
        <f>STDEV(J14:J73)</f>
        <v/>
      </c>
      <c r="K9" s="3">
        <f>STDEV(K14:K73)</f>
        <v/>
      </c>
      <c r="L9" s="3">
        <f>STDEV(L14:L73)</f>
        <v/>
      </c>
      <c r="M9" s="3">
        <f>STDEV(M14:M73)</f>
        <v/>
      </c>
      <c r="N9" s="3">
        <f>STDEV(N14:N73)</f>
        <v/>
      </c>
      <c r="O9" s="3">
        <f>STDEV(O14:O73)</f>
        <v/>
      </c>
      <c r="P9" s="3">
        <f>STDEV(P14:P73)</f>
        <v/>
      </c>
      <c r="Q9" s="3">
        <f>STDEV(Q14:Q73)</f>
        <v/>
      </c>
      <c r="R9" s="3">
        <f>STDEV(R14:R73)</f>
        <v/>
      </c>
      <c r="S9" s="3">
        <f>STDEV(S14:S73)</f>
        <v/>
      </c>
      <c r="T9" s="3">
        <f>STDEV(T14:T73)</f>
        <v/>
      </c>
      <c r="U9" s="3">
        <f>STDEV(U14:U73)</f>
        <v/>
      </c>
      <c r="V9" s="3">
        <f>STDEV(V14:V73)</f>
        <v/>
      </c>
      <c r="W9" s="3">
        <f>STDEV(W14:W73)</f>
        <v/>
      </c>
      <c r="X9" s="3">
        <f>STDEV(X14:X73)</f>
        <v/>
      </c>
      <c r="Y9" s="3">
        <f>STDEV(Y14:Y73)</f>
        <v/>
      </c>
      <c r="Z9" s="3">
        <f>STDEV(Z14:Z73)</f>
        <v/>
      </c>
      <c r="AA9" s="3">
        <f>STDEV(AA14:AA73)</f>
        <v/>
      </c>
      <c r="AB9" s="3">
        <f>STDEV(AB14:AB73)</f>
        <v/>
      </c>
      <c r="AC9" s="3">
        <f>STDEV(AC14:AC73)</f>
        <v/>
      </c>
      <c r="AD9" s="3">
        <f>STDEV(AD14:AD73)</f>
        <v/>
      </c>
    </row>
    <row r="10">
      <c r="A10" s="2" t="inlineStr">
        <is>
          <t>Sum</t>
        </is>
      </c>
      <c r="B10" s="3">
        <f>SUM(B14:B73)</f>
        <v/>
      </c>
      <c r="C10" s="3">
        <f>SUM(C14:C73)</f>
        <v/>
      </c>
      <c r="D10" s="3">
        <f>SUM(D14:D73)</f>
        <v/>
      </c>
      <c r="E10" s="3">
        <f>SUM(E14:E73)</f>
        <v/>
      </c>
      <c r="F10" s="3">
        <f>SUM(F14:F73)</f>
        <v/>
      </c>
      <c r="G10" s="3">
        <f>SUM(G14:G73)</f>
        <v/>
      </c>
      <c r="H10" s="3">
        <f>SUM(H14:H73)</f>
        <v/>
      </c>
      <c r="I10" s="3">
        <f>SUM(I14:I73)</f>
        <v/>
      </c>
      <c r="J10" s="3">
        <f>SUM(J14:J73)</f>
        <v/>
      </c>
      <c r="K10" s="3">
        <f>SUM(K14:K73)</f>
        <v/>
      </c>
      <c r="L10" s="3">
        <f>SUM(L14:L73)</f>
        <v/>
      </c>
      <c r="M10" s="3">
        <f>SUM(M14:M73)</f>
        <v/>
      </c>
      <c r="N10" s="3">
        <f>SUM(N14:N73)</f>
        <v/>
      </c>
      <c r="O10" s="3">
        <f>SUM(O14:O73)</f>
        <v/>
      </c>
      <c r="P10" s="3">
        <f>SUM(P14:P73)</f>
        <v/>
      </c>
      <c r="Q10" s="3">
        <f>SUM(Q14:Q73)</f>
        <v/>
      </c>
      <c r="R10" s="3">
        <f>SUM(R14:R73)</f>
        <v/>
      </c>
      <c r="S10" s="3">
        <f>SUM(S14:S73)</f>
        <v/>
      </c>
      <c r="T10" s="3">
        <f>SUM(T14:T73)</f>
        <v/>
      </c>
      <c r="U10" s="3">
        <f>SUM(U14:U73)</f>
        <v/>
      </c>
      <c r="V10" s="3">
        <f>SUM(V14:V73)</f>
        <v/>
      </c>
      <c r="W10" s="3">
        <f>SUM(W14:W73)</f>
        <v/>
      </c>
      <c r="X10" s="3">
        <f>SUM(X14:X73)</f>
        <v/>
      </c>
      <c r="Y10" s="3">
        <f>SUM(Y14:Y73)</f>
        <v/>
      </c>
      <c r="Z10" s="3">
        <f>SUM(Z14:Z73)</f>
        <v/>
      </c>
      <c r="AA10" s="3">
        <f>SUM(AA14:AA73)</f>
        <v/>
      </c>
      <c r="AB10" s="3">
        <f>SUM(AB14:AB73)</f>
        <v/>
      </c>
      <c r="AC10" s="3">
        <f>SUM(AC14:AC73)</f>
        <v/>
      </c>
      <c r="AD10" s="3">
        <f>SUM(AD14:AD73)</f>
        <v/>
      </c>
    </row>
    <row r="13">
      <c r="A13" s="4" t="inlineStr">
        <is>
          <t>日期</t>
        </is>
      </c>
      <c r="B13" s="4" t="inlineStr">
        <is>
          <t>Ultra NASDAQ-100 ProFunds Investor Class（UOPIX） Adj Close</t>
        </is>
      </c>
      <c r="C13" s="4" t="inlineStr">
        <is>
          <t>Ultra NASDAQ-100 ProFunds Investor Class（UOPIX）回报</t>
        </is>
      </c>
      <c r="D13" s="4" t="inlineStr">
        <is>
          <t>UltraBull ProFund Investor Shares（ULPIX） Adj Close</t>
        </is>
      </c>
      <c r="E13" s="4" t="inlineStr">
        <is>
          <t>UltraBull ProFund Investor Shares（ULPIX）回报</t>
        </is>
      </c>
      <c r="F13" s="4" t="inlineStr">
        <is>
          <t>EEM Adj Close</t>
        </is>
      </c>
      <c r="G13" s="4" t="inlineStr">
        <is>
          <t>EEM回报</t>
        </is>
      </c>
      <c r="H13" s="4" t="inlineStr">
        <is>
          <t>GLD Adj Close</t>
        </is>
      </c>
      <c r="I13" s="4" t="inlineStr">
        <is>
          <t>GLD回报</t>
        </is>
      </c>
      <c r="J13" s="4" t="inlineStr">
        <is>
          <t>HYG Adj Close</t>
        </is>
      </c>
      <c r="K13" s="4" t="inlineStr">
        <is>
          <t>HYG回报</t>
        </is>
      </c>
      <c r="L13" s="4" t="inlineStr">
        <is>
          <t>TIP Adj Close</t>
        </is>
      </c>
      <c r="M13" s="4" t="inlineStr">
        <is>
          <t>TIP回报</t>
        </is>
      </c>
      <c r="N13" s="4" t="inlineStr">
        <is>
          <t>XLF Adj Close</t>
        </is>
      </c>
      <c r="O13" s="4" t="inlineStr">
        <is>
          <t>XLF回报</t>
        </is>
      </c>
      <c r="P13" s="4" t="inlineStr">
        <is>
          <t>FXY Adj Close</t>
        </is>
      </c>
      <c r="Q13" s="4" t="inlineStr">
        <is>
          <t>FXY回报</t>
        </is>
      </c>
      <c r="R13" s="4" t="inlineStr">
        <is>
          <t>GDX Adj Close</t>
        </is>
      </c>
      <c r="S13" s="4" t="inlineStr">
        <is>
          <t>GDX回报</t>
        </is>
      </c>
      <c r="T13" s="4" t="inlineStr">
        <is>
          <t>XLC Adj Close</t>
        </is>
      </c>
      <c r="U13" s="4" t="inlineStr">
        <is>
          <t>XLC回报</t>
        </is>
      </c>
      <c r="V13" s="4" t="inlineStr">
        <is>
          <t>VIX_Chg%</t>
        </is>
      </c>
      <c r="W13" s="4" t="inlineStr">
        <is>
          <t>VIX&gt;0 且 基金&lt;=-2%，买基金第二天</t>
        </is>
      </c>
      <c r="X13" s="4" t="inlineStr">
        <is>
          <t>EEM&gt;0 且 GLD&lt;0 且 HYG&gt;0，买基金第二天</t>
        </is>
      </c>
      <c r="Y13" s="4" t="inlineStr">
        <is>
          <t>HYG&lt;0 且 TIP&gt;0，买基金第二天</t>
        </is>
      </c>
      <c r="Z13" s="4" t="inlineStr">
        <is>
          <t>Ultra NASDAQ-100 ProFunds Investor Class（UOPIX）合并效果</t>
        </is>
      </c>
      <c r="AA13" s="4" t="inlineStr">
        <is>
          <t>XLF&lt;=-1% 且 基金&lt;0，买基金第二天</t>
        </is>
      </c>
      <c r="AB13" s="4" t="inlineStr">
        <is>
          <t>FXY&gt;0 且 GDX&gt;0，买基金第二天</t>
        </is>
      </c>
      <c r="AC13" s="4" t="inlineStr">
        <is>
          <t>GDX&gt;0 且 XLC&lt;0，买基金第二天</t>
        </is>
      </c>
      <c r="AD13" s="4" t="inlineStr">
        <is>
          <t>UltraBull ProFund Investor Shares（ULPIX）合并效果</t>
        </is>
      </c>
    </row>
    <row r="14">
      <c r="A14" s="5" t="inlineStr">
        <is>
          <t>2026/08/04</t>
        </is>
      </c>
      <c r="B14" s="5" t="n">
        <v>164.02</v>
      </c>
      <c r="C14" s="5">
        <f>IF(AND(ISNUMBER(B14),ISNUMBER(B15)),(B14/B15-1)*100,"")</f>
        <v/>
      </c>
      <c r="D14" s="5" t="n">
        <v>66</v>
      </c>
      <c r="E14" s="5">
        <f>IF(AND(ISNUMBER(D14),ISNUMBER(D15)),(D14/D15-1)*100,"")</f>
        <v/>
      </c>
      <c r="F14" s="5" t="n">
        <v>79.55</v>
      </c>
      <c r="G14" s="5">
        <f>IF(AND(ISNUMBER(F14),ISNUMBER(F15)),(F14/F15-1)*100,"")</f>
        <v/>
      </c>
      <c r="H14" s="5" t="n">
        <v>57.88</v>
      </c>
      <c r="I14" s="5">
        <f>IF(AND(ISNUMBER(H14),ISNUMBER(H15)),(H14/H15-1)*100,"")</f>
        <v/>
      </c>
      <c r="J14" s="5" t="n">
        <v>77.92</v>
      </c>
      <c r="K14" s="5">
        <f>IF(AND(ISNUMBER(J14),ISNUMBER(J15)),(J14/J15-1)*100,"")</f>
        <v/>
      </c>
      <c r="L14" s="5" t="n">
        <v/>
      </c>
      <c r="M14" s="5">
        <f>IF(AND(ISNUMBER(L14),ISNUMBER(L15)),(L14/L15-1)*100,"")</f>
        <v/>
      </c>
      <c r="N14" s="5" t="n"/>
      <c r="O14" s="5">
        <f>IF(AND(ISNUMBER(N14),ISNUMBER(N15)),(N14/N15-1)*100,"")</f>
        <v/>
      </c>
      <c r="P14" s="5" t="n"/>
      <c r="Q14" s="5">
        <f>IF(AND(ISNUMBER(P14),ISNUMBER(P15)),(P14/P15-1)*100,"")</f>
        <v/>
      </c>
      <c r="R14" s="5" t="n"/>
      <c r="S14" s="5">
        <f>IF(AND(ISNUMBER(R14),ISNUMBER(R15)),(R14/R15-1)*100,"")</f>
        <v/>
      </c>
      <c r="T14" s="5" t="n"/>
      <c r="U14" s="5">
        <f>IF(AND(ISNUMBER(T14),ISNUMBER(T15)),(T14/T15-1)*100,"")</f>
        <v/>
      </c>
      <c r="V14" s="5" t="n"/>
      <c r="W14" s="5" t="inlineStr"/>
      <c r="X14" s="5" t="inlineStr"/>
      <c r="Y14" s="5" t="inlineStr"/>
      <c r="Z14" s="5">
        <f>IF(AND(ISNUMBER(W14),0.549579&gt;=MAX(IF(ISNUMBER(X14),0.299732,-1),IF(ISNUMBER(Y14),0.323835,-1))),W14,IF(AND(ISNUMBER(X14),0.299732&gt;MAX(IF(ISNUMBER(W14),0.549579,-1),IF(ISNUMBER(Y14),0.323835,-1))),X14,IF(AND(ISNUMBER(Y14),0.323835&gt;MAX(IF(ISNUMBER(W14),0.549579,-1),IF(ISNUMBER(X14),0.299732,-1))),Y14,"")))</f>
        <v/>
      </c>
      <c r="AA14" s="5" t="inlineStr"/>
      <c r="AB14" s="5" t="inlineStr"/>
      <c r="AC14" s="5" t="inlineStr"/>
      <c r="AD14" s="5">
        <f>IF(AND(ISNUMBER(AA14),0.408167&gt;=MAX(IF(ISNUMBER(AB14),0.31868,-1),IF(ISNUMBER(AC14),0.510996,-1))),AA14,IF(AND(ISNUMBER(AB14),0.31868&gt;MAX(IF(ISNUMBER(AA14),0.408167,-1),IF(ISNUMBER(AC14),0.510996,-1))),AB14,IF(AND(ISNUMBER(AC14),0.510996&gt;MAX(IF(ISNUMBER(AA14),0.408167,-1),IF(ISNUMBER(AB14),0.31868,-1))),AC14,"")))</f>
        <v/>
      </c>
    </row>
    <row r="15">
      <c r="A15" s="5" t="inlineStr">
        <is>
          <t>2026/08/03</t>
        </is>
      </c>
      <c r="B15" s="5" t="n">
        <v>153.8</v>
      </c>
      <c r="C15" s="5">
        <f>IF(AND(ISNUMBER(B15),ISNUMBER(B16)),(B15/B16-1)*100,"")</f>
        <v/>
      </c>
      <c r="D15" s="5" t="n">
        <v>64.31999999999999</v>
      </c>
      <c r="E15" s="5">
        <f>IF(AND(ISNUMBER(D15),ISNUMBER(D16)),(D15/D16-1)*100,"")</f>
        <v/>
      </c>
      <c r="F15" s="5" t="n">
        <v>79.31</v>
      </c>
      <c r="G15" s="5">
        <f>IF(AND(ISNUMBER(F15),ISNUMBER(F16)),(F15/F16-1)*100,"")</f>
        <v/>
      </c>
      <c r="H15" s="5" t="n">
        <v>57.38</v>
      </c>
      <c r="I15" s="5">
        <f>IF(AND(ISNUMBER(H15),ISNUMBER(H16)),(H15/H16-1)*100,"")</f>
        <v/>
      </c>
      <c r="J15" s="5" t="n">
        <v>76.05</v>
      </c>
      <c r="K15" s="5">
        <f>IF(AND(ISNUMBER(J15),ISNUMBER(J16)),(J15/J16-1)*100,"")</f>
        <v/>
      </c>
      <c r="L15" s="5" t="n">
        <v/>
      </c>
      <c r="M15" s="5">
        <f>IF(AND(ISNUMBER(L15),ISNUMBER(L16)),(L15/L16-1)*100,"")</f>
        <v/>
      </c>
      <c r="N15" s="5" t="n"/>
      <c r="O15" s="5">
        <f>IF(AND(ISNUMBER(N15),ISNUMBER(N16)),(N15/N16-1)*100,"")</f>
        <v/>
      </c>
      <c r="P15" s="5" t="n"/>
      <c r="Q15" s="5">
        <f>IF(AND(ISNUMBER(P15),ISNUMBER(P16)),(P15/P16-1)*100,"")</f>
        <v/>
      </c>
      <c r="R15" s="5" t="n"/>
      <c r="S15" s="5">
        <f>IF(AND(ISNUMBER(R15),ISNUMBER(R16)),(R15/R16-1)*100,"")</f>
        <v/>
      </c>
      <c r="T15" s="5" t="n"/>
      <c r="U15" s="5">
        <f>IF(AND(ISNUMBER(T15),ISNUMBER(T16)),(T15/T16-1)*100,"")</f>
        <v/>
      </c>
      <c r="V15" s="5" t="n"/>
      <c r="W15" s="5">
        <f>IF(AND(V15&gt;0,C15&lt;=-2),C14,"")</f>
        <v/>
      </c>
      <c r="X15" s="5">
        <f>IF(AND(G15&gt;0,I15&lt;0,K15&gt;0),C14,"")</f>
        <v/>
      </c>
      <c r="Y15" s="5">
        <f>IF(AND(K15&lt;0,M15&gt;0),C14,"")</f>
        <v/>
      </c>
      <c r="Z15" s="5">
        <f>IF(AND(ISNUMBER(W15),0.549579&gt;=MAX(IF(ISNUMBER(X15),0.299732,-1),IF(ISNUMBER(Y15),0.323835,-1))),W15,IF(AND(ISNUMBER(X15),0.299732&gt;MAX(IF(ISNUMBER(W15),0.549579,-1),IF(ISNUMBER(Y15),0.323835,-1))),X15,IF(AND(ISNUMBER(Y15),0.323835&gt;MAX(IF(ISNUMBER(W15),0.549579,-1),IF(ISNUMBER(X15),0.299732,-1))),Y15,"")))</f>
        <v/>
      </c>
      <c r="AA15" s="5">
        <f>IF(AND(O15&lt;=-1,E15&lt;0),E14,"")</f>
        <v/>
      </c>
      <c r="AB15" s="5">
        <f>IF(AND(Q15&gt;0,S15&gt;0),E14,"")</f>
        <v/>
      </c>
      <c r="AC15" s="5">
        <f>IF(AND(S15&gt;0,U15&lt;0),E14,"")</f>
        <v/>
      </c>
      <c r="AD15" s="5">
        <f>IF(AND(ISNUMBER(AA15),0.408167&gt;=MAX(IF(ISNUMBER(AB15),0.31868,-1),IF(ISNUMBER(AC15),0.510996,-1))),AA15,IF(AND(ISNUMBER(AB15),0.31868&gt;MAX(IF(ISNUMBER(AA15),0.408167,-1),IF(ISNUMBER(AC15),0.510996,-1))),AB15,IF(AND(ISNUMBER(AC15),0.510996&gt;MAX(IF(ISNUMBER(AA15),0.408167,-1),IF(ISNUMBER(AB15),0.31868,-1))),AC15,"")))</f>
        <v/>
      </c>
    </row>
    <row r="16">
      <c r="A16" s="5" t="inlineStr">
        <is>
          <t>2026/07/31</t>
        </is>
      </c>
      <c r="B16" s="5" t="n">
        <v>148.6</v>
      </c>
      <c r="C16" s="5">
        <f>IF(AND(ISNUMBER(B16),ISNUMBER(B17)),(B16/B17-1)*100,"")</f>
        <v/>
      </c>
      <c r="D16" s="5" t="n">
        <v>64.09</v>
      </c>
      <c r="E16" s="5">
        <f>IF(AND(ISNUMBER(D16),ISNUMBER(D17)),(D16/D17-1)*100,"")</f>
        <v/>
      </c>
      <c r="F16" s="5" t="n">
        <v>79.096</v>
      </c>
      <c r="G16" s="5">
        <f>IF(AND(ISNUMBER(F16),ISNUMBER(F17)),(F16/F17-1)*100,"")</f>
        <v/>
      </c>
      <c r="H16" s="5" t="n">
        <v>56.94</v>
      </c>
      <c r="I16" s="5">
        <f>IF(AND(ISNUMBER(H16),ISNUMBER(H17)),(H16/H17-1)*100,"")</f>
        <v/>
      </c>
      <c r="J16" s="5" t="n">
        <v>74.09999999999999</v>
      </c>
      <c r="K16" s="5">
        <f>IF(AND(ISNUMBER(J16),ISNUMBER(J17)),(J16/J17-1)*100,"")</f>
        <v/>
      </c>
      <c r="L16" s="5" t="n">
        <v/>
      </c>
      <c r="M16" s="5">
        <f>IF(AND(ISNUMBER(L16),ISNUMBER(L17)),(L16/L17-1)*100,"")</f>
        <v/>
      </c>
      <c r="N16" s="5" t="n"/>
      <c r="O16" s="5">
        <f>IF(AND(ISNUMBER(N16),ISNUMBER(N17)),(N16/N17-1)*100,"")</f>
        <v/>
      </c>
      <c r="P16" s="5" t="n"/>
      <c r="Q16" s="5">
        <f>IF(AND(ISNUMBER(P16),ISNUMBER(P17)),(P16/P17-1)*100,"")</f>
        <v/>
      </c>
      <c r="R16" s="5" t="n"/>
      <c r="S16" s="5">
        <f>IF(AND(ISNUMBER(R16),ISNUMBER(R17)),(R16/R17-1)*100,"")</f>
        <v/>
      </c>
      <c r="T16" s="5" t="n"/>
      <c r="U16" s="5">
        <f>IF(AND(ISNUMBER(T16),ISNUMBER(T17)),(T16/T17-1)*100,"")</f>
        <v/>
      </c>
      <c r="V16" s="5" t="n"/>
      <c r="W16" s="5">
        <f>IF(AND(V16&gt;0,C16&lt;=-2),C15,"")</f>
        <v/>
      </c>
      <c r="X16" s="5">
        <f>IF(AND(G16&gt;0,I16&lt;0,K16&gt;0),C15,"")</f>
        <v/>
      </c>
      <c r="Y16" s="5">
        <f>IF(AND(K16&lt;0,M16&gt;0),C15,"")</f>
        <v/>
      </c>
      <c r="Z16" s="5">
        <f>IF(AND(ISNUMBER(W16),0.549579&gt;=MAX(IF(ISNUMBER(X16),0.299732,-1),IF(ISNUMBER(Y16),0.323835,-1))),W16,IF(AND(ISNUMBER(X16),0.299732&gt;MAX(IF(ISNUMBER(W16),0.549579,-1),IF(ISNUMBER(Y16),0.323835,-1))),X16,IF(AND(ISNUMBER(Y16),0.323835&gt;MAX(IF(ISNUMBER(W16),0.549579,-1),IF(ISNUMBER(X16),0.299732,-1))),Y16,"")))</f>
        <v/>
      </c>
      <c r="AA16" s="5">
        <f>IF(AND(O16&lt;=-1,E16&lt;0),E15,"")</f>
        <v/>
      </c>
      <c r="AB16" s="5">
        <f>IF(AND(Q16&gt;0,S16&gt;0),E15,"")</f>
        <v/>
      </c>
      <c r="AC16" s="5">
        <f>IF(AND(S16&gt;0,U16&lt;0),E15,"")</f>
        <v/>
      </c>
      <c r="AD16" s="5">
        <f>IF(AND(ISNUMBER(AA16),0.408167&gt;=MAX(IF(ISNUMBER(AB16),0.31868,-1),IF(ISNUMBER(AC16),0.510996,-1))),AA16,IF(AND(ISNUMBER(AB16),0.31868&gt;MAX(IF(ISNUMBER(AA16),0.408167,-1),IF(ISNUMBER(AC16),0.510996,-1))),AB16,IF(AND(ISNUMBER(AC16),0.510996&gt;MAX(IF(ISNUMBER(AA16),0.408167,-1),IF(ISNUMBER(AB16),0.31868,-1))),AC16,"")))</f>
        <v/>
      </c>
    </row>
    <row r="17">
      <c r="A17" s="5" t="inlineStr">
        <is>
          <t>2026/07/30</t>
        </is>
      </c>
      <c r="B17" s="5" t="n">
        <v>146.84</v>
      </c>
      <c r="C17" s="5">
        <f>IF(AND(ISNUMBER(B17),ISNUMBER(B18)),(B17/B18-1)*100,"")</f>
        <v/>
      </c>
      <c r="D17" s="5" t="n">
        <v>63.59</v>
      </c>
      <c r="E17" s="5">
        <f>IF(AND(ISNUMBER(D17),ISNUMBER(D18)),(D17/D18-1)*100,"")</f>
        <v/>
      </c>
      <c r="F17" s="5" t="n">
        <v>79.086</v>
      </c>
      <c r="G17" s="5">
        <f>IF(AND(ISNUMBER(F17),ISNUMBER(F18)),(F17/F18-1)*100,"")</f>
        <v/>
      </c>
      <c r="H17" s="5" t="n">
        <v>57</v>
      </c>
      <c r="I17" s="5">
        <f>IF(AND(ISNUMBER(H17),ISNUMBER(H18)),(H17/H18-1)*100,"")</f>
        <v/>
      </c>
      <c r="J17" s="5" t="n">
        <v>76.78</v>
      </c>
      <c r="K17" s="5">
        <f>IF(AND(ISNUMBER(J17),ISNUMBER(J18)),(J17/J18-1)*100,"")</f>
        <v/>
      </c>
      <c r="L17" s="5" t="n">
        <v/>
      </c>
      <c r="M17" s="5">
        <f>IF(AND(ISNUMBER(L17),ISNUMBER(L18)),(L17/L18-1)*100,"")</f>
        <v/>
      </c>
      <c r="N17" s="5" t="n"/>
      <c r="O17" s="5">
        <f>IF(AND(ISNUMBER(N17),ISNUMBER(N18)),(N17/N18-1)*100,"")</f>
        <v/>
      </c>
      <c r="P17" s="5" t="n"/>
      <c r="Q17" s="5">
        <f>IF(AND(ISNUMBER(P17),ISNUMBER(P18)),(P17/P18-1)*100,"")</f>
        <v/>
      </c>
      <c r="R17" s="5" t="n"/>
      <c r="S17" s="5">
        <f>IF(AND(ISNUMBER(R17),ISNUMBER(R18)),(R17/R18-1)*100,"")</f>
        <v/>
      </c>
      <c r="T17" s="5" t="n"/>
      <c r="U17" s="5">
        <f>IF(AND(ISNUMBER(T17),ISNUMBER(T18)),(T17/T18-1)*100,"")</f>
        <v/>
      </c>
      <c r="V17" s="5" t="n"/>
      <c r="W17" s="5">
        <f>IF(AND(V17&gt;0,C17&lt;=-2),C16,"")</f>
        <v/>
      </c>
      <c r="X17" s="5">
        <f>IF(AND(G17&gt;0,I17&lt;0,K17&gt;0),C16,"")</f>
        <v/>
      </c>
      <c r="Y17" s="5">
        <f>IF(AND(K17&lt;0,M17&gt;0),C16,"")</f>
        <v/>
      </c>
      <c r="Z17" s="5">
        <f>IF(AND(ISNUMBER(W17),0.549579&gt;=MAX(IF(ISNUMBER(X17),0.299732,-1),IF(ISNUMBER(Y17),0.323835,-1))),W17,IF(AND(ISNUMBER(X17),0.299732&gt;MAX(IF(ISNUMBER(W17),0.549579,-1),IF(ISNUMBER(Y17),0.323835,-1))),X17,IF(AND(ISNUMBER(Y17),0.323835&gt;MAX(IF(ISNUMBER(W17),0.549579,-1),IF(ISNUMBER(X17),0.299732,-1))),Y17,"")))</f>
        <v/>
      </c>
      <c r="AA17" s="5">
        <f>IF(AND(O17&lt;=-1,E17&lt;0),E16,"")</f>
        <v/>
      </c>
      <c r="AB17" s="5">
        <f>IF(AND(Q17&gt;0,S17&gt;0),E16,"")</f>
        <v/>
      </c>
      <c r="AC17" s="5">
        <f>IF(AND(S17&gt;0,U17&lt;0),E16,"")</f>
        <v/>
      </c>
      <c r="AD17" s="5">
        <f>IF(AND(ISNUMBER(AA17),0.408167&gt;=MAX(IF(ISNUMBER(AB17),0.31868,-1),IF(ISNUMBER(AC17),0.510996,-1))),AA17,IF(AND(ISNUMBER(AB17),0.31868&gt;MAX(IF(ISNUMBER(AA17),0.408167,-1),IF(ISNUMBER(AC17),0.510996,-1))),AB17,IF(AND(ISNUMBER(AC17),0.510996&gt;MAX(IF(ISNUMBER(AA17),0.408167,-1),IF(ISNUMBER(AB17),0.31868,-1))),AC17,"")))</f>
        <v/>
      </c>
    </row>
    <row r="18">
      <c r="A18" s="5" t="inlineStr">
        <is>
          <t>2026/07/29</t>
        </is>
      </c>
      <c r="B18" s="5" t="n">
        <v>137.65</v>
      </c>
      <c r="C18" s="5">
        <f>IF(AND(ISNUMBER(B18),ISNUMBER(B19)),(B18/B19-1)*100,"")</f>
        <v/>
      </c>
      <c r="D18" s="5" t="n">
        <v>61.07</v>
      </c>
      <c r="E18" s="5">
        <f>IF(AND(ISNUMBER(D18),ISNUMBER(D19)),(D18/D19-1)*100,"")</f>
        <v/>
      </c>
      <c r="F18" s="5" t="n">
        <v>78.85720000000001</v>
      </c>
      <c r="G18" s="5">
        <f>IF(AND(ISNUMBER(F18),ISNUMBER(F19)),(F18/F19-1)*100,"")</f>
        <v/>
      </c>
      <c r="H18" s="5" t="n">
        <v>56.68</v>
      </c>
      <c r="I18" s="5">
        <f>IF(AND(ISNUMBER(H18),ISNUMBER(H19)),(H18/H19-1)*100,"")</f>
        <v/>
      </c>
      <c r="J18" s="5" t="n">
        <v>73.56999999999999</v>
      </c>
      <c r="K18" s="5">
        <f>IF(AND(ISNUMBER(J18),ISNUMBER(J19)),(J18/J19-1)*100,"")</f>
        <v/>
      </c>
      <c r="L18" s="5" t="n">
        <v/>
      </c>
      <c r="M18" s="5">
        <f>IF(AND(ISNUMBER(L18),ISNUMBER(L19)),(L18/L19-1)*100,"")</f>
        <v/>
      </c>
      <c r="N18" s="5" t="n"/>
      <c r="O18" s="5">
        <f>IF(AND(ISNUMBER(N18),ISNUMBER(N19)),(N18/N19-1)*100,"")</f>
        <v/>
      </c>
      <c r="P18" s="5" t="n"/>
      <c r="Q18" s="5">
        <f>IF(AND(ISNUMBER(P18),ISNUMBER(P19)),(P18/P19-1)*100,"")</f>
        <v/>
      </c>
      <c r="R18" s="5" t="n"/>
      <c r="S18" s="5">
        <f>IF(AND(ISNUMBER(R18),ISNUMBER(R19)),(R18/R19-1)*100,"")</f>
        <v/>
      </c>
      <c r="T18" s="5" t="n"/>
      <c r="U18" s="5">
        <f>IF(AND(ISNUMBER(T18),ISNUMBER(T19)),(T18/T19-1)*100,"")</f>
        <v/>
      </c>
      <c r="V18" s="5" t="n"/>
      <c r="W18" s="5">
        <f>IF(AND(V18&gt;0,C18&lt;=-2),C17,"")</f>
        <v/>
      </c>
      <c r="X18" s="5">
        <f>IF(AND(G18&gt;0,I18&lt;0,K18&gt;0),C17,"")</f>
        <v/>
      </c>
      <c r="Y18" s="5">
        <f>IF(AND(K18&lt;0,M18&gt;0),C17,"")</f>
        <v/>
      </c>
      <c r="Z18" s="5">
        <f>IF(AND(ISNUMBER(W18),0.549579&gt;=MAX(IF(ISNUMBER(X18),0.299732,-1),IF(ISNUMBER(Y18),0.323835,-1))),W18,IF(AND(ISNUMBER(X18),0.299732&gt;MAX(IF(ISNUMBER(W18),0.549579,-1),IF(ISNUMBER(Y18),0.323835,-1))),X18,IF(AND(ISNUMBER(Y18),0.323835&gt;MAX(IF(ISNUMBER(W18),0.549579,-1),IF(ISNUMBER(X18),0.299732,-1))),Y18,"")))</f>
        <v/>
      </c>
      <c r="AA18" s="5">
        <f>IF(AND(O18&lt;=-1,E18&lt;0),E17,"")</f>
        <v/>
      </c>
      <c r="AB18" s="5">
        <f>IF(AND(Q18&gt;0,S18&gt;0),E17,"")</f>
        <v/>
      </c>
      <c r="AC18" s="5">
        <f>IF(AND(S18&gt;0,U18&lt;0),E17,"")</f>
        <v/>
      </c>
      <c r="AD18" s="5">
        <f>IF(AND(ISNUMBER(AA18),0.408167&gt;=MAX(IF(ISNUMBER(AB18),0.31868,-1),IF(ISNUMBER(AC18),0.510996,-1))),AA18,IF(AND(ISNUMBER(AB18),0.31868&gt;MAX(IF(ISNUMBER(AA18),0.408167,-1),IF(ISNUMBER(AC18),0.510996,-1))),AB18,IF(AND(ISNUMBER(AC18),0.510996&gt;MAX(IF(ISNUMBER(AA18),0.408167,-1),IF(ISNUMBER(AB18),0.31868,-1))),AC18,"")))</f>
        <v/>
      </c>
    </row>
    <row r="19">
      <c r="A19" s="5" t="inlineStr">
        <is>
          <t>2026/07/28</t>
        </is>
      </c>
      <c r="B19" s="5" t="n">
        <v>143.57</v>
      </c>
      <c r="C19" s="5">
        <f>IF(AND(ISNUMBER(B19),ISNUMBER(B20)),(B19/B20-1)*100,"")</f>
        <v/>
      </c>
      <c r="D19" s="5" t="n">
        <v>62.36</v>
      </c>
      <c r="E19" s="5">
        <f>IF(AND(ISNUMBER(D19),ISNUMBER(D20)),(D19/D20-1)*100,"")</f>
        <v/>
      </c>
      <c r="F19" s="5" t="n">
        <v>79.0363</v>
      </c>
      <c r="G19" s="5">
        <f>IF(AND(ISNUMBER(F19),ISNUMBER(F20)),(F19/F20-1)*100,"")</f>
        <v/>
      </c>
      <c r="H19" s="5" t="n">
        <v>57.6</v>
      </c>
      <c r="I19" s="5">
        <f>IF(AND(ISNUMBER(H19),ISNUMBER(H20)),(H19/H20-1)*100,"")</f>
        <v/>
      </c>
      <c r="J19" s="5" t="n">
        <v>74.20999999999999</v>
      </c>
      <c r="K19" s="5">
        <f>IF(AND(ISNUMBER(J19),ISNUMBER(J20)),(J19/J20-1)*100,"")</f>
        <v/>
      </c>
      <c r="L19" s="5" t="n">
        <v/>
      </c>
      <c r="M19" s="5">
        <f>IF(AND(ISNUMBER(L19),ISNUMBER(L20)),(L19/L20-1)*100,"")</f>
        <v/>
      </c>
      <c r="N19" s="5" t="n"/>
      <c r="O19" s="5">
        <f>IF(AND(ISNUMBER(N19),ISNUMBER(N20)),(N19/N20-1)*100,"")</f>
        <v/>
      </c>
      <c r="P19" s="5" t="n"/>
      <c r="Q19" s="5">
        <f>IF(AND(ISNUMBER(P19),ISNUMBER(P20)),(P19/P20-1)*100,"")</f>
        <v/>
      </c>
      <c r="R19" s="5" t="n"/>
      <c r="S19" s="5">
        <f>IF(AND(ISNUMBER(R19),ISNUMBER(R20)),(R19/R20-1)*100,"")</f>
        <v/>
      </c>
      <c r="T19" s="5" t="n"/>
      <c r="U19" s="5">
        <f>IF(AND(ISNUMBER(T19),ISNUMBER(T20)),(T19/T20-1)*100,"")</f>
        <v/>
      </c>
      <c r="V19" s="5" t="n"/>
      <c r="W19" s="5">
        <f>IF(AND(V19&gt;0,C19&lt;=-2),C18,"")</f>
        <v/>
      </c>
      <c r="X19" s="5">
        <f>IF(AND(G19&gt;0,I19&lt;0,K19&gt;0),C18,"")</f>
        <v/>
      </c>
      <c r="Y19" s="5">
        <f>IF(AND(K19&lt;0,M19&gt;0),C18,"")</f>
        <v/>
      </c>
      <c r="Z19" s="5">
        <f>IF(AND(ISNUMBER(W19),0.549579&gt;=MAX(IF(ISNUMBER(X19),0.299732,-1),IF(ISNUMBER(Y19),0.323835,-1))),W19,IF(AND(ISNUMBER(X19),0.299732&gt;MAX(IF(ISNUMBER(W19),0.549579,-1),IF(ISNUMBER(Y19),0.323835,-1))),X19,IF(AND(ISNUMBER(Y19),0.323835&gt;MAX(IF(ISNUMBER(W19),0.549579,-1),IF(ISNUMBER(X19),0.299732,-1))),Y19,"")))</f>
        <v/>
      </c>
      <c r="AA19" s="5">
        <f>IF(AND(O19&lt;=-1,E19&lt;0),E18,"")</f>
        <v/>
      </c>
      <c r="AB19" s="5">
        <f>IF(AND(Q19&gt;0,S19&gt;0),E18,"")</f>
        <v/>
      </c>
      <c r="AC19" s="5">
        <f>IF(AND(S19&gt;0,U19&lt;0),E18,"")</f>
        <v/>
      </c>
      <c r="AD19" s="5">
        <f>IF(AND(ISNUMBER(AA19),0.408167&gt;=MAX(IF(ISNUMBER(AB19),0.31868,-1),IF(ISNUMBER(AC19),0.510996,-1))),AA19,IF(AND(ISNUMBER(AB19),0.31868&gt;MAX(IF(ISNUMBER(AA19),0.408167,-1),IF(ISNUMBER(AC19),0.510996,-1))),AB19,IF(AND(ISNUMBER(AC19),0.510996&gt;MAX(IF(ISNUMBER(AA19),0.408167,-1),IF(ISNUMBER(AB19),0.31868,-1))),AC19,"")))</f>
        <v/>
      </c>
    </row>
    <row r="20">
      <c r="A20" s="5" t="inlineStr">
        <is>
          <t>2026/07/27</t>
        </is>
      </c>
      <c r="B20" s="5" t="n">
        <v>146.46</v>
      </c>
      <c r="C20" s="5">
        <f>IF(AND(ISNUMBER(B20),ISNUMBER(B21)),(B20/B21-1)*100,"")</f>
        <v/>
      </c>
      <c r="D20" s="5" t="n">
        <v>63.62</v>
      </c>
      <c r="E20" s="5">
        <f>IF(AND(ISNUMBER(D20),ISNUMBER(D21)),(D20/D21-1)*100,"")</f>
        <v/>
      </c>
      <c r="F20" s="5" t="n">
        <v>78.887</v>
      </c>
      <c r="G20" s="5">
        <f>IF(AND(ISNUMBER(F20),ISNUMBER(F21)),(F20/F21-1)*100,"")</f>
        <v/>
      </c>
      <c r="H20" s="5" t="n">
        <v>56.88</v>
      </c>
      <c r="I20" s="5">
        <f>IF(AND(ISNUMBER(H20),ISNUMBER(H21)),(H20/H21-1)*100,"")</f>
        <v/>
      </c>
      <c r="J20" s="5" t="n">
        <v>75.73</v>
      </c>
      <c r="K20" s="5">
        <f>IF(AND(ISNUMBER(J20),ISNUMBER(J21)),(J20/J21-1)*100,"")</f>
        <v/>
      </c>
      <c r="L20" s="5" t="n">
        <v/>
      </c>
      <c r="M20" s="5">
        <f>IF(AND(ISNUMBER(L20),ISNUMBER(L21)),(L20/L21-1)*100,"")</f>
        <v/>
      </c>
      <c r="N20" s="5" t="n"/>
      <c r="O20" s="5">
        <f>IF(AND(ISNUMBER(N20),ISNUMBER(N21)),(N20/N21-1)*100,"")</f>
        <v/>
      </c>
      <c r="P20" s="5" t="n"/>
      <c r="Q20" s="5">
        <f>IF(AND(ISNUMBER(P20),ISNUMBER(P21)),(P20/P21-1)*100,"")</f>
        <v/>
      </c>
      <c r="R20" s="5" t="n"/>
      <c r="S20" s="5">
        <f>IF(AND(ISNUMBER(R20),ISNUMBER(R21)),(R20/R21-1)*100,"")</f>
        <v/>
      </c>
      <c r="T20" s="5" t="n"/>
      <c r="U20" s="5">
        <f>IF(AND(ISNUMBER(T20),ISNUMBER(T21)),(T20/T21-1)*100,"")</f>
        <v/>
      </c>
      <c r="V20" s="5" t="n"/>
      <c r="W20" s="5">
        <f>IF(AND(V20&gt;0,C20&lt;=-2),C19,"")</f>
        <v/>
      </c>
      <c r="X20" s="5">
        <f>IF(AND(G20&gt;0,I20&lt;0,K20&gt;0),C19,"")</f>
        <v/>
      </c>
      <c r="Y20" s="5">
        <f>IF(AND(K20&lt;0,M20&gt;0),C19,"")</f>
        <v/>
      </c>
      <c r="Z20" s="5">
        <f>IF(AND(ISNUMBER(W20),0.549579&gt;=MAX(IF(ISNUMBER(X20),0.299732,-1),IF(ISNUMBER(Y20),0.323835,-1))),W20,IF(AND(ISNUMBER(X20),0.299732&gt;MAX(IF(ISNUMBER(W20),0.549579,-1),IF(ISNUMBER(Y20),0.323835,-1))),X20,IF(AND(ISNUMBER(Y20),0.323835&gt;MAX(IF(ISNUMBER(W20),0.549579,-1),IF(ISNUMBER(X20),0.299732,-1))),Y20,"")))</f>
        <v/>
      </c>
      <c r="AA20" s="5">
        <f>IF(AND(O20&lt;=-1,E20&lt;0),E19,"")</f>
        <v/>
      </c>
      <c r="AB20" s="5">
        <f>IF(AND(Q20&gt;0,S20&gt;0),E19,"")</f>
        <v/>
      </c>
      <c r="AC20" s="5">
        <f>IF(AND(S20&gt;0,U20&lt;0),E19,"")</f>
        <v/>
      </c>
      <c r="AD20" s="5">
        <f>IF(AND(ISNUMBER(AA20),0.408167&gt;=MAX(IF(ISNUMBER(AB20),0.31868,-1),IF(ISNUMBER(AC20),0.510996,-1))),AA20,IF(AND(ISNUMBER(AB20),0.31868&gt;MAX(IF(ISNUMBER(AA20),0.408167,-1),IF(ISNUMBER(AC20),0.510996,-1))),AB20,IF(AND(ISNUMBER(AC20),0.510996&gt;MAX(IF(ISNUMBER(AA20),0.408167,-1),IF(ISNUMBER(AB20),0.31868,-1))),AC20,"")))</f>
        <v/>
      </c>
    </row>
    <row r="21">
      <c r="A21" s="5" t="inlineStr">
        <is>
          <t>2026/07/24</t>
        </is>
      </c>
      <c r="B21" s="5" t="n">
        <v>147.47</v>
      </c>
      <c r="C21" s="5">
        <f>IF(AND(ISNUMBER(B21),ISNUMBER(B22)),(B21/B22-1)*100,"")</f>
        <v/>
      </c>
      <c r="D21" s="5" t="n">
        <v>63.33</v>
      </c>
      <c r="E21" s="5">
        <f>IF(AND(ISNUMBER(D21),ISNUMBER(D22)),(D21/D22-1)*100,"")</f>
        <v/>
      </c>
      <c r="F21" s="5" t="n">
        <v>78.8472</v>
      </c>
      <c r="G21" s="5">
        <f>IF(AND(ISNUMBER(F21),ISNUMBER(F22)),(F21/F22-1)*100,"")</f>
        <v/>
      </c>
      <c r="H21" s="5" t="n">
        <v>56.31</v>
      </c>
      <c r="I21" s="5">
        <f>IF(AND(ISNUMBER(H21),ISNUMBER(H22)),(H21/H22-1)*100,"")</f>
        <v/>
      </c>
      <c r="J21" s="5" t="n">
        <v>75.23</v>
      </c>
      <c r="K21" s="5">
        <f>IF(AND(ISNUMBER(J21),ISNUMBER(J22)),(J21/J22-1)*100,"")</f>
        <v/>
      </c>
      <c r="L21" s="5" t="n">
        <v>-0.6417</v>
      </c>
      <c r="M21" s="5">
        <f>IF(AND(ISNUMBER(L21),ISNUMBER(L22)),(L21/L22-1)*100,"")</f>
        <v/>
      </c>
      <c r="N21" s="5" t="n"/>
      <c r="O21" s="5">
        <f>IF(AND(ISNUMBER(N21),ISNUMBER(N22)),(N21/N22-1)*100,"")</f>
        <v/>
      </c>
      <c r="P21" s="5" t="n"/>
      <c r="Q21" s="5">
        <f>IF(AND(ISNUMBER(P21),ISNUMBER(P22)),(P21/P22-1)*100,"")</f>
        <v/>
      </c>
      <c r="R21" s="5" t="n"/>
      <c r="S21" s="5">
        <f>IF(AND(ISNUMBER(R21),ISNUMBER(R22)),(R21/R22-1)*100,"")</f>
        <v/>
      </c>
      <c r="T21" s="5" t="n"/>
      <c r="U21" s="5">
        <f>IF(AND(ISNUMBER(T21),ISNUMBER(T22)),(T21/T22-1)*100,"")</f>
        <v/>
      </c>
      <c r="V21" s="5" t="n"/>
      <c r="W21" s="5">
        <f>IF(AND(V21&gt;0,C21&lt;=-2),C20,"")</f>
        <v/>
      </c>
      <c r="X21" s="5">
        <f>IF(AND(G21&gt;0,I21&lt;0,K21&gt;0),C20,"")</f>
        <v/>
      </c>
      <c r="Y21" s="5">
        <f>IF(AND(K21&lt;0,M21&gt;0),C20,"")</f>
        <v/>
      </c>
      <c r="Z21" s="5">
        <f>IF(AND(ISNUMBER(W21),0.549579&gt;=MAX(IF(ISNUMBER(X21),0.299732,-1),IF(ISNUMBER(Y21),0.323835,-1))),W21,IF(AND(ISNUMBER(X21),0.299732&gt;MAX(IF(ISNUMBER(W21),0.549579,-1),IF(ISNUMBER(Y21),0.323835,-1))),X21,IF(AND(ISNUMBER(Y21),0.323835&gt;MAX(IF(ISNUMBER(W21),0.549579,-1),IF(ISNUMBER(X21),0.299732,-1))),Y21,"")))</f>
        <v/>
      </c>
      <c r="AA21" s="5">
        <f>IF(AND(O21&lt;=-1,E21&lt;0),E20,"")</f>
        <v/>
      </c>
      <c r="AB21" s="5">
        <f>IF(AND(Q21&gt;0,S21&gt;0),E20,"")</f>
        <v/>
      </c>
      <c r="AC21" s="5">
        <f>IF(AND(S21&gt;0,U21&lt;0),E20,"")</f>
        <v/>
      </c>
      <c r="AD21" s="5">
        <f>IF(AND(ISNUMBER(AA21),0.408167&gt;=MAX(IF(ISNUMBER(AB21),0.31868,-1),IF(ISNUMBER(AC21),0.510996,-1))),AA21,IF(AND(ISNUMBER(AB21),0.31868&gt;MAX(IF(ISNUMBER(AA21),0.408167,-1),IF(ISNUMBER(AC21),0.510996,-1))),AB21,IF(AND(ISNUMBER(AC21),0.510996&gt;MAX(IF(ISNUMBER(AA21),0.408167,-1),IF(ISNUMBER(AB21),0.31868,-1))),AC21,"")))</f>
        <v/>
      </c>
    </row>
    <row r="22">
      <c r="A22" s="5" t="inlineStr">
        <is>
          <t>2026/07/23</t>
        </is>
      </c>
      <c r="B22" s="5" t="n">
        <v>150.94</v>
      </c>
      <c r="C22" s="5">
        <f>IF(AND(ISNUMBER(B22),ISNUMBER(B23)),(B22/B23-1)*100,"")</f>
        <v/>
      </c>
      <c r="D22" s="5" t="n">
        <v>64.59999999999999</v>
      </c>
      <c r="E22" s="5">
        <f>IF(AND(ISNUMBER(D22),ISNUMBER(D23)),(D22/D23-1)*100,"")</f>
        <v/>
      </c>
      <c r="F22" s="5" t="n">
        <v>78.8472</v>
      </c>
      <c r="G22" s="5">
        <f>IF(AND(ISNUMBER(F22),ISNUMBER(F23)),(F22/F23-1)*100,"")</f>
        <v/>
      </c>
      <c r="H22" s="5" t="n">
        <v>55.83</v>
      </c>
      <c r="I22" s="5">
        <f>IF(AND(ISNUMBER(H22),ISNUMBER(H23)),(H22/H23-1)*100,"")</f>
        <v/>
      </c>
      <c r="J22" s="5" t="n">
        <v>75.02</v>
      </c>
      <c r="K22" s="5">
        <f>IF(AND(ISNUMBER(J22),ISNUMBER(J23)),(J22/J23-1)*100,"")</f>
        <v/>
      </c>
      <c r="L22" s="5" t="n">
        <v>12.3798</v>
      </c>
      <c r="M22" s="5">
        <f>IF(AND(ISNUMBER(L22),ISNUMBER(L23)),(L22/L23-1)*100,"")</f>
        <v/>
      </c>
      <c r="N22" s="5" t="n"/>
      <c r="O22" s="5">
        <f>IF(AND(ISNUMBER(N22),ISNUMBER(N23)),(N22/N23-1)*100,"")</f>
        <v/>
      </c>
      <c r="P22" s="5" t="n"/>
      <c r="Q22" s="5">
        <f>IF(AND(ISNUMBER(P22),ISNUMBER(P23)),(P22/P23-1)*100,"")</f>
        <v/>
      </c>
      <c r="R22" s="5" t="n"/>
      <c r="S22" s="5">
        <f>IF(AND(ISNUMBER(R22),ISNUMBER(R23)),(R22/R23-1)*100,"")</f>
        <v/>
      </c>
      <c r="T22" s="5" t="n"/>
      <c r="U22" s="5">
        <f>IF(AND(ISNUMBER(T22),ISNUMBER(T23)),(T22/T23-1)*100,"")</f>
        <v/>
      </c>
      <c r="V22" s="5" t="n"/>
      <c r="W22" s="5">
        <f>IF(AND(V22&gt;0,C22&lt;=-2),C21,"")</f>
        <v/>
      </c>
      <c r="X22" s="5">
        <f>IF(AND(G22&gt;0,I22&lt;0,K22&gt;0),C21,"")</f>
        <v/>
      </c>
      <c r="Y22" s="5">
        <f>IF(AND(K22&lt;0,M22&gt;0),C21,"")</f>
        <v/>
      </c>
      <c r="Z22" s="5">
        <f>IF(AND(ISNUMBER(W22),0.549579&gt;=MAX(IF(ISNUMBER(X22),0.299732,-1),IF(ISNUMBER(Y22),0.323835,-1))),W22,IF(AND(ISNUMBER(X22),0.299732&gt;MAX(IF(ISNUMBER(W22),0.549579,-1),IF(ISNUMBER(Y22),0.323835,-1))),X22,IF(AND(ISNUMBER(Y22),0.323835&gt;MAX(IF(ISNUMBER(W22),0.549579,-1),IF(ISNUMBER(X22),0.299732,-1))),Y22,"")))</f>
        <v/>
      </c>
      <c r="AA22" s="5">
        <f>IF(AND(O22&lt;=-1,E22&lt;0),E21,"")</f>
        <v/>
      </c>
      <c r="AB22" s="5">
        <f>IF(AND(Q22&gt;0,S22&gt;0),E21,"")</f>
        <v/>
      </c>
      <c r="AC22" s="5">
        <f>IF(AND(S22&gt;0,U22&lt;0),E21,"")</f>
        <v/>
      </c>
      <c r="AD22" s="5">
        <f>IF(AND(ISNUMBER(AA22),0.408167&gt;=MAX(IF(ISNUMBER(AB22),0.31868,-1),IF(ISNUMBER(AC22),0.510996,-1))),AA22,IF(AND(ISNUMBER(AB22),0.31868&gt;MAX(IF(ISNUMBER(AA22),0.408167,-1),IF(ISNUMBER(AC22),0.510996,-1))),AB22,IF(AND(ISNUMBER(AC22),0.510996&gt;MAX(IF(ISNUMBER(AA22),0.408167,-1),IF(ISNUMBER(AB22),0.31868,-1))),AC22,"")))</f>
        <v/>
      </c>
    </row>
    <row r="23">
      <c r="A23" s="5" t="inlineStr">
        <is>
          <t>2026/07/22</t>
        </is>
      </c>
      <c r="B23" s="5" t="n">
        <v>156.87</v>
      </c>
      <c r="C23" s="5">
        <f>IF(AND(ISNUMBER(B23),ISNUMBER(B24)),(B23/B24-1)*100,"")</f>
        <v/>
      </c>
      <c r="D23" s="5" t="n">
        <v>64.98999999999999</v>
      </c>
      <c r="E23" s="5">
        <f>IF(AND(ISNUMBER(D23),ISNUMBER(D24)),(D23/D24-1)*100,"")</f>
        <v/>
      </c>
      <c r="F23" s="5" t="n">
        <v>79.1358</v>
      </c>
      <c r="G23" s="5">
        <f>IF(AND(ISNUMBER(F23),ISNUMBER(F24)),(F23/F24-1)*100,"")</f>
        <v/>
      </c>
      <c r="H23" s="5" t="n">
        <v>56.05</v>
      </c>
      <c r="I23" s="5">
        <f>IF(AND(ISNUMBER(H23),ISNUMBER(H24)),(H23/H24-1)*100,"")</f>
        <v/>
      </c>
      <c r="J23" s="5" t="n">
        <v>76.68000000000001</v>
      </c>
      <c r="K23" s="5">
        <f>IF(AND(ISNUMBER(J23),ISNUMBER(J24)),(J23/J24-1)*100,"")</f>
        <v/>
      </c>
      <c r="L23" s="5" t="n">
        <v>-2.4047</v>
      </c>
      <c r="M23" s="5">
        <f>IF(AND(ISNUMBER(L23),ISNUMBER(L24)),(L23/L24-1)*100,"")</f>
        <v/>
      </c>
      <c r="N23" s="5" t="n"/>
      <c r="O23" s="5">
        <f>IF(AND(ISNUMBER(N23),ISNUMBER(N24)),(N23/N24-1)*100,"")</f>
        <v/>
      </c>
      <c r="P23" s="5" t="n"/>
      <c r="Q23" s="5">
        <f>IF(AND(ISNUMBER(P23),ISNUMBER(P24)),(P23/P24-1)*100,"")</f>
        <v/>
      </c>
      <c r="R23" s="5" t="n"/>
      <c r="S23" s="5">
        <f>IF(AND(ISNUMBER(R23),ISNUMBER(R24)),(R23/R24-1)*100,"")</f>
        <v/>
      </c>
      <c r="T23" s="5" t="n"/>
      <c r="U23" s="5">
        <f>IF(AND(ISNUMBER(T23),ISNUMBER(T24)),(T23/T24-1)*100,"")</f>
        <v/>
      </c>
      <c r="V23" s="5" t="n"/>
      <c r="W23" s="5">
        <f>IF(AND(V23&gt;0,C23&lt;=-2),C22,"")</f>
        <v/>
      </c>
      <c r="X23" s="5">
        <f>IF(AND(G23&gt;0,I23&lt;0,K23&gt;0),C22,"")</f>
        <v/>
      </c>
      <c r="Y23" s="5">
        <f>IF(AND(K23&lt;0,M23&gt;0),C22,"")</f>
        <v/>
      </c>
      <c r="Z23" s="5">
        <f>IF(AND(ISNUMBER(W23),0.549579&gt;=MAX(IF(ISNUMBER(X23),0.299732,-1),IF(ISNUMBER(Y23),0.323835,-1))),W23,IF(AND(ISNUMBER(X23),0.299732&gt;MAX(IF(ISNUMBER(W23),0.549579,-1),IF(ISNUMBER(Y23),0.323835,-1))),X23,IF(AND(ISNUMBER(Y23),0.323835&gt;MAX(IF(ISNUMBER(W23),0.549579,-1),IF(ISNUMBER(X23),0.299732,-1))),Y23,"")))</f>
        <v/>
      </c>
      <c r="AA23" s="5">
        <f>IF(AND(O23&lt;=-1,E23&lt;0),E22,"")</f>
        <v/>
      </c>
      <c r="AB23" s="5">
        <f>IF(AND(Q23&gt;0,S23&gt;0),E22,"")</f>
        <v/>
      </c>
      <c r="AC23" s="5">
        <f>IF(AND(S23&gt;0,U23&lt;0),E22,"")</f>
        <v/>
      </c>
      <c r="AD23" s="5">
        <f>IF(AND(ISNUMBER(AA23),0.408167&gt;=MAX(IF(ISNUMBER(AB23),0.31868,-1),IF(ISNUMBER(AC23),0.510996,-1))),AA23,IF(AND(ISNUMBER(AB23),0.31868&gt;MAX(IF(ISNUMBER(AA23),0.408167,-1),IF(ISNUMBER(AC23),0.510996,-1))),AB23,IF(AND(ISNUMBER(AC23),0.510996&gt;MAX(IF(ISNUMBER(AA23),0.408167,-1),IF(ISNUMBER(AB23),0.31868,-1))),AC23,"")))</f>
        <v/>
      </c>
    </row>
    <row r="24">
      <c r="A24" s="5" t="inlineStr">
        <is>
          <t>2026/07/21</t>
        </is>
      </c>
      <c r="B24" s="5" t="n">
        <v>158.58</v>
      </c>
      <c r="C24" s="5">
        <f>IF(AND(ISNUMBER(B24),ISNUMBER(B25)),(B24/B25-1)*100,"")</f>
        <v/>
      </c>
      <c r="D24" s="5" t="n">
        <v>65.34</v>
      </c>
      <c r="E24" s="5">
        <f>IF(AND(ISNUMBER(D24),ISNUMBER(D25)),(D24/D25-1)*100,"")</f>
        <v/>
      </c>
      <c r="F24" s="5" t="n">
        <v>79.26519999999999</v>
      </c>
      <c r="G24" s="5">
        <f>IF(AND(ISNUMBER(F24),ISNUMBER(F25)),(F24/F25-1)*100,"")</f>
        <v/>
      </c>
      <c r="H24" s="5" t="n">
        <v>56.11</v>
      </c>
      <c r="I24" s="5">
        <f>IF(AND(ISNUMBER(H24),ISNUMBER(H25)),(H24/H25-1)*100,"")</f>
        <v/>
      </c>
      <c r="J24" s="5" t="n">
        <v>74.19</v>
      </c>
      <c r="K24" s="5">
        <f>IF(AND(ISNUMBER(J24),ISNUMBER(J25)),(J24/J25-1)*100,"")</f>
        <v/>
      </c>
      <c r="L24" s="5" t="n">
        <v>-8.5791</v>
      </c>
      <c r="M24" s="5">
        <f>IF(AND(ISNUMBER(L24),ISNUMBER(L25)),(L24/L25-1)*100,"")</f>
        <v/>
      </c>
      <c r="N24" s="5" t="n"/>
      <c r="O24" s="5">
        <f>IF(AND(ISNUMBER(N24),ISNUMBER(N25)),(N24/N25-1)*100,"")</f>
        <v/>
      </c>
      <c r="P24" s="5" t="n"/>
      <c r="Q24" s="5">
        <f>IF(AND(ISNUMBER(P24),ISNUMBER(P25)),(P24/P25-1)*100,"")</f>
        <v/>
      </c>
      <c r="R24" s="5" t="n"/>
      <c r="S24" s="5">
        <f>IF(AND(ISNUMBER(R24),ISNUMBER(R25)),(R24/R25-1)*100,"")</f>
        <v/>
      </c>
      <c r="T24" s="5" t="n"/>
      <c r="U24" s="5">
        <f>IF(AND(ISNUMBER(T24),ISNUMBER(T25)),(T24/T25-1)*100,"")</f>
        <v/>
      </c>
      <c r="V24" s="5" t="n"/>
      <c r="W24" s="5">
        <f>IF(AND(V24&gt;0,C24&lt;=-2),C23,"")</f>
        <v/>
      </c>
      <c r="X24" s="5">
        <f>IF(AND(G24&gt;0,I24&lt;0,K24&gt;0),C23,"")</f>
        <v/>
      </c>
      <c r="Y24" s="5">
        <f>IF(AND(K24&lt;0,M24&gt;0),C23,"")</f>
        <v/>
      </c>
      <c r="Z24" s="5">
        <f>IF(AND(ISNUMBER(W24),0.549579&gt;=MAX(IF(ISNUMBER(X24),0.299732,-1),IF(ISNUMBER(Y24),0.323835,-1))),W24,IF(AND(ISNUMBER(X24),0.299732&gt;MAX(IF(ISNUMBER(W24),0.549579,-1),IF(ISNUMBER(Y24),0.323835,-1))),X24,IF(AND(ISNUMBER(Y24),0.323835&gt;MAX(IF(ISNUMBER(W24),0.549579,-1),IF(ISNUMBER(X24),0.299732,-1))),Y24,"")))</f>
        <v/>
      </c>
      <c r="AA24" s="5">
        <f>IF(AND(O24&lt;=-1,E24&lt;0),E23,"")</f>
        <v/>
      </c>
      <c r="AB24" s="5">
        <f>IF(AND(Q24&gt;0,S24&gt;0),E23,"")</f>
        <v/>
      </c>
      <c r="AC24" s="5">
        <f>IF(AND(S24&gt;0,U24&lt;0),E23,"")</f>
        <v/>
      </c>
      <c r="AD24" s="5">
        <f>IF(AND(ISNUMBER(AA24),0.408167&gt;=MAX(IF(ISNUMBER(AB24),0.31868,-1),IF(ISNUMBER(AC24),0.510996,-1))),AA24,IF(AND(ISNUMBER(AB24),0.31868&gt;MAX(IF(ISNUMBER(AA24),0.408167,-1),IF(ISNUMBER(AC24),0.510996,-1))),AB24,IF(AND(ISNUMBER(AC24),0.510996&gt;MAX(IF(ISNUMBER(AA24),0.408167,-1),IF(ISNUMBER(AB24),0.31868,-1))),AC24,"")))</f>
        <v/>
      </c>
    </row>
    <row r="25">
      <c r="A25" s="5" t="inlineStr">
        <is>
          <t>2026/07/20</t>
        </is>
      </c>
      <c r="B25" s="5" t="n">
        <v>152.76</v>
      </c>
      <c r="C25" s="5">
        <f>IF(AND(ISNUMBER(B25),ISNUMBER(B26)),(B25/B26-1)*100,"")</f>
        <v/>
      </c>
      <c r="D25" s="5" t="n">
        <v>63.56</v>
      </c>
      <c r="E25" s="5">
        <f>IF(AND(ISNUMBER(D25),ISNUMBER(D26)),(D25/D26-1)*100,"")</f>
        <v/>
      </c>
      <c r="F25" s="5" t="n">
        <v>79.295</v>
      </c>
      <c r="G25" s="5">
        <f>IF(AND(ISNUMBER(F25),ISNUMBER(F26)),(F25/F26-1)*100,"")</f>
        <v/>
      </c>
      <c r="H25" s="5" t="n">
        <v>56.04</v>
      </c>
      <c r="I25" s="5">
        <f>IF(AND(ISNUMBER(H25),ISNUMBER(H26)),(H25/H26-1)*100,"")</f>
        <v/>
      </c>
      <c r="J25" s="5" t="n">
        <v>70.73999999999999</v>
      </c>
      <c r="K25" s="5">
        <f>IF(AND(ISNUMBER(J25),ISNUMBER(J26)),(J25/J26-1)*100,"")</f>
        <v/>
      </c>
      <c r="L25" s="5" t="n">
        <v>-0.6393</v>
      </c>
      <c r="M25" s="5">
        <f>IF(AND(ISNUMBER(L25),ISNUMBER(L26)),(L25/L26-1)*100,"")</f>
        <v/>
      </c>
      <c r="N25" s="5" t="n"/>
      <c r="O25" s="5">
        <f>IF(AND(ISNUMBER(N25),ISNUMBER(N26)),(N25/N26-1)*100,"")</f>
        <v/>
      </c>
      <c r="P25" s="5" t="n"/>
      <c r="Q25" s="5">
        <f>IF(AND(ISNUMBER(P25),ISNUMBER(P26)),(P25/P26-1)*100,"")</f>
        <v/>
      </c>
      <c r="R25" s="5" t="n"/>
      <c r="S25" s="5">
        <f>IF(AND(ISNUMBER(R25),ISNUMBER(R26)),(R25/R26-1)*100,"")</f>
        <v/>
      </c>
      <c r="T25" s="5" t="n"/>
      <c r="U25" s="5">
        <f>IF(AND(ISNUMBER(T25),ISNUMBER(T26)),(T25/T26-1)*100,"")</f>
        <v/>
      </c>
      <c r="V25" s="5" t="n"/>
      <c r="W25" s="5">
        <f>IF(AND(V25&gt;0,C25&lt;=-2),C24,"")</f>
        <v/>
      </c>
      <c r="X25" s="5">
        <f>IF(AND(G25&gt;0,I25&lt;0,K25&gt;0),C24,"")</f>
        <v/>
      </c>
      <c r="Y25" s="5">
        <f>IF(AND(K25&lt;0,M25&gt;0),C24,"")</f>
        <v/>
      </c>
      <c r="Z25" s="5">
        <f>IF(AND(ISNUMBER(W25),0.549579&gt;=MAX(IF(ISNUMBER(X25),0.299732,-1),IF(ISNUMBER(Y25),0.323835,-1))),W25,IF(AND(ISNUMBER(X25),0.299732&gt;MAX(IF(ISNUMBER(W25),0.549579,-1),IF(ISNUMBER(Y25),0.323835,-1))),X25,IF(AND(ISNUMBER(Y25),0.323835&gt;MAX(IF(ISNUMBER(W25),0.549579,-1),IF(ISNUMBER(X25),0.299732,-1))),Y25,"")))</f>
        <v/>
      </c>
      <c r="AA25" s="5">
        <f>IF(AND(O25&lt;=-1,E25&lt;0),E24,"")</f>
        <v/>
      </c>
      <c r="AB25" s="5">
        <f>IF(AND(Q25&gt;0,S25&gt;0),E24,"")</f>
        <v/>
      </c>
      <c r="AC25" s="5">
        <f>IF(AND(S25&gt;0,U25&lt;0),E24,"")</f>
        <v/>
      </c>
      <c r="AD25" s="5">
        <f>IF(AND(ISNUMBER(AA25),0.408167&gt;=MAX(IF(ISNUMBER(AB25),0.31868,-1),IF(ISNUMBER(AC25),0.510996,-1))),AA25,IF(AND(ISNUMBER(AB25),0.31868&gt;MAX(IF(ISNUMBER(AA25),0.408167,-1),IF(ISNUMBER(AC25),0.510996,-1))),AB25,IF(AND(ISNUMBER(AC25),0.510996&gt;MAX(IF(ISNUMBER(AA25),0.408167,-1),IF(ISNUMBER(AB25),0.31868,-1))),AC25,"")))</f>
        <v/>
      </c>
    </row>
    <row r="26">
      <c r="A26" s="5" t="inlineStr">
        <is>
          <t>2026/07/17</t>
        </is>
      </c>
      <c r="B26" s="5" t="n">
        <v>152.68</v>
      </c>
      <c r="C26" s="5">
        <f>IF(AND(ISNUMBER(B26),ISNUMBER(B27)),(B26/B27-1)*100,"")</f>
        <v/>
      </c>
      <c r="D26" s="5" t="n">
        <v>63.29</v>
      </c>
      <c r="E26" s="5">
        <f>IF(AND(ISNUMBER(D26),ISNUMBER(D27)),(D26/D27-1)*100,"")</f>
        <v/>
      </c>
      <c r="F26" s="5" t="n">
        <v>79.26519999999999</v>
      </c>
      <c r="G26" s="5">
        <f>IF(AND(ISNUMBER(F26),ISNUMBER(F27)),(F26/F27-1)*100,"")</f>
        <v/>
      </c>
      <c r="H26" s="5" t="n">
        <v>56.26</v>
      </c>
      <c r="I26" s="5">
        <f>IF(AND(ISNUMBER(H26),ISNUMBER(H27)),(H26/H27-1)*100,"")</f>
        <v/>
      </c>
      <c r="J26" s="5" t="n">
        <v>71.31999999999999</v>
      </c>
      <c r="K26" s="5">
        <f>IF(AND(ISNUMBER(J26),ISNUMBER(J27)),(J26/J27-1)*100,"")</f>
        <v/>
      </c>
      <c r="L26" s="5" t="n">
        <v>12.1937</v>
      </c>
      <c r="M26" s="5">
        <f>IF(AND(ISNUMBER(L26),ISNUMBER(L27)),(L26/L27-1)*100,"")</f>
        <v/>
      </c>
      <c r="N26" s="5" t="n"/>
      <c r="O26" s="5">
        <f>IF(AND(ISNUMBER(N26),ISNUMBER(N27)),(N26/N27-1)*100,"")</f>
        <v/>
      </c>
      <c r="P26" s="5" t="n"/>
      <c r="Q26" s="5">
        <f>IF(AND(ISNUMBER(P26),ISNUMBER(P27)),(P26/P27-1)*100,"")</f>
        <v/>
      </c>
      <c r="R26" s="5" t="n"/>
      <c r="S26" s="5">
        <f>IF(AND(ISNUMBER(R26),ISNUMBER(R27)),(R26/R27-1)*100,"")</f>
        <v/>
      </c>
      <c r="T26" s="5" t="n"/>
      <c r="U26" s="5">
        <f>IF(AND(ISNUMBER(T26),ISNUMBER(T27)),(T26/T27-1)*100,"")</f>
        <v/>
      </c>
      <c r="V26" s="5" t="n"/>
      <c r="W26" s="5">
        <f>IF(AND(V26&gt;0,C26&lt;=-2),C25,"")</f>
        <v/>
      </c>
      <c r="X26" s="5">
        <f>IF(AND(G26&gt;0,I26&lt;0,K26&gt;0),C25,"")</f>
        <v/>
      </c>
      <c r="Y26" s="5">
        <f>IF(AND(K26&lt;0,M26&gt;0),C25,"")</f>
        <v/>
      </c>
      <c r="Z26" s="5">
        <f>IF(AND(ISNUMBER(W26),0.549579&gt;=MAX(IF(ISNUMBER(X26),0.299732,-1),IF(ISNUMBER(Y26),0.323835,-1))),W26,IF(AND(ISNUMBER(X26),0.299732&gt;MAX(IF(ISNUMBER(W26),0.549579,-1),IF(ISNUMBER(Y26),0.323835,-1))),X26,IF(AND(ISNUMBER(Y26),0.323835&gt;MAX(IF(ISNUMBER(W26),0.549579,-1),IF(ISNUMBER(X26),0.299732,-1))),Y26,"")))</f>
        <v/>
      </c>
      <c r="AA26" s="5">
        <f>IF(AND(O26&lt;=-1,E26&lt;0),E25,"")</f>
        <v/>
      </c>
      <c r="AB26" s="5">
        <f>IF(AND(Q26&gt;0,S26&gt;0),E25,"")</f>
        <v/>
      </c>
      <c r="AC26" s="5">
        <f>IF(AND(S26&gt;0,U26&lt;0),E25,"")</f>
        <v/>
      </c>
      <c r="AD26" s="5">
        <f>IF(AND(ISNUMBER(AA26),0.408167&gt;=MAX(IF(ISNUMBER(AB26),0.31868,-1),IF(ISNUMBER(AC26),0.510996,-1))),AA26,IF(AND(ISNUMBER(AB26),0.31868&gt;MAX(IF(ISNUMBER(AA26),0.408167,-1),IF(ISNUMBER(AC26),0.510996,-1))),AB26,IF(AND(ISNUMBER(AC26),0.510996&gt;MAX(IF(ISNUMBER(AA26),0.408167,-1),IF(ISNUMBER(AB26),0.31868,-1))),AC26,"")))</f>
        <v/>
      </c>
    </row>
    <row r="27">
      <c r="A27" s="5" t="inlineStr">
        <is>
          <t>2026/07/16</t>
        </is>
      </c>
      <c r="B27" s="5" t="n">
        <v>157.41</v>
      </c>
      <c r="C27" s="5">
        <f>IF(AND(ISNUMBER(B27),ISNUMBER(B28)),(B27/B28-1)*100,"")</f>
        <v/>
      </c>
      <c r="D27" s="5" t="n">
        <v>64.19</v>
      </c>
      <c r="E27" s="5">
        <f>IF(AND(ISNUMBER(D27),ISNUMBER(D28)),(D27/D28-1)*100,"")</f>
        <v/>
      </c>
      <c r="F27" s="5" t="n">
        <v>79.4145</v>
      </c>
      <c r="G27" s="5">
        <f>IF(AND(ISNUMBER(F27),ISNUMBER(F28)),(F27/F28-1)*100,"")</f>
        <v/>
      </c>
      <c r="H27" s="5" t="n">
        <v>56.75</v>
      </c>
      <c r="I27" s="5">
        <f>IF(AND(ISNUMBER(H27),ISNUMBER(H28)),(H27/H28-1)*100,"")</f>
        <v/>
      </c>
      <c r="J27" s="5" t="n">
        <v>71.40000000000001</v>
      </c>
      <c r="K27" s="5">
        <f>IF(AND(ISNUMBER(J27),ISNUMBER(J28)),(J27/J28-1)*100,"")</f>
        <v/>
      </c>
      <c r="L27" s="5" t="n">
        <v>6.7645</v>
      </c>
      <c r="M27" s="5">
        <f>IF(AND(ISNUMBER(L27),ISNUMBER(L28)),(L27/L28-1)*100,"")</f>
        <v/>
      </c>
      <c r="N27" s="5" t="n"/>
      <c r="O27" s="5">
        <f>IF(AND(ISNUMBER(N27),ISNUMBER(N28)),(N27/N28-1)*100,"")</f>
        <v/>
      </c>
      <c r="P27" s="5" t="n"/>
      <c r="Q27" s="5">
        <f>IF(AND(ISNUMBER(P27),ISNUMBER(P28)),(P27/P28-1)*100,"")</f>
        <v/>
      </c>
      <c r="R27" s="5" t="n"/>
      <c r="S27" s="5">
        <f>IF(AND(ISNUMBER(R27),ISNUMBER(R28)),(R27/R28-1)*100,"")</f>
        <v/>
      </c>
      <c r="T27" s="5" t="n"/>
      <c r="U27" s="5">
        <f>IF(AND(ISNUMBER(T27),ISNUMBER(T28)),(T27/T28-1)*100,"")</f>
        <v/>
      </c>
      <c r="V27" s="5" t="n"/>
      <c r="W27" s="5">
        <f>IF(AND(V27&gt;0,C27&lt;=-2),C26,"")</f>
        <v/>
      </c>
      <c r="X27" s="5">
        <f>IF(AND(G27&gt;0,I27&lt;0,K27&gt;0),C26,"")</f>
        <v/>
      </c>
      <c r="Y27" s="5">
        <f>IF(AND(K27&lt;0,M27&gt;0),C26,"")</f>
        <v/>
      </c>
      <c r="Z27" s="5">
        <f>IF(AND(ISNUMBER(W27),0.549579&gt;=MAX(IF(ISNUMBER(X27),0.299732,-1),IF(ISNUMBER(Y27),0.323835,-1))),W27,IF(AND(ISNUMBER(X27),0.299732&gt;MAX(IF(ISNUMBER(W27),0.549579,-1),IF(ISNUMBER(Y27),0.323835,-1))),X27,IF(AND(ISNUMBER(Y27),0.323835&gt;MAX(IF(ISNUMBER(W27),0.549579,-1),IF(ISNUMBER(X27),0.299732,-1))),Y27,"")))</f>
        <v/>
      </c>
      <c r="AA27" s="5">
        <f>IF(AND(O27&lt;=-1,E27&lt;0),E26,"")</f>
        <v/>
      </c>
      <c r="AB27" s="5">
        <f>IF(AND(Q27&gt;0,S27&gt;0),E26,"")</f>
        <v/>
      </c>
      <c r="AC27" s="5">
        <f>IF(AND(S27&gt;0,U27&lt;0),E26,"")</f>
        <v/>
      </c>
      <c r="AD27" s="5">
        <f>IF(AND(ISNUMBER(AA27),0.408167&gt;=MAX(IF(ISNUMBER(AB27),0.31868,-1),IF(ISNUMBER(AC27),0.510996,-1))),AA27,IF(AND(ISNUMBER(AB27),0.31868&gt;MAX(IF(ISNUMBER(AA27),0.408167,-1),IF(ISNUMBER(AC27),0.510996,-1))),AB27,IF(AND(ISNUMBER(AC27),0.510996&gt;MAX(IF(ISNUMBER(AA27),0.408167,-1),IF(ISNUMBER(AB27),0.31868,-1))),AC27,"")))</f>
        <v/>
      </c>
    </row>
    <row r="28">
      <c r="A28" s="5" t="inlineStr">
        <is>
          <t>2026/07/15</t>
        </is>
      </c>
      <c r="B28" s="5" t="n">
        <v>162.7</v>
      </c>
      <c r="C28" s="5">
        <f>IF(AND(ISNUMBER(B28),ISNUMBER(B29)),(B28/B29-1)*100,"")</f>
        <v/>
      </c>
      <c r="D28" s="5" t="n">
        <v>65.56999999999999</v>
      </c>
      <c r="E28" s="5">
        <f>IF(AND(ISNUMBER(D28),ISNUMBER(D29)),(D28/D29-1)*100,"")</f>
        <v/>
      </c>
      <c r="F28" s="5" t="n">
        <v>79.42440000000001</v>
      </c>
      <c r="G28" s="5">
        <f>IF(AND(ISNUMBER(F28),ISNUMBER(F29)),(F28/F29-1)*100,"")</f>
        <v/>
      </c>
      <c r="H28" s="5" t="n">
        <v>56.56</v>
      </c>
      <c r="I28" s="5">
        <f>IF(AND(ISNUMBER(H28),ISNUMBER(H29)),(H28/H29-1)*100,"")</f>
        <v/>
      </c>
      <c r="J28" s="5" t="n">
        <v>74</v>
      </c>
      <c r="K28" s="5">
        <f>IF(AND(ISNUMBER(J28),ISNUMBER(J29)),(J28/J29-1)*100,"")</f>
        <v/>
      </c>
      <c r="L28" s="5" t="n">
        <v>-5.0303</v>
      </c>
      <c r="M28" s="5">
        <f>IF(AND(ISNUMBER(L28),ISNUMBER(L29)),(L28/L29-1)*100,"")</f>
        <v/>
      </c>
      <c r="N28" s="5" t="n"/>
      <c r="O28" s="5">
        <f>IF(AND(ISNUMBER(N28),ISNUMBER(N29)),(N28/N29-1)*100,"")</f>
        <v/>
      </c>
      <c r="P28" s="5" t="n"/>
      <c r="Q28" s="5">
        <f>IF(AND(ISNUMBER(P28),ISNUMBER(P29)),(P28/P29-1)*100,"")</f>
        <v/>
      </c>
      <c r="R28" s="5" t="n"/>
      <c r="S28" s="5">
        <f>IF(AND(ISNUMBER(R28),ISNUMBER(R29)),(R28/R29-1)*100,"")</f>
        <v/>
      </c>
      <c r="T28" s="5" t="n"/>
      <c r="U28" s="5">
        <f>IF(AND(ISNUMBER(T28),ISNUMBER(T29)),(T28/T29-1)*100,"")</f>
        <v/>
      </c>
      <c r="V28" s="5" t="n"/>
      <c r="W28" s="5">
        <f>IF(AND(V28&gt;0,C28&lt;=-2),C27,"")</f>
        <v/>
      </c>
      <c r="X28" s="5">
        <f>IF(AND(G28&gt;0,I28&lt;0,K28&gt;0),C27,"")</f>
        <v/>
      </c>
      <c r="Y28" s="5">
        <f>IF(AND(K28&lt;0,M28&gt;0),C27,"")</f>
        <v/>
      </c>
      <c r="Z28" s="5">
        <f>IF(AND(ISNUMBER(W28),0.549579&gt;=MAX(IF(ISNUMBER(X28),0.299732,-1),IF(ISNUMBER(Y28),0.323835,-1))),W28,IF(AND(ISNUMBER(X28),0.299732&gt;MAX(IF(ISNUMBER(W28),0.549579,-1),IF(ISNUMBER(Y28),0.323835,-1))),X28,IF(AND(ISNUMBER(Y28),0.323835&gt;MAX(IF(ISNUMBER(W28),0.549579,-1),IF(ISNUMBER(X28),0.299732,-1))),Y28,"")))</f>
        <v/>
      </c>
      <c r="AA28" s="5">
        <f>IF(AND(O28&lt;=-1,E28&lt;0),E27,"")</f>
        <v/>
      </c>
      <c r="AB28" s="5">
        <f>IF(AND(Q28&gt;0,S28&gt;0),E27,"")</f>
        <v/>
      </c>
      <c r="AC28" s="5">
        <f>IF(AND(S28&gt;0,U28&lt;0),E27,"")</f>
        <v/>
      </c>
      <c r="AD28" s="5">
        <f>IF(AND(ISNUMBER(AA28),0.408167&gt;=MAX(IF(ISNUMBER(AB28),0.31868,-1),IF(ISNUMBER(AC28),0.510996,-1))),AA28,IF(AND(ISNUMBER(AB28),0.31868&gt;MAX(IF(ISNUMBER(AA28),0.408167,-1),IF(ISNUMBER(AC28),0.510996,-1))),AB28,IF(AND(ISNUMBER(AC28),0.510996&gt;MAX(IF(ISNUMBER(AA28),0.408167,-1),IF(ISNUMBER(AB28),0.31868,-1))),AC28,"")))</f>
        <v/>
      </c>
    </row>
    <row r="29">
      <c r="A29" s="5" t="inlineStr">
        <is>
          <t>2026/07/14</t>
        </is>
      </c>
      <c r="B29" s="5" t="n">
        <v>163.66</v>
      </c>
      <c r="C29" s="5">
        <f>IF(AND(ISNUMBER(B29),ISNUMBER(B30)),(B29/B30-1)*100,"")</f>
        <v/>
      </c>
      <c r="D29" s="5" t="n">
        <v>65.67</v>
      </c>
      <c r="E29" s="5">
        <f>IF(AND(ISNUMBER(D29),ISNUMBER(D30)),(D29/D30-1)*100,"")</f>
        <v/>
      </c>
      <c r="F29" s="5" t="n">
        <v>79.295</v>
      </c>
      <c r="G29" s="5">
        <f>IF(AND(ISNUMBER(F29),ISNUMBER(F30)),(F29/F30-1)*100,"")</f>
        <v/>
      </c>
      <c r="H29" s="5" t="n">
        <v>56.18</v>
      </c>
      <c r="I29" s="5">
        <f>IF(AND(ISNUMBER(H29),ISNUMBER(H30)),(H29/H30-1)*100,"")</f>
        <v/>
      </c>
      <c r="J29" s="5" t="n">
        <v>74.88</v>
      </c>
      <c r="K29" s="5">
        <f>IF(AND(ISNUMBER(J29),ISNUMBER(J30)),(J29/J30-1)*100,"")</f>
        <v/>
      </c>
      <c r="L29" s="5" t="n">
        <v>-3.8462</v>
      </c>
      <c r="M29" s="5">
        <f>IF(AND(ISNUMBER(L29),ISNUMBER(L30)),(L29/L30-1)*100,"")</f>
        <v/>
      </c>
      <c r="N29" s="5" t="n"/>
      <c r="O29" s="5">
        <f>IF(AND(ISNUMBER(N29),ISNUMBER(N30)),(N29/N30-1)*100,"")</f>
        <v/>
      </c>
      <c r="P29" s="5" t="n"/>
      <c r="Q29" s="5">
        <f>IF(AND(ISNUMBER(P29),ISNUMBER(P30)),(P29/P30-1)*100,"")</f>
        <v/>
      </c>
      <c r="R29" s="5" t="n"/>
      <c r="S29" s="5">
        <f>IF(AND(ISNUMBER(R29),ISNUMBER(R30)),(R29/R30-1)*100,"")</f>
        <v/>
      </c>
      <c r="T29" s="5" t="n"/>
      <c r="U29" s="5">
        <f>IF(AND(ISNUMBER(T29),ISNUMBER(T30)),(T29/T30-1)*100,"")</f>
        <v/>
      </c>
      <c r="V29" s="5" t="n"/>
      <c r="W29" s="5">
        <f>IF(AND(V29&gt;0,C29&lt;=-2),C28,"")</f>
        <v/>
      </c>
      <c r="X29" s="5">
        <f>IF(AND(G29&gt;0,I29&lt;0,K29&gt;0),C28,"")</f>
        <v/>
      </c>
      <c r="Y29" s="5">
        <f>IF(AND(K29&lt;0,M29&gt;0),C28,"")</f>
        <v/>
      </c>
      <c r="Z29" s="5">
        <f>IF(AND(ISNUMBER(W29),0.549579&gt;=MAX(IF(ISNUMBER(X29),0.299732,-1),IF(ISNUMBER(Y29),0.323835,-1))),W29,IF(AND(ISNUMBER(X29),0.299732&gt;MAX(IF(ISNUMBER(W29),0.549579,-1),IF(ISNUMBER(Y29),0.323835,-1))),X29,IF(AND(ISNUMBER(Y29),0.323835&gt;MAX(IF(ISNUMBER(W29),0.549579,-1),IF(ISNUMBER(X29),0.299732,-1))),Y29,"")))</f>
        <v/>
      </c>
      <c r="AA29" s="5">
        <f>IF(AND(O29&lt;=-1,E29&lt;0),E28,"")</f>
        <v/>
      </c>
      <c r="AB29" s="5">
        <f>IF(AND(Q29&gt;0,S29&gt;0),E28,"")</f>
        <v/>
      </c>
      <c r="AC29" s="5">
        <f>IF(AND(S29&gt;0,U29&lt;0),E28,"")</f>
        <v/>
      </c>
      <c r="AD29" s="5">
        <f>IF(AND(ISNUMBER(AA29),0.408167&gt;=MAX(IF(ISNUMBER(AB29),0.31868,-1),IF(ISNUMBER(AC29),0.510996,-1))),AA29,IF(AND(ISNUMBER(AB29),0.31868&gt;MAX(IF(ISNUMBER(AA29),0.408167,-1),IF(ISNUMBER(AC29),0.510996,-1))),AB29,IF(AND(ISNUMBER(AC29),0.510996&gt;MAX(IF(ISNUMBER(AA29),0.408167,-1),IF(ISNUMBER(AB29),0.31868,-1))),AC29,"")))</f>
        <v/>
      </c>
    </row>
    <row r="30">
      <c r="A30" s="5" t="inlineStr">
        <is>
          <t>2026/07/13</t>
        </is>
      </c>
      <c r="B30" s="5" t="n">
        <v>160.15</v>
      </c>
      <c r="C30" s="5">
        <f>IF(AND(ISNUMBER(B30),ISNUMBER(B31)),(B30/B31-1)*100,"")</f>
        <v/>
      </c>
      <c r="D30" s="5" t="n">
        <v>64.5</v>
      </c>
      <c r="E30" s="5">
        <f>IF(AND(ISNUMBER(D30),ISNUMBER(D31)),(D30/D31-1)*100,"")</f>
        <v/>
      </c>
      <c r="F30" s="5" t="n">
        <v>79.1358</v>
      </c>
      <c r="G30" s="5">
        <f>IF(AND(ISNUMBER(F30),ISNUMBER(F31)),(F30/F31-1)*100,"")</f>
        <v/>
      </c>
      <c r="H30" s="5" t="n">
        <v>56.07</v>
      </c>
      <c r="I30" s="5">
        <f>IF(AND(ISNUMBER(H30),ISNUMBER(H31)),(H30/H31-1)*100,"")</f>
        <v/>
      </c>
      <c r="J30" s="5" t="n">
        <v>73.37</v>
      </c>
      <c r="K30" s="5">
        <f>IF(AND(ISNUMBER(J30),ISNUMBER(J31)),(J30/J31-1)*100,"")</f>
        <v/>
      </c>
      <c r="L30" s="5" t="n">
        <v>14.1717</v>
      </c>
      <c r="M30" s="5">
        <f>IF(AND(ISNUMBER(L30),ISNUMBER(L31)),(L30/L31-1)*100,"")</f>
        <v/>
      </c>
      <c r="N30" s="5" t="n"/>
      <c r="O30" s="5">
        <f>IF(AND(ISNUMBER(N30),ISNUMBER(N31)),(N30/N31-1)*100,"")</f>
        <v/>
      </c>
      <c r="P30" s="5" t="n"/>
      <c r="Q30" s="5">
        <f>IF(AND(ISNUMBER(P30),ISNUMBER(P31)),(P30/P31-1)*100,"")</f>
        <v/>
      </c>
      <c r="R30" s="5" t="n"/>
      <c r="S30" s="5">
        <f>IF(AND(ISNUMBER(R30),ISNUMBER(R31)),(R30/R31-1)*100,"")</f>
        <v/>
      </c>
      <c r="T30" s="5" t="n"/>
      <c r="U30" s="5">
        <f>IF(AND(ISNUMBER(T30),ISNUMBER(T31)),(T30/T31-1)*100,"")</f>
        <v/>
      </c>
      <c r="V30" s="5" t="n"/>
      <c r="W30" s="5">
        <f>IF(AND(V30&gt;0,C30&lt;=-2),C29,"")</f>
        <v/>
      </c>
      <c r="X30" s="5">
        <f>IF(AND(G30&gt;0,I30&lt;0,K30&gt;0),C29,"")</f>
        <v/>
      </c>
      <c r="Y30" s="5">
        <f>IF(AND(K30&lt;0,M30&gt;0),C29,"")</f>
        <v/>
      </c>
      <c r="Z30" s="5">
        <f>IF(AND(ISNUMBER(W30),0.549579&gt;=MAX(IF(ISNUMBER(X30),0.299732,-1),IF(ISNUMBER(Y30),0.323835,-1))),W30,IF(AND(ISNUMBER(X30),0.299732&gt;MAX(IF(ISNUMBER(W30),0.549579,-1),IF(ISNUMBER(Y30),0.323835,-1))),X30,IF(AND(ISNUMBER(Y30),0.323835&gt;MAX(IF(ISNUMBER(W30),0.549579,-1),IF(ISNUMBER(X30),0.299732,-1))),Y30,"")))</f>
        <v/>
      </c>
      <c r="AA30" s="5">
        <f>IF(AND(O30&lt;=-1,E30&lt;0),E29,"")</f>
        <v/>
      </c>
      <c r="AB30" s="5">
        <f>IF(AND(Q30&gt;0,S30&gt;0),E29,"")</f>
        <v/>
      </c>
      <c r="AC30" s="5">
        <f>IF(AND(S30&gt;0,U30&lt;0),E29,"")</f>
        <v/>
      </c>
      <c r="AD30" s="5">
        <f>IF(AND(ISNUMBER(AA30),0.408167&gt;=MAX(IF(ISNUMBER(AB30),0.31868,-1),IF(ISNUMBER(AC30),0.510996,-1))),AA30,IF(AND(ISNUMBER(AB30),0.31868&gt;MAX(IF(ISNUMBER(AA30),0.408167,-1),IF(ISNUMBER(AC30),0.510996,-1))),AB30,IF(AND(ISNUMBER(AC30),0.510996&gt;MAX(IF(ISNUMBER(AA30),0.408167,-1),IF(ISNUMBER(AB30),0.31868,-1))),AC30,"")))</f>
        <v/>
      </c>
    </row>
    <row r="31">
      <c r="A31" s="5" t="inlineStr">
        <is>
          <t>2026/07/10</t>
        </is>
      </c>
      <c r="B31" s="5" t="n">
        <v>166.49</v>
      </c>
      <c r="C31" s="5">
        <f>IF(AND(ISNUMBER(B31),ISNUMBER(B32)),(B31/B32-1)*100,"")</f>
        <v/>
      </c>
      <c r="D31" s="5" t="n">
        <v>66.90000000000001</v>
      </c>
      <c r="E31" s="5">
        <f>IF(AND(ISNUMBER(D31),ISNUMBER(D32)),(D31/D32-1)*100,"")</f>
        <v/>
      </c>
      <c r="F31" s="5" t="n">
        <v>79.3249</v>
      </c>
      <c r="G31" s="5">
        <f>IF(AND(ISNUMBER(F31),ISNUMBER(F32)),(F31/F32-1)*100,"")</f>
        <v/>
      </c>
      <c r="H31" s="5" t="n">
        <v>55.71</v>
      </c>
      <c r="I31" s="5">
        <f>IF(AND(ISNUMBER(H31),ISNUMBER(H32)),(H31/H32-1)*100,"")</f>
        <v/>
      </c>
      <c r="J31" s="5" t="n">
        <v>75.53</v>
      </c>
      <c r="K31" s="5">
        <f>IF(AND(ISNUMBER(J31),ISNUMBER(J32)),(J31/J32-1)*100,"")</f>
        <v/>
      </c>
      <c r="L31" s="5" t="n">
        <v>-5.1136</v>
      </c>
      <c r="M31" s="5">
        <f>IF(AND(ISNUMBER(L31),ISNUMBER(L32)),(L31/L32-1)*100,"")</f>
        <v/>
      </c>
      <c r="N31" s="5" t="n"/>
      <c r="O31" s="5">
        <f>IF(AND(ISNUMBER(N31),ISNUMBER(N32)),(N31/N32-1)*100,"")</f>
        <v/>
      </c>
      <c r="P31" s="5" t="n"/>
      <c r="Q31" s="5">
        <f>IF(AND(ISNUMBER(P31),ISNUMBER(P32)),(P31/P32-1)*100,"")</f>
        <v/>
      </c>
      <c r="R31" s="5" t="n"/>
      <c r="S31" s="5">
        <f>IF(AND(ISNUMBER(R31),ISNUMBER(R32)),(R31/R32-1)*100,"")</f>
        <v/>
      </c>
      <c r="T31" s="5" t="n"/>
      <c r="U31" s="5">
        <f>IF(AND(ISNUMBER(T31),ISNUMBER(T32)),(T31/T32-1)*100,"")</f>
        <v/>
      </c>
      <c r="V31" s="5" t="n"/>
      <c r="W31" s="5">
        <f>IF(AND(V31&gt;0,C31&lt;=-2),C30,"")</f>
        <v/>
      </c>
      <c r="X31" s="5">
        <f>IF(AND(G31&gt;0,I31&lt;0,K31&gt;0),C30,"")</f>
        <v/>
      </c>
      <c r="Y31" s="5">
        <f>IF(AND(K31&lt;0,M31&gt;0),C30,"")</f>
        <v/>
      </c>
      <c r="Z31" s="5">
        <f>IF(AND(ISNUMBER(W31),0.549579&gt;=MAX(IF(ISNUMBER(X31),0.299732,-1),IF(ISNUMBER(Y31),0.323835,-1))),W31,IF(AND(ISNUMBER(X31),0.299732&gt;MAX(IF(ISNUMBER(W31),0.549579,-1),IF(ISNUMBER(Y31),0.323835,-1))),X31,IF(AND(ISNUMBER(Y31),0.323835&gt;MAX(IF(ISNUMBER(W31),0.549579,-1),IF(ISNUMBER(X31),0.299732,-1))),Y31,"")))</f>
        <v/>
      </c>
      <c r="AA31" s="5">
        <f>IF(AND(O31&lt;=-1,E31&lt;0),E30,"")</f>
        <v/>
      </c>
      <c r="AB31" s="5">
        <f>IF(AND(Q31&gt;0,S31&gt;0),E30,"")</f>
        <v/>
      </c>
      <c r="AC31" s="5">
        <f>IF(AND(S31&gt;0,U31&lt;0),E30,"")</f>
        <v/>
      </c>
      <c r="AD31" s="5">
        <f>IF(AND(ISNUMBER(AA31),0.408167&gt;=MAX(IF(ISNUMBER(AB31),0.31868,-1),IF(ISNUMBER(AC31),0.510996,-1))),AA31,IF(AND(ISNUMBER(AB31),0.31868&gt;MAX(IF(ISNUMBER(AA31),0.408167,-1),IF(ISNUMBER(AC31),0.510996,-1))),AB31,IF(AND(ISNUMBER(AC31),0.510996&gt;MAX(IF(ISNUMBER(AA31),0.408167,-1),IF(ISNUMBER(AB31),0.31868,-1))),AC31,"")))</f>
        <v/>
      </c>
    </row>
    <row r="32">
      <c r="A32" s="5" t="inlineStr">
        <is>
          <t>2026/07/09</t>
        </is>
      </c>
      <c r="B32" s="5" t="n">
        <v>165.43</v>
      </c>
      <c r="C32" s="5">
        <f>IF(AND(ISNUMBER(B32),ISNUMBER(B33)),(B32/B33-1)*100,"")</f>
        <v/>
      </c>
      <c r="D32" s="5" t="n">
        <v>66.78</v>
      </c>
      <c r="E32" s="5">
        <f>IF(AND(ISNUMBER(D32),ISNUMBER(D33)),(D32/D33-1)*100,"")</f>
        <v/>
      </c>
      <c r="F32" s="5" t="n">
        <v>79.3647</v>
      </c>
      <c r="G32" s="5">
        <f>IF(AND(ISNUMBER(F32),ISNUMBER(F33)),(F32/F33-1)*100,"")</f>
        <v/>
      </c>
      <c r="H32" s="5" t="n">
        <v>55.54</v>
      </c>
      <c r="I32" s="5">
        <f>IF(AND(ISNUMBER(H32),ISNUMBER(H33)),(H32/H33-1)*100,"")</f>
        <v/>
      </c>
      <c r="J32" s="5" t="n">
        <v>75.78</v>
      </c>
      <c r="K32" s="5">
        <f>IF(AND(ISNUMBER(J32),ISNUMBER(J33)),(J32/J33-1)*100,"")</f>
        <v/>
      </c>
      <c r="L32" s="5" t="n">
        <v>-6.2722</v>
      </c>
      <c r="M32" s="5">
        <f>IF(AND(ISNUMBER(L32),ISNUMBER(L33)),(L32/L33-1)*100,"")</f>
        <v/>
      </c>
      <c r="N32" s="5" t="n"/>
      <c r="O32" s="5">
        <f>IF(AND(ISNUMBER(N32),ISNUMBER(N33)),(N32/N33-1)*100,"")</f>
        <v/>
      </c>
      <c r="P32" s="5" t="n"/>
      <c r="Q32" s="5">
        <f>IF(AND(ISNUMBER(P32),ISNUMBER(P33)),(P32/P33-1)*100,"")</f>
        <v/>
      </c>
      <c r="R32" s="5" t="n"/>
      <c r="S32" s="5">
        <f>IF(AND(ISNUMBER(R32),ISNUMBER(R33)),(R32/R33-1)*100,"")</f>
        <v/>
      </c>
      <c r="T32" s="5" t="n"/>
      <c r="U32" s="5">
        <f>IF(AND(ISNUMBER(T32),ISNUMBER(T33)),(T32/T33-1)*100,"")</f>
        <v/>
      </c>
      <c r="V32" s="5" t="n"/>
      <c r="W32" s="5">
        <f>IF(AND(V32&gt;0,C32&lt;=-2),C31,"")</f>
        <v/>
      </c>
      <c r="X32" s="5">
        <f>IF(AND(G32&gt;0,I32&lt;0,K32&gt;0),C31,"")</f>
        <v/>
      </c>
      <c r="Y32" s="5">
        <f>IF(AND(K32&lt;0,M32&gt;0),C31,"")</f>
        <v/>
      </c>
      <c r="Z32" s="5">
        <f>IF(AND(ISNUMBER(W32),0.549579&gt;=MAX(IF(ISNUMBER(X32),0.299732,-1),IF(ISNUMBER(Y32),0.323835,-1))),W32,IF(AND(ISNUMBER(X32),0.299732&gt;MAX(IF(ISNUMBER(W32),0.549579,-1),IF(ISNUMBER(Y32),0.323835,-1))),X32,IF(AND(ISNUMBER(Y32),0.323835&gt;MAX(IF(ISNUMBER(W32),0.549579,-1),IF(ISNUMBER(X32),0.299732,-1))),Y32,"")))</f>
        <v/>
      </c>
      <c r="AA32" s="5">
        <f>IF(AND(O32&lt;=-1,E32&lt;0),E31,"")</f>
        <v/>
      </c>
      <c r="AB32" s="5">
        <f>IF(AND(Q32&gt;0,S32&gt;0),E31,"")</f>
        <v/>
      </c>
      <c r="AC32" s="5">
        <f>IF(AND(S32&gt;0,U32&lt;0),E31,"")</f>
        <v/>
      </c>
      <c r="AD32" s="5">
        <f>IF(AND(ISNUMBER(AA32),0.408167&gt;=MAX(IF(ISNUMBER(AB32),0.31868,-1),IF(ISNUMBER(AC32),0.510996,-1))),AA32,IF(AND(ISNUMBER(AB32),0.31868&gt;MAX(IF(ISNUMBER(AA32),0.408167,-1),IF(ISNUMBER(AC32),0.510996,-1))),AB32,IF(AND(ISNUMBER(AC32),0.510996&gt;MAX(IF(ISNUMBER(AA32),0.408167,-1),IF(ISNUMBER(AB32),0.31868,-1))),AC32,"")))</f>
        <v/>
      </c>
    </row>
    <row r="33">
      <c r="A33" s="5" t="inlineStr">
        <is>
          <t>2026/07/08</t>
        </is>
      </c>
      <c r="B33" s="5" t="n">
        <v>160.25</v>
      </c>
      <c r="C33" s="5">
        <f>IF(AND(ISNUMBER(B33),ISNUMBER(B34)),(B33/B34-1)*100,"")</f>
        <v/>
      </c>
      <c r="D33" s="5" t="n">
        <v>66.23</v>
      </c>
      <c r="E33" s="5">
        <f>IF(AND(ISNUMBER(D33),ISNUMBER(D34)),(D33/D34-1)*100,"")</f>
        <v/>
      </c>
      <c r="F33" s="5" t="n">
        <v>79.27509999999999</v>
      </c>
      <c r="G33" s="5">
        <f>IF(AND(ISNUMBER(F33),ISNUMBER(F34)),(F33/F34-1)*100,"")</f>
        <v/>
      </c>
      <c r="H33" s="5" t="n">
        <v>54.97</v>
      </c>
      <c r="I33" s="5">
        <f>IF(AND(ISNUMBER(H33),ISNUMBER(H34)),(H33/H34-1)*100,"")</f>
        <v/>
      </c>
      <c r="J33" s="5" t="n">
        <v>73.53</v>
      </c>
      <c r="K33" s="5">
        <f>IF(AND(ISNUMBER(J33),ISNUMBER(J34)),(J33/J34-1)*100,"")</f>
        <v/>
      </c>
      <c r="L33" s="5" t="n">
        <v>4.7737</v>
      </c>
      <c r="M33" s="5">
        <f>IF(AND(ISNUMBER(L33),ISNUMBER(L34)),(L33/L34-1)*100,"")</f>
        <v/>
      </c>
      <c r="N33" s="5" t="n"/>
      <c r="O33" s="5">
        <f>IF(AND(ISNUMBER(N33),ISNUMBER(N34)),(N33/N34-1)*100,"")</f>
        <v/>
      </c>
      <c r="P33" s="5" t="n"/>
      <c r="Q33" s="5">
        <f>IF(AND(ISNUMBER(P33),ISNUMBER(P34)),(P33/P34-1)*100,"")</f>
        <v/>
      </c>
      <c r="R33" s="5" t="n"/>
      <c r="S33" s="5">
        <f>IF(AND(ISNUMBER(R33),ISNUMBER(R34)),(R33/R34-1)*100,"")</f>
        <v/>
      </c>
      <c r="T33" s="5" t="n"/>
      <c r="U33" s="5">
        <f>IF(AND(ISNUMBER(T33),ISNUMBER(T34)),(T33/T34-1)*100,"")</f>
        <v/>
      </c>
      <c r="V33" s="5" t="n"/>
      <c r="W33" s="5">
        <f>IF(AND(V33&gt;0,C33&lt;=-2),C32,"")</f>
        <v/>
      </c>
      <c r="X33" s="5">
        <f>IF(AND(G33&gt;0,I33&lt;0,K33&gt;0),C32,"")</f>
        <v/>
      </c>
      <c r="Y33" s="5">
        <f>IF(AND(K33&lt;0,M33&gt;0),C32,"")</f>
        <v/>
      </c>
      <c r="Z33" s="5">
        <f>IF(AND(ISNUMBER(W33),0.549579&gt;=MAX(IF(ISNUMBER(X33),0.299732,-1),IF(ISNUMBER(Y33),0.323835,-1))),W33,IF(AND(ISNUMBER(X33),0.299732&gt;MAX(IF(ISNUMBER(W33),0.549579,-1),IF(ISNUMBER(Y33),0.323835,-1))),X33,IF(AND(ISNUMBER(Y33),0.323835&gt;MAX(IF(ISNUMBER(W33),0.549579,-1),IF(ISNUMBER(X33),0.299732,-1))),Y33,"")))</f>
        <v/>
      </c>
      <c r="AA33" s="5">
        <f>IF(AND(O33&lt;=-1,E33&lt;0),E32,"")</f>
        <v/>
      </c>
      <c r="AB33" s="5">
        <f>IF(AND(Q33&gt;0,S33&gt;0),E32,"")</f>
        <v/>
      </c>
      <c r="AC33" s="5">
        <f>IF(AND(S33&gt;0,U33&lt;0),E32,"")</f>
        <v/>
      </c>
      <c r="AD33" s="5">
        <f>IF(AND(ISNUMBER(AA33),0.408167&gt;=MAX(IF(ISNUMBER(AB33),0.31868,-1),IF(ISNUMBER(AC33),0.510996,-1))),AA33,IF(AND(ISNUMBER(AB33),0.31868&gt;MAX(IF(ISNUMBER(AA33),0.408167,-1),IF(ISNUMBER(AC33),0.510996,-1))),AB33,IF(AND(ISNUMBER(AC33),0.510996&gt;MAX(IF(ISNUMBER(AA33),0.408167,-1),IF(ISNUMBER(AB33),0.31868,-1))),AC33,"")))</f>
        <v/>
      </c>
    </row>
    <row r="34">
      <c r="A34" s="5" t="inlineStr">
        <is>
          <t>2026/07/07</t>
        </is>
      </c>
      <c r="B34" s="5" t="n">
        <v>159.4</v>
      </c>
      <c r="C34" s="5">
        <f>IF(AND(ISNUMBER(B34),ISNUMBER(B35)),(B34/B35-1)*100,"")</f>
        <v/>
      </c>
      <c r="D34" s="5" t="n">
        <v>65.72</v>
      </c>
      <c r="E34" s="5">
        <f>IF(AND(ISNUMBER(D34),ISNUMBER(D35)),(D34/D35-1)*100,"")</f>
        <v/>
      </c>
      <c r="F34" s="5" t="n">
        <v>79.3746</v>
      </c>
      <c r="G34" s="5">
        <f>IF(AND(ISNUMBER(F34),ISNUMBER(F35)),(F34/F35-1)*100,"")</f>
        <v/>
      </c>
      <c r="H34" s="5" t="n">
        <v>56.05</v>
      </c>
      <c r="I34" s="5">
        <f>IF(AND(ISNUMBER(H34),ISNUMBER(H35)),(H34/H35-1)*100,"")</f>
        <v/>
      </c>
      <c r="J34" s="5" t="n">
        <v>75.76000000000001</v>
      </c>
      <c r="K34" s="5">
        <f>IF(AND(ISNUMBER(J34),ISNUMBER(J35)),(J34/J35-1)*100,"")</f>
        <v/>
      </c>
      <c r="L34" s="5" t="n">
        <v>3.5967</v>
      </c>
      <c r="M34" s="5">
        <f>IF(AND(ISNUMBER(L34),ISNUMBER(L35)),(L34/L35-1)*100,"")</f>
        <v/>
      </c>
      <c r="N34" s="5" t="n"/>
      <c r="O34" s="5">
        <f>IF(AND(ISNUMBER(N34),ISNUMBER(N35)),(N34/N35-1)*100,"")</f>
        <v/>
      </c>
      <c r="P34" s="5" t="n"/>
      <c r="Q34" s="5">
        <f>IF(AND(ISNUMBER(P34),ISNUMBER(P35)),(P34/P35-1)*100,"")</f>
        <v/>
      </c>
      <c r="R34" s="5" t="n"/>
      <c r="S34" s="5">
        <f>IF(AND(ISNUMBER(R34),ISNUMBER(R35)),(R34/R35-1)*100,"")</f>
        <v/>
      </c>
      <c r="T34" s="5" t="n"/>
      <c r="U34" s="5">
        <f>IF(AND(ISNUMBER(T34),ISNUMBER(T35)),(T34/T35-1)*100,"")</f>
        <v/>
      </c>
      <c r="V34" s="5" t="n"/>
      <c r="W34" s="5">
        <f>IF(AND(V34&gt;0,C34&lt;=-2),C33,"")</f>
        <v/>
      </c>
      <c r="X34" s="5">
        <f>IF(AND(G34&gt;0,I34&lt;0,K34&gt;0),C33,"")</f>
        <v/>
      </c>
      <c r="Y34" s="5">
        <f>IF(AND(K34&lt;0,M34&gt;0),C33,"")</f>
        <v/>
      </c>
      <c r="Z34" s="5">
        <f>IF(AND(ISNUMBER(W34),0.549579&gt;=MAX(IF(ISNUMBER(X34),0.299732,-1),IF(ISNUMBER(Y34),0.323835,-1))),W34,IF(AND(ISNUMBER(X34),0.299732&gt;MAX(IF(ISNUMBER(W34),0.549579,-1),IF(ISNUMBER(Y34),0.323835,-1))),X34,IF(AND(ISNUMBER(Y34),0.323835&gt;MAX(IF(ISNUMBER(W34),0.549579,-1),IF(ISNUMBER(X34),0.299732,-1))),Y34,"")))</f>
        <v/>
      </c>
      <c r="AA34" s="5">
        <f>IF(AND(O34&lt;=-1,E34&lt;0),E33,"")</f>
        <v/>
      </c>
      <c r="AB34" s="5">
        <f>IF(AND(Q34&gt;0,S34&gt;0),E33,"")</f>
        <v/>
      </c>
      <c r="AC34" s="5">
        <f>IF(AND(S34&gt;0,U34&lt;0),E33,"")</f>
        <v/>
      </c>
      <c r="AD34" s="5">
        <f>IF(AND(ISNUMBER(AA34),0.408167&gt;=MAX(IF(ISNUMBER(AB34),0.31868,-1),IF(ISNUMBER(AC34),0.510996,-1))),AA34,IF(AND(ISNUMBER(AB34),0.31868&gt;MAX(IF(ISNUMBER(AA34),0.408167,-1),IF(ISNUMBER(AC34),0.510996,-1))),AB34,IF(AND(ISNUMBER(AC34),0.510996&gt;MAX(IF(ISNUMBER(AA34),0.408167,-1),IF(ISNUMBER(AB34),0.31868,-1))),AC34,"")))</f>
        <v/>
      </c>
    </row>
    <row r="35">
      <c r="A35" s="5" t="inlineStr">
        <is>
          <t>2026/07/06</t>
        </is>
      </c>
      <c r="B35" s="5" t="n">
        <v>165.32</v>
      </c>
      <c r="C35" s="5">
        <f>IF(AND(ISNUMBER(B35),ISNUMBER(B36)),(B35/B36-1)*100,"")</f>
        <v/>
      </c>
      <c r="D35" s="5" t="n">
        <v>67.56999999999999</v>
      </c>
      <c r="E35" s="5">
        <f>IF(AND(ISNUMBER(D35),ISNUMBER(D36)),(D35/D36-1)*100,"")</f>
        <v/>
      </c>
      <c r="F35" s="5" t="n">
        <v>79.4841</v>
      </c>
      <c r="G35" s="5">
        <f>IF(AND(ISNUMBER(F35),ISNUMBER(F36)),(F35/F36-1)*100,"")</f>
        <v/>
      </c>
      <c r="H35" s="5" t="n">
        <v>56.14</v>
      </c>
      <c r="I35" s="5">
        <f>IF(AND(ISNUMBER(H35),ISNUMBER(H36)),(H35/H36-1)*100,"")</f>
        <v/>
      </c>
      <c r="J35" s="5" t="n">
        <v>78.73999999999999</v>
      </c>
      <c r="K35" s="5">
        <f>IF(AND(ISNUMBER(J35),ISNUMBER(J36)),(J35/J36-1)*100,"")</f>
        <v/>
      </c>
      <c r="L35" s="5" t="n">
        <v>-3.5913</v>
      </c>
      <c r="M35" s="5">
        <f>IF(AND(ISNUMBER(L35),ISNUMBER(L36)),(L35/L36-1)*100,"")</f>
        <v/>
      </c>
      <c r="N35" s="5" t="n"/>
      <c r="O35" s="5">
        <f>IF(AND(ISNUMBER(N35),ISNUMBER(N36)),(N35/N36-1)*100,"")</f>
        <v/>
      </c>
      <c r="P35" s="5" t="n"/>
      <c r="Q35" s="5">
        <f>IF(AND(ISNUMBER(P35),ISNUMBER(P36)),(P35/P36-1)*100,"")</f>
        <v/>
      </c>
      <c r="R35" s="5" t="n"/>
      <c r="S35" s="5">
        <f>IF(AND(ISNUMBER(R35),ISNUMBER(R36)),(R35/R36-1)*100,"")</f>
        <v/>
      </c>
      <c r="T35" s="5" t="n"/>
      <c r="U35" s="5">
        <f>IF(AND(ISNUMBER(T35),ISNUMBER(T36)),(T35/T36-1)*100,"")</f>
        <v/>
      </c>
      <c r="V35" s="5" t="n"/>
      <c r="W35" s="5">
        <f>IF(AND(V35&gt;0,C35&lt;=-2),C34,"")</f>
        <v/>
      </c>
      <c r="X35" s="5">
        <f>IF(AND(G35&gt;0,I35&lt;0,K35&gt;0),C34,"")</f>
        <v/>
      </c>
      <c r="Y35" s="5">
        <f>IF(AND(K35&lt;0,M35&gt;0),C34,"")</f>
        <v/>
      </c>
      <c r="Z35" s="5">
        <f>IF(AND(ISNUMBER(W35),0.549579&gt;=MAX(IF(ISNUMBER(X35),0.299732,-1),IF(ISNUMBER(Y35),0.323835,-1))),W35,IF(AND(ISNUMBER(X35),0.299732&gt;MAX(IF(ISNUMBER(W35),0.549579,-1),IF(ISNUMBER(Y35),0.323835,-1))),X35,IF(AND(ISNUMBER(Y35),0.323835&gt;MAX(IF(ISNUMBER(W35),0.549579,-1),IF(ISNUMBER(X35),0.299732,-1))),Y35,"")))</f>
        <v/>
      </c>
      <c r="AA35" s="5">
        <f>IF(AND(O35&lt;=-1,E35&lt;0),E34,"")</f>
        <v/>
      </c>
      <c r="AB35" s="5">
        <f>IF(AND(Q35&gt;0,S35&gt;0),E34,"")</f>
        <v/>
      </c>
      <c r="AC35" s="5">
        <f>IF(AND(S35&gt;0,U35&lt;0),E34,"")</f>
        <v/>
      </c>
      <c r="AD35" s="5">
        <f>IF(AND(ISNUMBER(AA35),0.408167&gt;=MAX(IF(ISNUMBER(AB35),0.31868,-1),IF(ISNUMBER(AC35),0.510996,-1))),AA35,IF(AND(ISNUMBER(AB35),0.31868&gt;MAX(IF(ISNUMBER(AA35),0.408167,-1),IF(ISNUMBER(AC35),0.510996,-1))),AB35,IF(AND(ISNUMBER(AC35),0.510996&gt;MAX(IF(ISNUMBER(AA35),0.408167,-1),IF(ISNUMBER(AB35),0.31868,-1))),AC35,"")))</f>
        <v/>
      </c>
    </row>
    <row r="36">
      <c r="A36" s="5" t="inlineStr">
        <is>
          <t>2026/07/02</t>
        </is>
      </c>
      <c r="B36" s="5" t="n">
        <v>161.26</v>
      </c>
      <c r="C36" s="5">
        <f>IF(AND(ISNUMBER(B36),ISNUMBER(B37)),(B36/B37-1)*100,"")</f>
        <v/>
      </c>
      <c r="D36" s="5" t="n">
        <v>65.7</v>
      </c>
      <c r="E36" s="5">
        <f>IF(AND(ISNUMBER(D36),ISNUMBER(D37)),(D36/D37-1)*100,"")</f>
        <v/>
      </c>
      <c r="F36" s="5" t="n">
        <v>79.3249</v>
      </c>
      <c r="G36" s="5">
        <f>IF(AND(ISNUMBER(F36),ISNUMBER(F37)),(F36/F37-1)*100,"")</f>
        <v/>
      </c>
      <c r="H36" s="5" t="n">
        <v>55.62</v>
      </c>
      <c r="I36" s="5">
        <f>IF(AND(ISNUMBER(H36),ISNUMBER(H37)),(H36/H37-1)*100,"")</f>
        <v/>
      </c>
      <c r="J36" s="5" t="n">
        <v>78.43000000000001</v>
      </c>
      <c r="K36" s="5">
        <f>IF(AND(ISNUMBER(J36),ISNUMBER(J37)),(J36/J37-1)*100,"")</f>
        <v/>
      </c>
      <c r="L36" s="5" t="n">
        <v>-2.6522</v>
      </c>
      <c r="M36" s="5">
        <f>IF(AND(ISNUMBER(L36),ISNUMBER(L37)),(L36/L37-1)*100,"")</f>
        <v/>
      </c>
      <c r="N36" s="5" t="n"/>
      <c r="O36" s="5">
        <f>IF(AND(ISNUMBER(N36),ISNUMBER(N37)),(N36/N37-1)*100,"")</f>
        <v/>
      </c>
      <c r="P36" s="5" t="n"/>
      <c r="Q36" s="5">
        <f>IF(AND(ISNUMBER(P36),ISNUMBER(P37)),(P36/P37-1)*100,"")</f>
        <v/>
      </c>
      <c r="R36" s="5" t="n"/>
      <c r="S36" s="5">
        <f>IF(AND(ISNUMBER(R36),ISNUMBER(R37)),(R36/R37-1)*100,"")</f>
        <v/>
      </c>
      <c r="T36" s="5" t="n"/>
      <c r="U36" s="5">
        <f>IF(AND(ISNUMBER(T36),ISNUMBER(T37)),(T36/T37-1)*100,"")</f>
        <v/>
      </c>
      <c r="V36" s="5" t="n"/>
      <c r="W36" s="5">
        <f>IF(AND(V36&gt;0,C36&lt;=-2),C35,"")</f>
        <v/>
      </c>
      <c r="X36" s="5">
        <f>IF(AND(G36&gt;0,I36&lt;0,K36&gt;0),C35,"")</f>
        <v/>
      </c>
      <c r="Y36" s="5">
        <f>IF(AND(K36&lt;0,M36&gt;0),C35,"")</f>
        <v/>
      </c>
      <c r="Z36" s="5">
        <f>IF(AND(ISNUMBER(W36),0.549579&gt;=MAX(IF(ISNUMBER(X36),0.299732,-1),IF(ISNUMBER(Y36),0.323835,-1))),W36,IF(AND(ISNUMBER(X36),0.299732&gt;MAX(IF(ISNUMBER(W36),0.549579,-1),IF(ISNUMBER(Y36),0.323835,-1))),X36,IF(AND(ISNUMBER(Y36),0.323835&gt;MAX(IF(ISNUMBER(W36),0.549579,-1),IF(ISNUMBER(X36),0.299732,-1))),Y36,"")))</f>
        <v/>
      </c>
      <c r="AA36" s="5">
        <f>IF(AND(O36&lt;=-1,E36&lt;0),E35,"")</f>
        <v/>
      </c>
      <c r="AB36" s="5">
        <f>IF(AND(Q36&gt;0,S36&gt;0),E35,"")</f>
        <v/>
      </c>
      <c r="AC36" s="5">
        <f>IF(AND(S36&gt;0,U36&lt;0),E35,"")</f>
        <v/>
      </c>
      <c r="AD36" s="5">
        <f>IF(AND(ISNUMBER(AA36),0.408167&gt;=MAX(IF(ISNUMBER(AB36),0.31868,-1),IF(ISNUMBER(AC36),0.510996,-1))),AA36,IF(AND(ISNUMBER(AB36),0.31868&gt;MAX(IF(ISNUMBER(AA36),0.408167,-1),IF(ISNUMBER(AC36),0.510996,-1))),AB36,IF(AND(ISNUMBER(AC36),0.510996&gt;MAX(IF(ISNUMBER(AA36),0.408167,-1),IF(ISNUMBER(AB36),0.31868,-1))),AC36,"")))</f>
        <v/>
      </c>
    </row>
    <row r="37">
      <c r="A37" s="5" t="inlineStr">
        <is>
          <t>2026/07/01</t>
        </is>
      </c>
      <c r="B37" s="5" t="n">
        <v>166.74</v>
      </c>
      <c r="C37" s="5">
        <f>IF(AND(ISNUMBER(B37),ISNUMBER(B38)),(B37/B38-1)*100,"")</f>
        <v/>
      </c>
      <c r="D37" s="5" t="n">
        <v>66.48</v>
      </c>
      <c r="E37" s="5">
        <f>IF(AND(ISNUMBER(D37),ISNUMBER(D38)),(D37/D38-1)*100,"")</f>
        <v/>
      </c>
      <c r="F37" s="5" t="n">
        <v>79.2055</v>
      </c>
      <c r="G37" s="5">
        <f>IF(AND(ISNUMBER(F37),ISNUMBER(F38)),(F37/F38-1)*100,"")</f>
        <v/>
      </c>
      <c r="H37" s="5" t="n">
        <v>54.78</v>
      </c>
      <c r="I37" s="5">
        <f>IF(AND(ISNUMBER(H37),ISNUMBER(H38)),(H37/H38-1)*100,"")</f>
        <v/>
      </c>
      <c r="J37" s="5" t="n">
        <v>75.06999999999999</v>
      </c>
      <c r="K37" s="5">
        <f>IF(AND(ISNUMBER(J37),ISNUMBER(J38)),(J37/J38-1)*100,"")</f>
        <v/>
      </c>
      <c r="L37" s="5" t="n">
        <v>0.8511</v>
      </c>
      <c r="M37" s="5">
        <f>IF(AND(ISNUMBER(L37),ISNUMBER(L38)),(L37/L38-1)*100,"")</f>
        <v/>
      </c>
      <c r="N37" s="5" t="n"/>
      <c r="O37" s="5">
        <f>IF(AND(ISNUMBER(N37),ISNUMBER(N38)),(N37/N38-1)*100,"")</f>
        <v/>
      </c>
      <c r="P37" s="5" t="n"/>
      <c r="Q37" s="5">
        <f>IF(AND(ISNUMBER(P37),ISNUMBER(P38)),(P37/P38-1)*100,"")</f>
        <v/>
      </c>
      <c r="R37" s="5" t="n"/>
      <c r="S37" s="5">
        <f>IF(AND(ISNUMBER(R37),ISNUMBER(R38)),(R37/R38-1)*100,"")</f>
        <v/>
      </c>
      <c r="T37" s="5" t="n"/>
      <c r="U37" s="5">
        <f>IF(AND(ISNUMBER(T37),ISNUMBER(T38)),(T37/T38-1)*100,"")</f>
        <v/>
      </c>
      <c r="V37" s="5" t="n"/>
      <c r="W37" s="5">
        <f>IF(AND(V37&gt;0,C37&lt;=-2),C36,"")</f>
        <v/>
      </c>
      <c r="X37" s="5">
        <f>IF(AND(G37&gt;0,I37&lt;0,K37&gt;0),C36,"")</f>
        <v/>
      </c>
      <c r="Y37" s="5">
        <f>IF(AND(K37&lt;0,M37&gt;0),C36,"")</f>
        <v/>
      </c>
      <c r="Z37" s="5">
        <f>IF(AND(ISNUMBER(W37),0.549579&gt;=MAX(IF(ISNUMBER(X37),0.299732,-1),IF(ISNUMBER(Y37),0.323835,-1))),W37,IF(AND(ISNUMBER(X37),0.299732&gt;MAX(IF(ISNUMBER(W37),0.549579,-1),IF(ISNUMBER(Y37),0.323835,-1))),X37,IF(AND(ISNUMBER(Y37),0.323835&gt;MAX(IF(ISNUMBER(W37),0.549579,-1),IF(ISNUMBER(X37),0.299732,-1))),Y37,"")))</f>
        <v/>
      </c>
      <c r="AA37" s="5">
        <f>IF(AND(O37&lt;=-1,E37&lt;0),E36,"")</f>
        <v/>
      </c>
      <c r="AB37" s="5">
        <f>IF(AND(Q37&gt;0,S37&gt;0),E36,"")</f>
        <v/>
      </c>
      <c r="AC37" s="5">
        <f>IF(AND(S37&gt;0,U37&lt;0),E36,"")</f>
        <v/>
      </c>
      <c r="AD37" s="5">
        <f>IF(AND(ISNUMBER(AA37),0.408167&gt;=MAX(IF(ISNUMBER(AB37),0.31868,-1),IF(ISNUMBER(AC37),0.510996,-1))),AA37,IF(AND(ISNUMBER(AB37),0.31868&gt;MAX(IF(ISNUMBER(AA37),0.408167,-1),IF(ISNUMBER(AC37),0.510996,-1))),AB37,IF(AND(ISNUMBER(AC37),0.510996&gt;MAX(IF(ISNUMBER(AA37),0.408167,-1),IF(ISNUMBER(AB37),0.31868,-1))),AC37,"")))</f>
        <v/>
      </c>
    </row>
    <row r="38">
      <c r="A38" s="5" t="inlineStr">
        <is>
          <t>2026/06/30</t>
        </is>
      </c>
      <c r="B38" s="5" t="n">
        <v>172.04</v>
      </c>
      <c r="C38" s="5">
        <f>IF(AND(ISNUMBER(B38),ISNUMBER(B39)),(B38/B39-1)*100,"")</f>
        <v/>
      </c>
      <c r="D38" s="5" t="n">
        <v>68.41</v>
      </c>
      <c r="E38" s="5">
        <f>IF(AND(ISNUMBER(D38),ISNUMBER(D39)),(D38/D39-1)*100,"")</f>
        <v/>
      </c>
      <c r="F38" s="5" t="n">
        <v>79.21639999999999</v>
      </c>
      <c r="G38" s="5">
        <f>IF(AND(ISNUMBER(F38),ISNUMBER(F39)),(F38/F39-1)*100,"")</f>
        <v/>
      </c>
      <c r="H38" s="5" t="n">
        <v>53.61</v>
      </c>
      <c r="I38" s="5">
        <f>IF(AND(ISNUMBER(H38),ISNUMBER(H39)),(H38/H39-1)*100,"")</f>
        <v/>
      </c>
      <c r="J38" s="5" t="n">
        <v>75.45</v>
      </c>
      <c r="K38" s="5">
        <f>IF(AND(ISNUMBER(J38),ISNUMBER(J39)),(J38/J39-1)*100,"")</f>
        <v/>
      </c>
      <c r="L38" s="5" t="n">
        <v>-6.7989</v>
      </c>
      <c r="M38" s="5">
        <f>IF(AND(ISNUMBER(L38),ISNUMBER(L39)),(L38/L39-1)*100,"")</f>
        <v/>
      </c>
      <c r="N38" s="5" t="n"/>
      <c r="O38" s="5">
        <f>IF(AND(ISNUMBER(N38),ISNUMBER(N39)),(N38/N39-1)*100,"")</f>
        <v/>
      </c>
      <c r="P38" s="5" t="n"/>
      <c r="Q38" s="5">
        <f>IF(AND(ISNUMBER(P38),ISNUMBER(P39)),(P38/P39-1)*100,"")</f>
        <v/>
      </c>
      <c r="R38" s="5" t="n"/>
      <c r="S38" s="5">
        <f>IF(AND(ISNUMBER(R38),ISNUMBER(R39)),(R38/R39-1)*100,"")</f>
        <v/>
      </c>
      <c r="T38" s="5" t="n"/>
      <c r="U38" s="5">
        <f>IF(AND(ISNUMBER(T38),ISNUMBER(T39)),(T38/T39-1)*100,"")</f>
        <v/>
      </c>
      <c r="V38" s="5" t="n"/>
      <c r="W38" s="5">
        <f>IF(AND(V38&gt;0,C38&lt;=-2),C37,"")</f>
        <v/>
      </c>
      <c r="X38" s="5">
        <f>IF(AND(G38&gt;0,I38&lt;0,K38&gt;0),C37,"")</f>
        <v/>
      </c>
      <c r="Y38" s="5">
        <f>IF(AND(K38&lt;0,M38&gt;0),C37,"")</f>
        <v/>
      </c>
      <c r="Z38" s="5">
        <f>IF(AND(ISNUMBER(W38),0.549579&gt;=MAX(IF(ISNUMBER(X38),0.299732,-1),IF(ISNUMBER(Y38),0.323835,-1))),W38,IF(AND(ISNUMBER(X38),0.299732&gt;MAX(IF(ISNUMBER(W38),0.549579,-1),IF(ISNUMBER(Y38),0.323835,-1))),X38,IF(AND(ISNUMBER(Y38),0.323835&gt;MAX(IF(ISNUMBER(W38),0.549579,-1),IF(ISNUMBER(X38),0.299732,-1))),Y38,"")))</f>
        <v/>
      </c>
      <c r="AA38" s="5">
        <f>IF(AND(O38&lt;=-1,E38&lt;0),E37,"")</f>
        <v/>
      </c>
      <c r="AB38" s="5">
        <f>IF(AND(Q38&gt;0,S38&gt;0),E37,"")</f>
        <v/>
      </c>
      <c r="AC38" s="5">
        <f>IF(AND(S38&gt;0,U38&lt;0),E37,"")</f>
        <v/>
      </c>
      <c r="AD38" s="5">
        <f>IF(AND(ISNUMBER(AA38),0.408167&gt;=MAX(IF(ISNUMBER(AB38),0.31868,-1),IF(ISNUMBER(AC38),0.510996,-1))),AA38,IF(AND(ISNUMBER(AB38),0.31868&gt;MAX(IF(ISNUMBER(AA38),0.408167,-1),IF(ISNUMBER(AC38),0.510996,-1))),AB38,IF(AND(ISNUMBER(AC38),0.510996&gt;MAX(IF(ISNUMBER(AA38),0.408167,-1),IF(ISNUMBER(AB38),0.31868,-1))),AC38,"")))</f>
        <v/>
      </c>
    </row>
    <row r="39">
      <c r="A39" s="5" t="inlineStr">
        <is>
          <t>2026/06/29</t>
        </is>
      </c>
      <c r="B39" s="5" t="n">
        <v>166.43</v>
      </c>
      <c r="C39" s="5">
        <f>IF(AND(ISNUMBER(B39),ISNUMBER(B40)),(B39/B40-1)*100,"")</f>
        <v/>
      </c>
      <c r="D39" s="5" t="n">
        <v>67.43000000000001</v>
      </c>
      <c r="E39" s="5">
        <f>IF(AND(ISNUMBER(D39),ISNUMBER(D40)),(D39/D40-1)*100,"")</f>
        <v/>
      </c>
      <c r="F39" s="5" t="n">
        <v>79.256</v>
      </c>
      <c r="G39" s="5">
        <f>IF(AND(ISNUMBER(F39),ISNUMBER(F40)),(F39/F40-1)*100,"")</f>
        <v/>
      </c>
      <c r="H39" s="5" t="n">
        <v>53.72</v>
      </c>
      <c r="I39" s="5">
        <f>IF(AND(ISNUMBER(H39),ISNUMBER(H40)),(H39/H40-1)*100,"")</f>
        <v/>
      </c>
      <c r="J39" s="5" t="n">
        <v>75.68000000000001</v>
      </c>
      <c r="K39" s="5">
        <f>IF(AND(ISNUMBER(J39),ISNUMBER(J40)),(J39/J40-1)*100,"")</f>
        <v/>
      </c>
      <c r="L39" s="5" t="n">
        <v>-4.1282</v>
      </c>
      <c r="M39" s="5">
        <f>IF(AND(ISNUMBER(L39),ISNUMBER(L40)),(L39/L40-1)*100,"")</f>
        <v/>
      </c>
      <c r="N39" s="5" t="n"/>
      <c r="O39" s="5">
        <f>IF(AND(ISNUMBER(N39),ISNUMBER(N40)),(N39/N40-1)*100,"")</f>
        <v/>
      </c>
      <c r="P39" s="5" t="n"/>
      <c r="Q39" s="5">
        <f>IF(AND(ISNUMBER(P39),ISNUMBER(P40)),(P39/P40-1)*100,"")</f>
        <v/>
      </c>
      <c r="R39" s="5" t="n"/>
      <c r="S39" s="5">
        <f>IF(AND(ISNUMBER(R39),ISNUMBER(R40)),(R39/R40-1)*100,"")</f>
        <v/>
      </c>
      <c r="T39" s="5" t="n"/>
      <c r="U39" s="5">
        <f>IF(AND(ISNUMBER(T39),ISNUMBER(T40)),(T39/T40-1)*100,"")</f>
        <v/>
      </c>
      <c r="V39" s="5" t="n"/>
      <c r="W39" s="5">
        <f>IF(AND(V39&gt;0,C39&lt;=-2),C38,"")</f>
        <v/>
      </c>
      <c r="X39" s="5">
        <f>IF(AND(G39&gt;0,I39&lt;0,K39&gt;0),C38,"")</f>
        <v/>
      </c>
      <c r="Y39" s="5">
        <f>IF(AND(K39&lt;0,M39&gt;0),C38,"")</f>
        <v/>
      </c>
      <c r="Z39" s="5">
        <f>IF(AND(ISNUMBER(W39),0.549579&gt;=MAX(IF(ISNUMBER(X39),0.299732,-1),IF(ISNUMBER(Y39),0.323835,-1))),W39,IF(AND(ISNUMBER(X39),0.299732&gt;MAX(IF(ISNUMBER(W39),0.549579,-1),IF(ISNUMBER(Y39),0.323835,-1))),X39,IF(AND(ISNUMBER(Y39),0.323835&gt;MAX(IF(ISNUMBER(W39),0.549579,-1),IF(ISNUMBER(X39),0.299732,-1))),Y39,"")))</f>
        <v/>
      </c>
      <c r="AA39" s="5">
        <f>IF(AND(O39&lt;=-1,E39&lt;0),E38,"")</f>
        <v/>
      </c>
      <c r="AB39" s="5">
        <f>IF(AND(Q39&gt;0,S39&gt;0),E38,"")</f>
        <v/>
      </c>
      <c r="AC39" s="5">
        <f>IF(AND(S39&gt;0,U39&lt;0),E38,"")</f>
        <v/>
      </c>
      <c r="AD39" s="5">
        <f>IF(AND(ISNUMBER(AA39),0.408167&gt;=MAX(IF(ISNUMBER(AB39),0.31868,-1),IF(ISNUMBER(AC39),0.510996,-1))),AA39,IF(AND(ISNUMBER(AB39),0.31868&gt;MAX(IF(ISNUMBER(AA39),0.408167,-1),IF(ISNUMBER(AC39),0.510996,-1))),AB39,IF(AND(ISNUMBER(AC39),0.510996&gt;MAX(IF(ISNUMBER(AA39),0.408167,-1),IF(ISNUMBER(AB39),0.31868,-1))),AC39,"")))</f>
        <v/>
      </c>
    </row>
    <row r="40">
      <c r="A40" s="5" t="inlineStr">
        <is>
          <t>2026/06/26</t>
        </is>
      </c>
      <c r="B40" s="5" t="n">
        <v>159.19</v>
      </c>
      <c r="C40" s="5">
        <f>IF(AND(ISNUMBER(B40),ISNUMBER(B41)),(B40/B41-1)*100,"")</f>
        <v/>
      </c>
      <c r="D40" s="5" t="n">
        <v>67.19</v>
      </c>
      <c r="E40" s="5">
        <f>IF(AND(ISNUMBER(D40),ISNUMBER(D41)),(D40/D41-1)*100,"")</f>
        <v/>
      </c>
      <c r="F40" s="5" t="n">
        <v>79.07769999999999</v>
      </c>
      <c r="G40" s="5">
        <f>IF(AND(ISNUMBER(F40),ISNUMBER(F41)),(F40/F41-1)*100,"")</f>
        <v/>
      </c>
      <c r="H40" s="5" t="n">
        <v>53.57</v>
      </c>
      <c r="I40" s="5">
        <f>IF(AND(ISNUMBER(H40),ISNUMBER(H41)),(H40/H41-1)*100,"")</f>
        <v/>
      </c>
      <c r="J40" s="5" t="n">
        <v>77</v>
      </c>
      <c r="K40" s="5">
        <f>IF(AND(ISNUMBER(J40),ISNUMBER(J41)),(J40/J41-1)*100,"")</f>
        <v/>
      </c>
      <c r="L40" s="5" t="n">
        <v>-2.541</v>
      </c>
      <c r="M40" s="5">
        <f>IF(AND(ISNUMBER(L40),ISNUMBER(L41)),(L40/L41-1)*100,"")</f>
        <v/>
      </c>
      <c r="N40" s="5" t="n"/>
      <c r="O40" s="5">
        <f>IF(AND(ISNUMBER(N40),ISNUMBER(N41)),(N40/N41-1)*100,"")</f>
        <v/>
      </c>
      <c r="P40" s="5" t="n"/>
      <c r="Q40" s="5">
        <f>IF(AND(ISNUMBER(P40),ISNUMBER(P41)),(P40/P41-1)*100,"")</f>
        <v/>
      </c>
      <c r="R40" s="5" t="n"/>
      <c r="S40" s="5">
        <f>IF(AND(ISNUMBER(R40),ISNUMBER(R41)),(R40/R41-1)*100,"")</f>
        <v/>
      </c>
      <c r="T40" s="5" t="n"/>
      <c r="U40" s="5">
        <f>IF(AND(ISNUMBER(T40),ISNUMBER(T41)),(T40/T41-1)*100,"")</f>
        <v/>
      </c>
      <c r="V40" s="5" t="n"/>
      <c r="W40" s="5">
        <f>IF(AND(V40&gt;0,C40&lt;=-2),C39,"")</f>
        <v/>
      </c>
      <c r="X40" s="5">
        <f>IF(AND(G40&gt;0,I40&lt;0,K40&gt;0),C39,"")</f>
        <v/>
      </c>
      <c r="Y40" s="5">
        <f>IF(AND(K40&lt;0,M40&gt;0),C39,"")</f>
        <v/>
      </c>
      <c r="Z40" s="5">
        <f>IF(AND(ISNUMBER(W40),0.549579&gt;=MAX(IF(ISNUMBER(X40),0.299732,-1),IF(ISNUMBER(Y40),0.323835,-1))),W40,IF(AND(ISNUMBER(X40),0.299732&gt;MAX(IF(ISNUMBER(W40),0.549579,-1),IF(ISNUMBER(Y40),0.323835,-1))),X40,IF(AND(ISNUMBER(Y40),0.323835&gt;MAX(IF(ISNUMBER(W40),0.549579,-1),IF(ISNUMBER(X40),0.299732,-1))),Y40,"")))</f>
        <v/>
      </c>
      <c r="AA40" s="5">
        <f>IF(AND(O40&lt;=-1,E40&lt;0),E39,"")</f>
        <v/>
      </c>
      <c r="AB40" s="5">
        <f>IF(AND(Q40&gt;0,S40&gt;0),E39,"")</f>
        <v/>
      </c>
      <c r="AC40" s="5">
        <f>IF(AND(S40&gt;0,U40&lt;0),E39,"")</f>
        <v/>
      </c>
      <c r="AD40" s="5">
        <f>IF(AND(ISNUMBER(AA40),0.408167&gt;=MAX(IF(ISNUMBER(AB40),0.31868,-1),IF(ISNUMBER(AC40),0.510996,-1))),AA40,IF(AND(ISNUMBER(AB40),0.31868&gt;MAX(IF(ISNUMBER(AA40),0.408167,-1),IF(ISNUMBER(AC40),0.510996,-1))),AB40,IF(AND(ISNUMBER(AC40),0.510996&gt;MAX(IF(ISNUMBER(AA40),0.408167,-1),IF(ISNUMBER(AB40),0.31868,-1))),AC40,"")))</f>
        <v/>
      </c>
    </row>
    <row r="41">
      <c r="A41" s="5" t="inlineStr">
        <is>
          <t>2026/06/25</t>
        </is>
      </c>
      <c r="B41" s="5" t="n">
        <v>162.93</v>
      </c>
      <c r="C41" s="5">
        <f>IF(AND(ISNUMBER(B41),ISNUMBER(B42)),(B41/B42-1)*100,"")</f>
        <v/>
      </c>
      <c r="D41" s="5" t="n">
        <v>67.95999999999999</v>
      </c>
      <c r="E41" s="5">
        <f>IF(AND(ISNUMBER(D41),ISNUMBER(D42)),(D41/D42-1)*100,"")</f>
        <v/>
      </c>
      <c r="F41" s="5" t="n">
        <v>79.12730000000001</v>
      </c>
      <c r="G41" s="5">
        <f>IF(AND(ISNUMBER(F41),ISNUMBER(F42)),(F41/F42-1)*100,"")</f>
        <v/>
      </c>
      <c r="H41" s="5" t="n">
        <v>53.45</v>
      </c>
      <c r="I41" s="5">
        <f>IF(AND(ISNUMBER(H41),ISNUMBER(H42)),(H41/H42-1)*100,"")</f>
        <v/>
      </c>
      <c r="J41" s="5" t="n">
        <v>75.67</v>
      </c>
      <c r="K41" s="5">
        <f>IF(AND(ISNUMBER(J41),ISNUMBER(J42)),(J41/J42-1)*100,"")</f>
        <v/>
      </c>
      <c r="L41" s="5" t="n">
        <v>1.3956</v>
      </c>
      <c r="M41" s="5">
        <f>IF(AND(ISNUMBER(L41),ISNUMBER(L42)),(L41/L42-1)*100,"")</f>
        <v/>
      </c>
      <c r="N41" s="5" t="n"/>
      <c r="O41" s="5">
        <f>IF(AND(ISNUMBER(N41),ISNUMBER(N42)),(N41/N42-1)*100,"")</f>
        <v/>
      </c>
      <c r="P41" s="5" t="n"/>
      <c r="Q41" s="5">
        <f>IF(AND(ISNUMBER(P41),ISNUMBER(P42)),(P41/P42-1)*100,"")</f>
        <v/>
      </c>
      <c r="R41" s="5" t="n"/>
      <c r="S41" s="5">
        <f>IF(AND(ISNUMBER(R41),ISNUMBER(R42)),(R41/R42-1)*100,"")</f>
        <v/>
      </c>
      <c r="T41" s="5" t="n"/>
      <c r="U41" s="5">
        <f>IF(AND(ISNUMBER(T41),ISNUMBER(T42)),(T41/T42-1)*100,"")</f>
        <v/>
      </c>
      <c r="V41" s="5" t="n"/>
      <c r="W41" s="5">
        <f>IF(AND(V41&gt;0,C41&lt;=-2),C40,"")</f>
        <v/>
      </c>
      <c r="X41" s="5">
        <f>IF(AND(G41&gt;0,I41&lt;0,K41&gt;0),C40,"")</f>
        <v/>
      </c>
      <c r="Y41" s="5">
        <f>IF(AND(K41&lt;0,M41&gt;0),C40,"")</f>
        <v/>
      </c>
      <c r="Z41" s="5">
        <f>IF(AND(ISNUMBER(W41),0.549579&gt;=MAX(IF(ISNUMBER(X41),0.299732,-1),IF(ISNUMBER(Y41),0.323835,-1))),W41,IF(AND(ISNUMBER(X41),0.299732&gt;MAX(IF(ISNUMBER(W41),0.549579,-1),IF(ISNUMBER(Y41),0.323835,-1))),X41,IF(AND(ISNUMBER(Y41),0.323835&gt;MAX(IF(ISNUMBER(W41),0.549579,-1),IF(ISNUMBER(X41),0.299732,-1))),Y41,"")))</f>
        <v/>
      </c>
      <c r="AA41" s="5">
        <f>IF(AND(O41&lt;=-1,E41&lt;0),E40,"")</f>
        <v/>
      </c>
      <c r="AB41" s="5">
        <f>IF(AND(Q41&gt;0,S41&gt;0),E40,"")</f>
        <v/>
      </c>
      <c r="AC41" s="5">
        <f>IF(AND(S41&gt;0,U41&lt;0),E40,"")</f>
        <v/>
      </c>
      <c r="AD41" s="5">
        <f>IF(AND(ISNUMBER(AA41),0.408167&gt;=MAX(IF(ISNUMBER(AB41),0.31868,-1),IF(ISNUMBER(AC41),0.510996,-1))),AA41,IF(AND(ISNUMBER(AB41),0.31868&gt;MAX(IF(ISNUMBER(AA41),0.408167,-1),IF(ISNUMBER(AC41),0.510996,-1))),AB41,IF(AND(ISNUMBER(AC41),0.510996&gt;MAX(IF(ISNUMBER(AA41),0.408167,-1),IF(ISNUMBER(AB41),0.31868,-1))),AC41,"")))</f>
        <v/>
      </c>
    </row>
    <row r="42">
      <c r="A42" s="5" t="inlineStr">
        <is>
          <t>2026/06/24</t>
        </is>
      </c>
      <c r="B42" s="5" t="n">
        <v>160.52</v>
      </c>
      <c r="C42" s="5">
        <f>IF(AND(ISNUMBER(B42),ISNUMBER(B43)),(B42/B43-1)*100,"")</f>
        <v/>
      </c>
      <c r="D42" s="5" t="n">
        <v>67.25</v>
      </c>
      <c r="E42" s="5">
        <f>IF(AND(ISNUMBER(D42),ISNUMBER(D43)),(D42/D43-1)*100,"")</f>
        <v/>
      </c>
      <c r="F42" s="5" t="n">
        <v>79.0975</v>
      </c>
      <c r="G42" s="5">
        <f>IF(AND(ISNUMBER(F42),ISNUMBER(F43)),(F42/F43-1)*100,"")</f>
        <v/>
      </c>
      <c r="H42" s="5" t="n">
        <v>53.72</v>
      </c>
      <c r="I42" s="5">
        <f>IF(AND(ISNUMBER(H42),ISNUMBER(H43)),(H42/H43-1)*100,"")</f>
        <v/>
      </c>
      <c r="J42" s="5" t="n">
        <v>74.59</v>
      </c>
      <c r="K42" s="5">
        <f>IF(AND(ISNUMBER(J42),ISNUMBER(J43)),(J42/J43-1)*100,"")</f>
        <v/>
      </c>
      <c r="L42" s="5" t="n">
        <v>-4.4125</v>
      </c>
      <c r="M42" s="5">
        <f>IF(AND(ISNUMBER(L42),ISNUMBER(L43)),(L42/L43-1)*100,"")</f>
        <v/>
      </c>
      <c r="N42" s="5" t="n"/>
      <c r="O42" s="5">
        <f>IF(AND(ISNUMBER(N42),ISNUMBER(N43)),(N42/N43-1)*100,"")</f>
        <v/>
      </c>
      <c r="P42" s="5" t="n"/>
      <c r="Q42" s="5">
        <f>IF(AND(ISNUMBER(P42),ISNUMBER(P43)),(P42/P43-1)*100,"")</f>
        <v/>
      </c>
      <c r="R42" s="5" t="n"/>
      <c r="S42" s="5">
        <f>IF(AND(ISNUMBER(R42),ISNUMBER(R43)),(R42/R43-1)*100,"")</f>
        <v/>
      </c>
      <c r="T42" s="5" t="n"/>
      <c r="U42" s="5">
        <f>IF(AND(ISNUMBER(T42),ISNUMBER(T43)),(T42/T43-1)*100,"")</f>
        <v/>
      </c>
      <c r="V42" s="5" t="n"/>
      <c r="W42" s="5">
        <f>IF(AND(V42&gt;0,C42&lt;=-2),C41,"")</f>
        <v/>
      </c>
      <c r="X42" s="5">
        <f>IF(AND(G42&gt;0,I42&lt;0,K42&gt;0),C41,"")</f>
        <v/>
      </c>
      <c r="Y42" s="5">
        <f>IF(AND(K42&lt;0,M42&gt;0),C41,"")</f>
        <v/>
      </c>
      <c r="Z42" s="5">
        <f>IF(AND(ISNUMBER(W42),0.549579&gt;=MAX(IF(ISNUMBER(X42),0.299732,-1),IF(ISNUMBER(Y42),0.323835,-1))),W42,IF(AND(ISNUMBER(X42),0.299732&gt;MAX(IF(ISNUMBER(W42),0.549579,-1),IF(ISNUMBER(Y42),0.323835,-1))),X42,IF(AND(ISNUMBER(Y42),0.323835&gt;MAX(IF(ISNUMBER(W42),0.549579,-1),IF(ISNUMBER(X42),0.299732,-1))),Y42,"")))</f>
        <v/>
      </c>
      <c r="AA42" s="5">
        <f>IF(AND(O42&lt;=-1,E42&lt;0),E41,"")</f>
        <v/>
      </c>
      <c r="AB42" s="5">
        <f>IF(AND(Q42&gt;0,S42&gt;0),E41,"")</f>
        <v/>
      </c>
      <c r="AC42" s="5">
        <f>IF(AND(S42&gt;0,U42&lt;0),E41,"")</f>
        <v/>
      </c>
      <c r="AD42" s="5">
        <f>IF(AND(ISNUMBER(AA42),0.408167&gt;=MAX(IF(ISNUMBER(AB42),0.31868,-1),IF(ISNUMBER(AC42),0.510996,-1))),AA42,IF(AND(ISNUMBER(AB42),0.31868&gt;MAX(IF(ISNUMBER(AA42),0.408167,-1),IF(ISNUMBER(AC42),0.510996,-1))),AB42,IF(AND(ISNUMBER(AC42),0.510996&gt;MAX(IF(ISNUMBER(AA42),0.408167,-1),IF(ISNUMBER(AB42),0.31868,-1))),AC42,"")))</f>
        <v/>
      </c>
    </row>
    <row r="43">
      <c r="A43" s="5" t="inlineStr">
        <is>
          <t>2026/06/23</t>
        </is>
      </c>
      <c r="B43" s="5" t="n">
        <v>161.96</v>
      </c>
      <c r="C43" s="5">
        <f>IF(AND(ISNUMBER(B43),ISNUMBER(B44)),(B43/B44-1)*100,"")</f>
        <v/>
      </c>
      <c r="D43" s="5" t="n">
        <v>67.17</v>
      </c>
      <c r="E43" s="5">
        <f>IF(AND(ISNUMBER(D43),ISNUMBER(D44)),(D43/D44-1)*100,"")</f>
        <v/>
      </c>
      <c r="F43" s="5" t="n">
        <v>79.1174</v>
      </c>
      <c r="G43" s="5">
        <f>IF(AND(ISNUMBER(F43),ISNUMBER(F44)),(F43/F44-1)*100,"")</f>
        <v/>
      </c>
      <c r="H43" s="5" t="n">
        <v>53.88</v>
      </c>
      <c r="I43" s="5">
        <f>IF(AND(ISNUMBER(H43),ISNUMBER(H44)),(H43/H44-1)*100,"")</f>
        <v/>
      </c>
      <c r="J43" s="5" t="n">
        <v>77.66</v>
      </c>
      <c r="K43" s="5">
        <f>IF(AND(ISNUMBER(J43),ISNUMBER(J44)),(J43/J44-1)*100,"")</f>
        <v/>
      </c>
      <c r="L43" s="5" t="n">
        <v>12.7894</v>
      </c>
      <c r="M43" s="5">
        <f>IF(AND(ISNUMBER(L43),ISNUMBER(L44)),(L43/L44-1)*100,"")</f>
        <v/>
      </c>
      <c r="N43" s="5" t="n"/>
      <c r="O43" s="5">
        <f>IF(AND(ISNUMBER(N43),ISNUMBER(N44)),(N43/N44-1)*100,"")</f>
        <v/>
      </c>
      <c r="P43" s="5" t="n"/>
      <c r="Q43" s="5">
        <f>IF(AND(ISNUMBER(P43),ISNUMBER(P44)),(P43/P44-1)*100,"")</f>
        <v/>
      </c>
      <c r="R43" s="5" t="n"/>
      <c r="S43" s="5">
        <f>IF(AND(ISNUMBER(R43),ISNUMBER(R44)),(R43/R44-1)*100,"")</f>
        <v/>
      </c>
      <c r="T43" s="5" t="n"/>
      <c r="U43" s="5">
        <f>IF(AND(ISNUMBER(T43),ISNUMBER(T44)),(T43/T44-1)*100,"")</f>
        <v/>
      </c>
      <c r="V43" s="5" t="n"/>
      <c r="W43" s="5">
        <f>IF(AND(V43&gt;0,C43&lt;=-2),C42,"")</f>
        <v/>
      </c>
      <c r="X43" s="5">
        <f>IF(AND(G43&gt;0,I43&lt;0,K43&gt;0),C42,"")</f>
        <v/>
      </c>
      <c r="Y43" s="5">
        <f>IF(AND(K43&lt;0,M43&gt;0),C42,"")</f>
        <v/>
      </c>
      <c r="Z43" s="5">
        <f>IF(AND(ISNUMBER(W43),0.549579&gt;=MAX(IF(ISNUMBER(X43),0.299732,-1),IF(ISNUMBER(Y43),0.323835,-1))),W43,IF(AND(ISNUMBER(X43),0.299732&gt;MAX(IF(ISNUMBER(W43),0.549579,-1),IF(ISNUMBER(Y43),0.323835,-1))),X43,IF(AND(ISNUMBER(Y43),0.323835&gt;MAX(IF(ISNUMBER(W43),0.549579,-1),IF(ISNUMBER(X43),0.299732,-1))),Y43,"")))</f>
        <v/>
      </c>
      <c r="AA43" s="5">
        <f>IF(AND(O43&lt;=-1,E43&lt;0),E42,"")</f>
        <v/>
      </c>
      <c r="AB43" s="5">
        <f>IF(AND(Q43&gt;0,S43&gt;0),E42,"")</f>
        <v/>
      </c>
      <c r="AC43" s="5">
        <f>IF(AND(S43&gt;0,U43&lt;0),E42,"")</f>
        <v/>
      </c>
      <c r="AD43" s="5">
        <f>IF(AND(ISNUMBER(AA43),0.408167&gt;=MAX(IF(ISNUMBER(AB43),0.31868,-1),IF(ISNUMBER(AC43),0.510996,-1))),AA43,IF(AND(ISNUMBER(AB43),0.31868&gt;MAX(IF(ISNUMBER(AA43),0.408167,-1),IF(ISNUMBER(AC43),0.510996,-1))),AB43,IF(AND(ISNUMBER(AC43),0.510996&gt;MAX(IF(ISNUMBER(AA43),0.408167,-1),IF(ISNUMBER(AB43),0.31868,-1))),AC43,"")))</f>
        <v/>
      </c>
    </row>
    <row r="44">
      <c r="A44" s="5" t="inlineStr">
        <is>
          <t>2026/06/22</t>
        </is>
      </c>
      <c r="B44" s="5" t="n">
        <v>173.38</v>
      </c>
      <c r="C44" s="5">
        <f>IF(AND(ISNUMBER(B44),ISNUMBER(B45)),(B44/B45-1)*100,"")</f>
        <v/>
      </c>
      <c r="D44" s="5" t="n">
        <v>71.20999999999999</v>
      </c>
      <c r="E44" s="5">
        <f>IF(AND(ISNUMBER(D44),ISNUMBER(D45)),(D44/D45-1)*100,"")</f>
        <v/>
      </c>
      <c r="F44" s="5" t="n">
        <v>79.1867</v>
      </c>
      <c r="G44" s="5">
        <f>IF(AND(ISNUMBER(F44),ISNUMBER(F45)),(F44/F45-1)*100,"")</f>
        <v/>
      </c>
      <c r="H44" s="5" t="n">
        <v>53.7</v>
      </c>
      <c r="I44" s="5">
        <f>IF(AND(ISNUMBER(H44),ISNUMBER(H45)),(H44/H45-1)*100,"")</f>
        <v/>
      </c>
      <c r="J44" s="5" t="n">
        <v>81.44</v>
      </c>
      <c r="K44" s="5">
        <f>IF(AND(ISNUMBER(J44),ISNUMBER(J45)),(J44/J45-1)*100,"")</f>
        <v/>
      </c>
      <c r="L44" s="5" t="n">
        <v>5.3659</v>
      </c>
      <c r="M44" s="5">
        <f>IF(AND(ISNUMBER(L44),ISNUMBER(L45)),(L44/L45-1)*100,"")</f>
        <v/>
      </c>
      <c r="N44" s="5" t="n"/>
      <c r="O44" s="5">
        <f>IF(AND(ISNUMBER(N44),ISNUMBER(N45)),(N44/N45-1)*100,"")</f>
        <v/>
      </c>
      <c r="P44" s="5" t="n"/>
      <c r="Q44" s="5">
        <f>IF(AND(ISNUMBER(P44),ISNUMBER(P45)),(P44/P45-1)*100,"")</f>
        <v/>
      </c>
      <c r="R44" s="5" t="n"/>
      <c r="S44" s="5">
        <f>IF(AND(ISNUMBER(R44),ISNUMBER(R45)),(R44/R45-1)*100,"")</f>
        <v/>
      </c>
      <c r="T44" s="5" t="n"/>
      <c r="U44" s="5">
        <f>IF(AND(ISNUMBER(T44),ISNUMBER(T45)),(T44/T45-1)*100,"")</f>
        <v/>
      </c>
      <c r="V44" s="5" t="n"/>
      <c r="W44" s="5">
        <f>IF(AND(V44&gt;0,C44&lt;=-2),C43,"")</f>
        <v/>
      </c>
      <c r="X44" s="5">
        <f>IF(AND(G44&gt;0,I44&lt;0,K44&gt;0),C43,"")</f>
        <v/>
      </c>
      <c r="Y44" s="5">
        <f>IF(AND(K44&lt;0,M44&gt;0),C43,"")</f>
        <v/>
      </c>
      <c r="Z44" s="5">
        <f>IF(AND(ISNUMBER(W44),0.549579&gt;=MAX(IF(ISNUMBER(X44),0.299732,-1),IF(ISNUMBER(Y44),0.323835,-1))),W44,IF(AND(ISNUMBER(X44),0.299732&gt;MAX(IF(ISNUMBER(W44),0.549579,-1),IF(ISNUMBER(Y44),0.323835,-1))),X44,IF(AND(ISNUMBER(Y44),0.323835&gt;MAX(IF(ISNUMBER(W44),0.549579,-1),IF(ISNUMBER(X44),0.299732,-1))),Y44,"")))</f>
        <v/>
      </c>
      <c r="AA44" s="5">
        <f>IF(AND(O44&lt;=-1,E44&lt;0),E43,"")</f>
        <v/>
      </c>
      <c r="AB44" s="5">
        <f>IF(AND(Q44&gt;0,S44&gt;0),E43,"")</f>
        <v/>
      </c>
      <c r="AC44" s="5">
        <f>IF(AND(S44&gt;0,U44&lt;0),E43,"")</f>
        <v/>
      </c>
      <c r="AD44" s="5">
        <f>IF(AND(ISNUMBER(AA44),0.408167&gt;=MAX(IF(ISNUMBER(AB44),0.31868,-1),IF(ISNUMBER(AC44),0.510996,-1))),AA44,IF(AND(ISNUMBER(AB44),0.31868&gt;MAX(IF(ISNUMBER(AA44),0.408167,-1),IF(ISNUMBER(AC44),0.510996,-1))),AB44,IF(AND(ISNUMBER(AC44),0.510996&gt;MAX(IF(ISNUMBER(AA44),0.408167,-1),IF(ISNUMBER(AB44),0.31868,-1))),AC44,"")))</f>
        <v/>
      </c>
    </row>
    <row r="45">
      <c r="A45" s="5" t="inlineStr">
        <is>
          <t>2026/06/18</t>
        </is>
      </c>
      <c r="B45" s="5" t="n">
        <v>174.19</v>
      </c>
      <c r="C45" s="5">
        <f>IF(AND(ISNUMBER(B45),ISNUMBER(B46)),(B45/B46-1)*100,"")</f>
        <v/>
      </c>
      <c r="D45" s="5" t="n">
        <v>70.79000000000001</v>
      </c>
      <c r="E45" s="5">
        <f>IF(AND(ISNUMBER(D45),ISNUMBER(D46)),(D45/D46-1)*100,"")</f>
        <v/>
      </c>
      <c r="F45" s="5" t="n">
        <v>79.256</v>
      </c>
      <c r="G45" s="5">
        <f>IF(AND(ISNUMBER(F45),ISNUMBER(F46)),(F45/F46-1)*100,"")</f>
        <v/>
      </c>
      <c r="H45" s="5" t="n">
        <v>53.383</v>
      </c>
      <c r="I45" s="5">
        <f>IF(AND(ISNUMBER(H45),ISNUMBER(H46)),(H45/H46-1)*100,"")</f>
        <v/>
      </c>
      <c r="J45" s="5" t="n">
        <v>82.51000000000001</v>
      </c>
      <c r="K45" s="5">
        <f>IF(AND(ISNUMBER(J45),ISNUMBER(J46)),(J45/J46-1)*100,"")</f>
        <v/>
      </c>
      <c r="L45" s="5" t="n">
        <v>-11.0629</v>
      </c>
      <c r="M45" s="5">
        <f>IF(AND(ISNUMBER(L45),ISNUMBER(L46)),(L45/L46-1)*100,"")</f>
        <v/>
      </c>
      <c r="N45" s="5" t="n"/>
      <c r="O45" s="5">
        <f>IF(AND(ISNUMBER(N45),ISNUMBER(N46)),(N45/N46-1)*100,"")</f>
        <v/>
      </c>
      <c r="P45" s="5" t="n"/>
      <c r="Q45" s="5">
        <f>IF(AND(ISNUMBER(P45),ISNUMBER(P46)),(P45/P46-1)*100,"")</f>
        <v/>
      </c>
      <c r="R45" s="5" t="n"/>
      <c r="S45" s="5">
        <f>IF(AND(ISNUMBER(R45),ISNUMBER(R46)),(R45/R46-1)*100,"")</f>
        <v/>
      </c>
      <c r="T45" s="5" t="n"/>
      <c r="U45" s="5">
        <f>IF(AND(ISNUMBER(T45),ISNUMBER(T46)),(T45/T46-1)*100,"")</f>
        <v/>
      </c>
      <c r="V45" s="5" t="n"/>
      <c r="W45" s="5">
        <f>IF(AND(V45&gt;0,C45&lt;=-2),C44,"")</f>
        <v/>
      </c>
      <c r="X45" s="5">
        <f>IF(AND(G45&gt;0,I45&lt;0,K45&gt;0),C44,"")</f>
        <v/>
      </c>
      <c r="Y45" s="5">
        <f>IF(AND(K45&lt;0,M45&gt;0),C44,"")</f>
        <v/>
      </c>
      <c r="Z45" s="5">
        <f>IF(AND(ISNUMBER(W45),0.549579&gt;=MAX(IF(ISNUMBER(X45),0.299732,-1),IF(ISNUMBER(Y45),0.323835,-1))),W45,IF(AND(ISNUMBER(X45),0.299732&gt;MAX(IF(ISNUMBER(W45),0.549579,-1),IF(ISNUMBER(Y45),0.323835,-1))),X45,IF(AND(ISNUMBER(Y45),0.323835&gt;MAX(IF(ISNUMBER(W45),0.549579,-1),IF(ISNUMBER(X45),0.299732,-1))),Y45,"")))</f>
        <v/>
      </c>
      <c r="AA45" s="5">
        <f>IF(AND(O45&lt;=-1,E45&lt;0),E44,"")</f>
        <v/>
      </c>
      <c r="AB45" s="5">
        <f>IF(AND(Q45&gt;0,S45&gt;0),E44,"")</f>
        <v/>
      </c>
      <c r="AC45" s="5">
        <f>IF(AND(S45&gt;0,U45&lt;0),E44,"")</f>
        <v/>
      </c>
      <c r="AD45" s="5">
        <f>IF(AND(ISNUMBER(AA45),0.408167&gt;=MAX(IF(ISNUMBER(AB45),0.31868,-1),IF(ISNUMBER(AC45),0.510996,-1))),AA45,IF(AND(ISNUMBER(AB45),0.31868&gt;MAX(IF(ISNUMBER(AA45),0.408167,-1),IF(ISNUMBER(AC45),0.510996,-1))),AB45,IF(AND(ISNUMBER(AC45),0.510996&gt;MAX(IF(ISNUMBER(AA45),0.408167,-1),IF(ISNUMBER(AB45),0.31868,-1))),AC45,"")))</f>
        <v/>
      </c>
    </row>
    <row r="46">
      <c r="A46" s="5" t="inlineStr">
        <is>
          <t>2026/06/17</t>
        </is>
      </c>
      <c r="B46" s="5" t="n">
        <v>165.99</v>
      </c>
      <c r="C46" s="5">
        <f>IF(AND(ISNUMBER(B46),ISNUMBER(B47)),(B46/B47-1)*100,"")</f>
        <v/>
      </c>
      <c r="D46" s="5" t="n">
        <v>68.56</v>
      </c>
      <c r="E46" s="5">
        <f>IF(AND(ISNUMBER(D46),ISNUMBER(D47)),(D46/D47-1)*100,"")</f>
        <v/>
      </c>
      <c r="F46" s="5" t="n">
        <v>78.9787</v>
      </c>
      <c r="G46" s="5">
        <f>IF(AND(ISNUMBER(F46),ISNUMBER(F47)),(F46/F47-1)*100,"")</f>
        <v/>
      </c>
      <c r="H46" s="5" t="n">
        <v>53.8613</v>
      </c>
      <c r="I46" s="5">
        <f>IF(AND(ISNUMBER(H46),ISNUMBER(H47)),(H46/H47-1)*100,"")</f>
        <v/>
      </c>
      <c r="J46" s="5" t="n">
        <v>84.36</v>
      </c>
      <c r="K46" s="5">
        <f>IF(AND(ISNUMBER(J46),ISNUMBER(J47)),(J46/J47-1)*100,"")</f>
        <v/>
      </c>
      <c r="L46" s="5" t="n">
        <v>12.3705</v>
      </c>
      <c r="M46" s="5">
        <f>IF(AND(ISNUMBER(L46),ISNUMBER(L47)),(L46/L47-1)*100,"")</f>
        <v/>
      </c>
      <c r="N46" s="5" t="n"/>
      <c r="O46" s="5">
        <f>IF(AND(ISNUMBER(N46),ISNUMBER(N47)),(N46/N47-1)*100,"")</f>
        <v/>
      </c>
      <c r="P46" s="5" t="n"/>
      <c r="Q46" s="5">
        <f>IF(AND(ISNUMBER(P46),ISNUMBER(P47)),(P46/P47-1)*100,"")</f>
        <v/>
      </c>
      <c r="R46" s="5" t="n"/>
      <c r="S46" s="5">
        <f>IF(AND(ISNUMBER(R46),ISNUMBER(R47)),(R46/R47-1)*100,"")</f>
        <v/>
      </c>
      <c r="T46" s="5" t="n"/>
      <c r="U46" s="5">
        <f>IF(AND(ISNUMBER(T46),ISNUMBER(T47)),(T46/T47-1)*100,"")</f>
        <v/>
      </c>
      <c r="V46" s="5" t="n"/>
      <c r="W46" s="5">
        <f>IF(AND(V46&gt;0,C46&lt;=-2),C45,"")</f>
        <v/>
      </c>
      <c r="X46" s="5">
        <f>IF(AND(G46&gt;0,I46&lt;0,K46&gt;0),C45,"")</f>
        <v/>
      </c>
      <c r="Y46" s="5">
        <f>IF(AND(K46&lt;0,M46&gt;0),C45,"")</f>
        <v/>
      </c>
      <c r="Z46" s="5">
        <f>IF(AND(ISNUMBER(W46),0.549579&gt;=MAX(IF(ISNUMBER(X46),0.299732,-1),IF(ISNUMBER(Y46),0.323835,-1))),W46,IF(AND(ISNUMBER(X46),0.299732&gt;MAX(IF(ISNUMBER(W46),0.549579,-1),IF(ISNUMBER(Y46),0.323835,-1))),X46,IF(AND(ISNUMBER(Y46),0.323835&gt;MAX(IF(ISNUMBER(W46),0.549579,-1),IF(ISNUMBER(X46),0.299732,-1))),Y46,"")))</f>
        <v/>
      </c>
      <c r="AA46" s="5">
        <f>IF(AND(O46&lt;=-1,E46&lt;0),E45,"")</f>
        <v/>
      </c>
      <c r="AB46" s="5">
        <f>IF(AND(Q46&gt;0,S46&gt;0),E45,"")</f>
        <v/>
      </c>
      <c r="AC46" s="5">
        <f>IF(AND(S46&gt;0,U46&lt;0),E45,"")</f>
        <v/>
      </c>
      <c r="AD46" s="5">
        <f>IF(AND(ISNUMBER(AA46),0.408167&gt;=MAX(IF(ISNUMBER(AB46),0.31868,-1),IF(ISNUMBER(AC46),0.510996,-1))),AA46,IF(AND(ISNUMBER(AB46),0.31868&gt;MAX(IF(ISNUMBER(AA46),0.408167,-1),IF(ISNUMBER(AC46),0.510996,-1))),AB46,IF(AND(ISNUMBER(AC46),0.510996&gt;MAX(IF(ISNUMBER(AA46),0.408167,-1),IF(ISNUMBER(AB46),0.31868,-1))),AC46,"")))</f>
        <v/>
      </c>
    </row>
    <row r="47">
      <c r="A47" s="5" t="inlineStr">
        <is>
          <t>2026/06/16</t>
        </is>
      </c>
      <c r="B47" s="5" t="n">
        <v>169.4</v>
      </c>
      <c r="C47" s="5">
        <f>IF(AND(ISNUMBER(B47),ISNUMBER(B48)),(B47/B48-1)*100,"")</f>
        <v/>
      </c>
      <c r="D47" s="5" t="n">
        <v>68.64</v>
      </c>
      <c r="E47" s="5">
        <f>IF(AND(ISNUMBER(D47),ISNUMBER(D48)),(D47/D48-1)*100,"")</f>
        <v/>
      </c>
      <c r="F47" s="5" t="n">
        <v>79.2758</v>
      </c>
      <c r="G47" s="5">
        <f>IF(AND(ISNUMBER(F47),ISNUMBER(F48)),(F47/F48-1)*100,"")</f>
        <v/>
      </c>
      <c r="H47" s="5" t="n">
        <v>54.1603</v>
      </c>
      <c r="I47" s="5">
        <f>IF(AND(ISNUMBER(H47),ISNUMBER(H48)),(H47/H48-1)*100,"")</f>
        <v/>
      </c>
      <c r="J47" s="5" t="n">
        <v>87.23999999999999</v>
      </c>
      <c r="K47" s="5">
        <f>IF(AND(ISNUMBER(J47),ISNUMBER(J48)),(J47/J48-1)*100,"")</f>
        <v/>
      </c>
      <c r="L47" s="5" t="n">
        <v>1.2963</v>
      </c>
      <c r="M47" s="5">
        <f>IF(AND(ISNUMBER(L47),ISNUMBER(L48)),(L47/L48-1)*100,"")</f>
        <v/>
      </c>
      <c r="N47" s="5" t="n"/>
      <c r="O47" s="5">
        <f>IF(AND(ISNUMBER(N47),ISNUMBER(N48)),(N47/N48-1)*100,"")</f>
        <v/>
      </c>
      <c r="P47" s="5" t="n"/>
      <c r="Q47" s="5">
        <f>IF(AND(ISNUMBER(P47),ISNUMBER(P48)),(P47/P48-1)*100,"")</f>
        <v/>
      </c>
      <c r="R47" s="5" t="n"/>
      <c r="S47" s="5">
        <f>IF(AND(ISNUMBER(R47),ISNUMBER(R48)),(R47/R48-1)*100,"")</f>
        <v/>
      </c>
      <c r="T47" s="5" t="n"/>
      <c r="U47" s="5">
        <f>IF(AND(ISNUMBER(T47),ISNUMBER(T48)),(T47/T48-1)*100,"")</f>
        <v/>
      </c>
      <c r="V47" s="5" t="n"/>
      <c r="W47" s="5">
        <f>IF(AND(V47&gt;0,C47&lt;=-2),C46,"")</f>
        <v/>
      </c>
      <c r="X47" s="5">
        <f>IF(AND(G47&gt;0,I47&lt;0,K47&gt;0),C46,"")</f>
        <v/>
      </c>
      <c r="Y47" s="5">
        <f>IF(AND(K47&lt;0,M47&gt;0),C46,"")</f>
        <v/>
      </c>
      <c r="Z47" s="5">
        <f>IF(AND(ISNUMBER(W47),0.549579&gt;=MAX(IF(ISNUMBER(X47),0.299732,-1),IF(ISNUMBER(Y47),0.323835,-1))),W47,IF(AND(ISNUMBER(X47),0.299732&gt;MAX(IF(ISNUMBER(W47),0.549579,-1),IF(ISNUMBER(Y47),0.323835,-1))),X47,IF(AND(ISNUMBER(Y47),0.323835&gt;MAX(IF(ISNUMBER(W47),0.549579,-1),IF(ISNUMBER(X47),0.299732,-1))),Y47,"")))</f>
        <v/>
      </c>
      <c r="AA47" s="5">
        <f>IF(AND(O47&lt;=-1,E47&lt;0),E46,"")</f>
        <v/>
      </c>
      <c r="AB47" s="5">
        <f>IF(AND(Q47&gt;0,S47&gt;0),E46,"")</f>
        <v/>
      </c>
      <c r="AC47" s="5">
        <f>IF(AND(S47&gt;0,U47&lt;0),E46,"")</f>
        <v/>
      </c>
      <c r="AD47" s="5">
        <f>IF(AND(ISNUMBER(AA47),0.408167&gt;=MAX(IF(ISNUMBER(AB47),0.31868,-1),IF(ISNUMBER(AC47),0.510996,-1))),AA47,IF(AND(ISNUMBER(AB47),0.31868&gt;MAX(IF(ISNUMBER(AA47),0.408167,-1),IF(ISNUMBER(AC47),0.510996,-1))),AB47,IF(AND(ISNUMBER(AC47),0.510996&gt;MAX(IF(ISNUMBER(AA47),0.408167,-1),IF(ISNUMBER(AB47),0.31868,-1))),AC47,"")))</f>
        <v/>
      </c>
    </row>
    <row r="48">
      <c r="A48" s="5" t="inlineStr">
        <is>
          <t>2026/06/15</t>
        </is>
      </c>
      <c r="B48" s="5" t="n">
        <v>176.04</v>
      </c>
      <c r="C48" s="5">
        <f>IF(AND(ISNUMBER(B48),ISNUMBER(B49)),(B48/B49-1)*100,"")</f>
        <v/>
      </c>
      <c r="D48" s="5" t="n">
        <v>69.75</v>
      </c>
      <c r="E48" s="5">
        <f>IF(AND(ISNUMBER(D48),ISNUMBER(D49)),(D48/D49-1)*100,"")</f>
        <v/>
      </c>
      <c r="F48" s="5" t="n">
        <v>79.28579999999999</v>
      </c>
      <c r="G48" s="5">
        <f>IF(AND(ISNUMBER(F48),ISNUMBER(F49)),(F48/F49-1)*100,"")</f>
        <v/>
      </c>
      <c r="H48" s="5" t="n">
        <v>53.373</v>
      </c>
      <c r="I48" s="5">
        <f>IF(AND(ISNUMBER(H48),ISNUMBER(H49)),(H48/H49-1)*100,"")</f>
        <v/>
      </c>
      <c r="J48" s="5" t="n">
        <v>85.27</v>
      </c>
      <c r="K48" s="5">
        <f>IF(AND(ISNUMBER(J48),ISNUMBER(J49)),(J48/J49-1)*100,"")</f>
        <v/>
      </c>
      <c r="L48" s="5" t="n">
        <v>-8.371</v>
      </c>
      <c r="M48" s="5">
        <f>IF(AND(ISNUMBER(L48),ISNUMBER(L49)),(L48/L49-1)*100,"")</f>
        <v/>
      </c>
      <c r="N48" s="5" t="n"/>
      <c r="O48" s="5">
        <f>IF(AND(ISNUMBER(N48),ISNUMBER(N49)),(N48/N49-1)*100,"")</f>
        <v/>
      </c>
      <c r="P48" s="5" t="n"/>
      <c r="Q48" s="5">
        <f>IF(AND(ISNUMBER(P48),ISNUMBER(P49)),(P48/P49-1)*100,"")</f>
        <v/>
      </c>
      <c r="R48" s="5" t="n"/>
      <c r="S48" s="5">
        <f>IF(AND(ISNUMBER(R48),ISNUMBER(R49)),(R48/R49-1)*100,"")</f>
        <v/>
      </c>
      <c r="T48" s="5" t="n"/>
      <c r="U48" s="5">
        <f>IF(AND(ISNUMBER(T48),ISNUMBER(T49)),(T48/T49-1)*100,"")</f>
        <v/>
      </c>
      <c r="V48" s="5" t="n"/>
      <c r="W48" s="5">
        <f>IF(AND(V48&gt;0,C48&lt;=-2),C47,"")</f>
        <v/>
      </c>
      <c r="X48" s="5">
        <f>IF(AND(G48&gt;0,I48&lt;0,K48&gt;0),C47,"")</f>
        <v/>
      </c>
      <c r="Y48" s="5">
        <f>IF(AND(K48&lt;0,M48&gt;0),C47,"")</f>
        <v/>
      </c>
      <c r="Z48" s="5">
        <f>IF(AND(ISNUMBER(W48),0.549579&gt;=MAX(IF(ISNUMBER(X48),0.299732,-1),IF(ISNUMBER(Y48),0.323835,-1))),W48,IF(AND(ISNUMBER(X48),0.299732&gt;MAX(IF(ISNUMBER(W48),0.549579,-1),IF(ISNUMBER(Y48),0.323835,-1))),X48,IF(AND(ISNUMBER(Y48),0.323835&gt;MAX(IF(ISNUMBER(W48),0.549579,-1),IF(ISNUMBER(X48),0.299732,-1))),Y48,"")))</f>
        <v/>
      </c>
      <c r="AA48" s="5">
        <f>IF(AND(O48&lt;=-1,E48&lt;0),E47,"")</f>
        <v/>
      </c>
      <c r="AB48" s="5">
        <f>IF(AND(Q48&gt;0,S48&gt;0),E47,"")</f>
        <v/>
      </c>
      <c r="AC48" s="5">
        <f>IF(AND(S48&gt;0,U48&lt;0),E47,"")</f>
        <v/>
      </c>
      <c r="AD48" s="5">
        <f>IF(AND(ISNUMBER(AA48),0.408167&gt;=MAX(IF(ISNUMBER(AB48),0.31868,-1),IF(ISNUMBER(AC48),0.510996,-1))),AA48,IF(AND(ISNUMBER(AB48),0.31868&gt;MAX(IF(ISNUMBER(AA48),0.408167,-1),IF(ISNUMBER(AC48),0.510996,-1))),AB48,IF(AND(ISNUMBER(AC48),0.510996&gt;MAX(IF(ISNUMBER(AA48),0.408167,-1),IF(ISNUMBER(AB48),0.31868,-1))),AC48,"")))</f>
        <v/>
      </c>
    </row>
    <row r="49">
      <c r="A49" s="5" t="inlineStr">
        <is>
          <t>2026/06/12</t>
        </is>
      </c>
      <c r="B49" s="5" t="n">
        <v>165.93</v>
      </c>
      <c r="C49" s="5">
        <f>IF(AND(ISNUMBER(B49),ISNUMBER(B50)),(B49/B50-1)*100,"")</f>
        <v/>
      </c>
      <c r="D49" s="5" t="n">
        <v>67.529</v>
      </c>
      <c r="E49" s="5">
        <f>IF(AND(ISNUMBER(D49),ISNUMBER(D50)),(D49/D50-1)*100,"")</f>
        <v/>
      </c>
      <c r="F49" s="5" t="n">
        <v>79.1867</v>
      </c>
      <c r="G49" s="5">
        <f>IF(AND(ISNUMBER(F49),ISNUMBER(F50)),(F49/F50-1)*100,"")</f>
        <v/>
      </c>
      <c r="H49" s="5" t="n">
        <v>53.1538</v>
      </c>
      <c r="I49" s="5">
        <f>IF(AND(ISNUMBER(H49),ISNUMBER(H50)),(H49/H50-1)*100,"")</f>
        <v/>
      </c>
      <c r="J49" s="5" t="n">
        <v>80.03</v>
      </c>
      <c r="K49" s="5">
        <f>IF(AND(ISNUMBER(J49),ISNUMBER(J50)),(J49/J50-1)*100,"")</f>
        <v/>
      </c>
      <c r="L49" s="5" t="n">
        <v>-9.0535</v>
      </c>
      <c r="M49" s="5">
        <f>IF(AND(ISNUMBER(L49),ISNUMBER(L50)),(L49/L50-1)*100,"")</f>
        <v/>
      </c>
      <c r="N49" s="5" t="n"/>
      <c r="O49" s="5">
        <f>IF(AND(ISNUMBER(N49),ISNUMBER(N50)),(N49/N50-1)*100,"")</f>
        <v/>
      </c>
      <c r="P49" s="5" t="n"/>
      <c r="Q49" s="5">
        <f>IF(AND(ISNUMBER(P49),ISNUMBER(P50)),(P49/P50-1)*100,"")</f>
        <v/>
      </c>
      <c r="R49" s="5" t="n"/>
      <c r="S49" s="5">
        <f>IF(AND(ISNUMBER(R49),ISNUMBER(R50)),(R49/R50-1)*100,"")</f>
        <v/>
      </c>
      <c r="T49" s="5" t="n"/>
      <c r="U49" s="5">
        <f>IF(AND(ISNUMBER(T49),ISNUMBER(T50)),(T49/T50-1)*100,"")</f>
        <v/>
      </c>
      <c r="V49" s="5" t="n"/>
      <c r="W49" s="5">
        <f>IF(AND(V49&gt;0,C49&lt;=-2),C48,"")</f>
        <v/>
      </c>
      <c r="X49" s="5">
        <f>IF(AND(G49&gt;0,I49&lt;0,K49&gt;0),C48,"")</f>
        <v/>
      </c>
      <c r="Y49" s="5">
        <f>IF(AND(K49&lt;0,M49&gt;0),C48,"")</f>
        <v/>
      </c>
      <c r="Z49" s="5">
        <f>IF(AND(ISNUMBER(W49),0.549579&gt;=MAX(IF(ISNUMBER(X49),0.299732,-1),IF(ISNUMBER(Y49),0.323835,-1))),W49,IF(AND(ISNUMBER(X49),0.299732&gt;MAX(IF(ISNUMBER(W49),0.549579,-1),IF(ISNUMBER(Y49),0.323835,-1))),X49,IF(AND(ISNUMBER(Y49),0.323835&gt;MAX(IF(ISNUMBER(W49),0.549579,-1),IF(ISNUMBER(X49),0.299732,-1))),Y49,"")))</f>
        <v/>
      </c>
      <c r="AA49" s="5">
        <f>IF(AND(O49&lt;=-1,E49&lt;0),E48,"")</f>
        <v/>
      </c>
      <c r="AB49" s="5">
        <f>IF(AND(Q49&gt;0,S49&gt;0),E48,"")</f>
        <v/>
      </c>
      <c r="AC49" s="5">
        <f>IF(AND(S49&gt;0,U49&lt;0),E48,"")</f>
        <v/>
      </c>
      <c r="AD49" s="5">
        <f>IF(AND(ISNUMBER(AA49),0.408167&gt;=MAX(IF(ISNUMBER(AB49),0.31868,-1),IF(ISNUMBER(AC49),0.510996,-1))),AA49,IF(AND(ISNUMBER(AB49),0.31868&gt;MAX(IF(ISNUMBER(AA49),0.408167,-1),IF(ISNUMBER(AC49),0.510996,-1))),AB49,IF(AND(ISNUMBER(AC49),0.510996&gt;MAX(IF(ISNUMBER(AA49),0.408167,-1),IF(ISNUMBER(AB49),0.31868,-1))),AC49,"")))</f>
        <v/>
      </c>
    </row>
    <row r="50">
      <c r="A50" s="5" t="inlineStr">
        <is>
          <t>2026/06/11</t>
        </is>
      </c>
      <c r="B50" s="5" t="n">
        <v>163.86</v>
      </c>
      <c r="C50" s="5">
        <f>IF(AND(ISNUMBER(B50),ISNUMBER(B51)),(B50/B51-1)*100,"")</f>
        <v/>
      </c>
      <c r="D50" s="5" t="n">
        <v>67.151</v>
      </c>
      <c r="E50" s="5">
        <f>IF(AND(ISNUMBER(D50),ISNUMBER(D51)),(D50/D51-1)*100,"")</f>
        <v/>
      </c>
      <c r="F50" s="5" t="n">
        <v>79.1867</v>
      </c>
      <c r="G50" s="5">
        <f>IF(AND(ISNUMBER(F50),ISNUMBER(F51)),(F50/F51-1)*100,"")</f>
        <v/>
      </c>
      <c r="H50" s="5" t="n">
        <v>52.4363</v>
      </c>
      <c r="I50" s="5">
        <f>IF(AND(ISNUMBER(H50),ISNUMBER(H51)),(H50/H51-1)*100,"")</f>
        <v/>
      </c>
      <c r="J50" s="5" t="n">
        <v>77.72</v>
      </c>
      <c r="K50" s="5">
        <f>IF(AND(ISNUMBER(J50),ISNUMBER(J51)),(J50/J51-1)*100,"")</f>
        <v/>
      </c>
      <c r="L50" s="5" t="n">
        <v>-12.5113</v>
      </c>
      <c r="M50" s="5">
        <f>IF(AND(ISNUMBER(L50),ISNUMBER(L51)),(L50/L51-1)*100,"")</f>
        <v/>
      </c>
      <c r="N50" s="5" t="n"/>
      <c r="O50" s="5">
        <f>IF(AND(ISNUMBER(N50),ISNUMBER(N51)),(N50/N51-1)*100,"")</f>
        <v/>
      </c>
      <c r="P50" s="5" t="n"/>
      <c r="Q50" s="5">
        <f>IF(AND(ISNUMBER(P50),ISNUMBER(P51)),(P50/P51-1)*100,"")</f>
        <v/>
      </c>
      <c r="R50" s="5" t="n"/>
      <c r="S50" s="5">
        <f>IF(AND(ISNUMBER(R50),ISNUMBER(R51)),(R50/R51-1)*100,"")</f>
        <v/>
      </c>
      <c r="T50" s="5" t="n"/>
      <c r="U50" s="5">
        <f>IF(AND(ISNUMBER(T50),ISNUMBER(T51)),(T50/T51-1)*100,"")</f>
        <v/>
      </c>
      <c r="V50" s="5" t="n"/>
      <c r="W50" s="5">
        <f>IF(AND(V50&gt;0,C50&lt;=-2),C49,"")</f>
        <v/>
      </c>
      <c r="X50" s="5">
        <f>IF(AND(G50&gt;0,I50&lt;0,K50&gt;0),C49,"")</f>
        <v/>
      </c>
      <c r="Y50" s="5">
        <f>IF(AND(K50&lt;0,M50&gt;0),C49,"")</f>
        <v/>
      </c>
      <c r="Z50" s="5">
        <f>IF(AND(ISNUMBER(W50),0.549579&gt;=MAX(IF(ISNUMBER(X50),0.299732,-1),IF(ISNUMBER(Y50),0.323835,-1))),W50,IF(AND(ISNUMBER(X50),0.299732&gt;MAX(IF(ISNUMBER(W50),0.549579,-1),IF(ISNUMBER(Y50),0.323835,-1))),X50,IF(AND(ISNUMBER(Y50),0.323835&gt;MAX(IF(ISNUMBER(W50),0.549579,-1),IF(ISNUMBER(X50),0.299732,-1))),Y50,"")))</f>
        <v/>
      </c>
      <c r="AA50" s="5">
        <f>IF(AND(O50&lt;=-1,E50&lt;0),E49,"")</f>
        <v/>
      </c>
      <c r="AB50" s="5">
        <f>IF(AND(Q50&gt;0,S50&gt;0),E49,"")</f>
        <v/>
      </c>
      <c r="AC50" s="5">
        <f>IF(AND(S50&gt;0,U50&lt;0),E49,"")</f>
        <v/>
      </c>
      <c r="AD50" s="5">
        <f>IF(AND(ISNUMBER(AA50),0.408167&gt;=MAX(IF(ISNUMBER(AB50),0.31868,-1),IF(ISNUMBER(AC50),0.510996,-1))),AA50,IF(AND(ISNUMBER(AB50),0.31868&gt;MAX(IF(ISNUMBER(AA50),0.408167,-1),IF(ISNUMBER(AC50),0.510996,-1))),AB50,IF(AND(ISNUMBER(AC50),0.510996&gt;MAX(IF(ISNUMBER(AA50),0.408167,-1),IF(ISNUMBER(AB50),0.31868,-1))),AC50,"")))</f>
        <v/>
      </c>
    </row>
    <row r="51">
      <c r="A51" s="5" t="inlineStr">
        <is>
          <t>2026/06/10</t>
        </is>
      </c>
      <c r="B51" s="5" t="n">
        <v>153.76</v>
      </c>
      <c r="C51" s="5">
        <f>IF(AND(ISNUMBER(B51),ISNUMBER(B52)),(B51/B52-1)*100,"")</f>
        <v/>
      </c>
      <c r="D51" s="5" t="n">
        <v>64.3257</v>
      </c>
      <c r="E51" s="5">
        <f>IF(AND(ISNUMBER(D51),ISNUMBER(D52)),(D51/D52-1)*100,"")</f>
        <v/>
      </c>
      <c r="F51" s="5" t="n">
        <v>78.72110000000001</v>
      </c>
      <c r="G51" s="5">
        <f>IF(AND(ISNUMBER(F51),ISNUMBER(F52)),(F51/F52-1)*100,"")</f>
        <v/>
      </c>
      <c r="H51" s="5" t="n">
        <v>52.0477</v>
      </c>
      <c r="I51" s="5">
        <f>IF(AND(ISNUMBER(H51),ISNUMBER(H52)),(H51/H52-1)*100,"")</f>
        <v/>
      </c>
      <c r="J51" s="5" t="n">
        <v>73.81</v>
      </c>
      <c r="K51" s="5">
        <f>IF(AND(ISNUMBER(J51),ISNUMBER(J52)),(J51/J52-1)*100,"")</f>
        <v/>
      </c>
      <c r="L51" s="5" t="n">
        <v>11.8269</v>
      </c>
      <c r="M51" s="5">
        <f>IF(AND(ISNUMBER(L51),ISNUMBER(L52)),(L51/L52-1)*100,"")</f>
        <v/>
      </c>
      <c r="N51" s="5" t="n"/>
      <c r="O51" s="5">
        <f>IF(AND(ISNUMBER(N51),ISNUMBER(N52)),(N51/N52-1)*100,"")</f>
        <v/>
      </c>
      <c r="P51" s="5" t="n"/>
      <c r="Q51" s="5">
        <f>IF(AND(ISNUMBER(P51),ISNUMBER(P52)),(P51/P52-1)*100,"")</f>
        <v/>
      </c>
      <c r="R51" s="5" t="n"/>
      <c r="S51" s="5">
        <f>IF(AND(ISNUMBER(R51),ISNUMBER(R52)),(R51/R52-1)*100,"")</f>
        <v/>
      </c>
      <c r="T51" s="5" t="n"/>
      <c r="U51" s="5">
        <f>IF(AND(ISNUMBER(T51),ISNUMBER(T52)),(T51/T52-1)*100,"")</f>
        <v/>
      </c>
      <c r="V51" s="5" t="n"/>
      <c r="W51" s="5">
        <f>IF(AND(V51&gt;0,C51&lt;=-2),C50,"")</f>
        <v/>
      </c>
      <c r="X51" s="5">
        <f>IF(AND(G51&gt;0,I51&lt;0,K51&gt;0),C50,"")</f>
        <v/>
      </c>
      <c r="Y51" s="5">
        <f>IF(AND(K51&lt;0,M51&gt;0),C50,"")</f>
        <v/>
      </c>
      <c r="Z51" s="5">
        <f>IF(AND(ISNUMBER(W51),0.549579&gt;=MAX(IF(ISNUMBER(X51),0.299732,-1),IF(ISNUMBER(Y51),0.323835,-1))),W51,IF(AND(ISNUMBER(X51),0.299732&gt;MAX(IF(ISNUMBER(W51),0.549579,-1),IF(ISNUMBER(Y51),0.323835,-1))),X51,IF(AND(ISNUMBER(Y51),0.323835&gt;MAX(IF(ISNUMBER(W51),0.549579,-1),IF(ISNUMBER(X51),0.299732,-1))),Y51,"")))</f>
        <v/>
      </c>
      <c r="AA51" s="5">
        <f>IF(AND(O51&lt;=-1,E51&lt;0),E50,"")</f>
        <v/>
      </c>
      <c r="AB51" s="5">
        <f>IF(AND(Q51&gt;0,S51&gt;0),E50,"")</f>
        <v/>
      </c>
      <c r="AC51" s="5">
        <f>IF(AND(S51&gt;0,U51&lt;0),E50,"")</f>
        <v/>
      </c>
      <c r="AD51" s="5">
        <f>IF(AND(ISNUMBER(AA51),0.408167&gt;=MAX(IF(ISNUMBER(AB51),0.31868,-1),IF(ISNUMBER(AC51),0.510996,-1))),AA51,IF(AND(ISNUMBER(AB51),0.31868&gt;MAX(IF(ISNUMBER(AA51),0.408167,-1),IF(ISNUMBER(AC51),0.510996,-1))),AB51,IF(AND(ISNUMBER(AC51),0.510996&gt;MAX(IF(ISNUMBER(AA51),0.408167,-1),IF(ISNUMBER(AB51),0.31868,-1))),AC51,"")))</f>
        <v/>
      </c>
    </row>
    <row r="52">
      <c r="A52" s="5" t="inlineStr">
        <is>
          <t>2026/06/09</t>
        </is>
      </c>
      <c r="B52" s="5" t="n">
        <v>160.13</v>
      </c>
      <c r="C52" s="5">
        <f>IF(AND(ISNUMBER(B52),ISNUMBER(B53)),(B52/B53-1)*100,"")</f>
        <v/>
      </c>
      <c r="D52" s="5" t="n">
        <v>65.47969999999999</v>
      </c>
      <c r="E52" s="5">
        <f>IF(AND(ISNUMBER(D52),ISNUMBER(D53)),(D52/D53-1)*100,"")</f>
        <v/>
      </c>
      <c r="F52" s="5" t="n">
        <v>78.86969999999999</v>
      </c>
      <c r="G52" s="5">
        <f>IF(AND(ISNUMBER(F52),ISNUMBER(F53)),(F52/F53-1)*100,"")</f>
        <v/>
      </c>
      <c r="H52" s="5" t="n">
        <v>52.2769</v>
      </c>
      <c r="I52" s="5">
        <f>IF(AND(ISNUMBER(H52),ISNUMBER(H53)),(H52/H53-1)*100,"")</f>
        <v/>
      </c>
      <c r="J52" s="5" t="n">
        <v>77.59</v>
      </c>
      <c r="K52" s="5">
        <f>IF(AND(ISNUMBER(J52),ISNUMBER(J53)),(J52/J53-1)*100,"")</f>
        <v/>
      </c>
      <c r="L52" s="5" t="n">
        <v>5.0211</v>
      </c>
      <c r="M52" s="5">
        <f>IF(AND(ISNUMBER(L52),ISNUMBER(L53)),(L52/L53-1)*100,"")</f>
        <v/>
      </c>
      <c r="N52" s="5" t="n"/>
      <c r="O52" s="5">
        <f>IF(AND(ISNUMBER(N52),ISNUMBER(N53)),(N52/N53-1)*100,"")</f>
        <v/>
      </c>
      <c r="P52" s="5" t="n"/>
      <c r="Q52" s="5">
        <f>IF(AND(ISNUMBER(P52),ISNUMBER(P53)),(P52/P53-1)*100,"")</f>
        <v/>
      </c>
      <c r="R52" s="5" t="n"/>
      <c r="S52" s="5">
        <f>IF(AND(ISNUMBER(R52),ISNUMBER(R53)),(R52/R53-1)*100,"")</f>
        <v/>
      </c>
      <c r="T52" s="5" t="n"/>
      <c r="U52" s="5">
        <f>IF(AND(ISNUMBER(T52),ISNUMBER(T53)),(T52/T53-1)*100,"")</f>
        <v/>
      </c>
      <c r="V52" s="5" t="n"/>
      <c r="W52" s="5">
        <f>IF(AND(V52&gt;0,C52&lt;=-2),C51,"")</f>
        <v/>
      </c>
      <c r="X52" s="5">
        <f>IF(AND(G52&gt;0,I52&lt;0,K52&gt;0),C51,"")</f>
        <v/>
      </c>
      <c r="Y52" s="5">
        <f>IF(AND(K52&lt;0,M52&gt;0),C51,"")</f>
        <v/>
      </c>
      <c r="Z52" s="5">
        <f>IF(AND(ISNUMBER(W52),0.549579&gt;=MAX(IF(ISNUMBER(X52),0.299732,-1),IF(ISNUMBER(Y52),0.323835,-1))),W52,IF(AND(ISNUMBER(X52),0.299732&gt;MAX(IF(ISNUMBER(W52),0.549579,-1),IF(ISNUMBER(Y52),0.323835,-1))),X52,IF(AND(ISNUMBER(Y52),0.323835&gt;MAX(IF(ISNUMBER(W52),0.549579,-1),IF(ISNUMBER(X52),0.299732,-1))),Y52,"")))</f>
        <v/>
      </c>
      <c r="AA52" s="5">
        <f>IF(AND(O52&lt;=-1,E52&lt;0),E51,"")</f>
        <v/>
      </c>
      <c r="AB52" s="5">
        <f>IF(AND(Q52&gt;0,S52&gt;0),E51,"")</f>
        <v/>
      </c>
      <c r="AC52" s="5">
        <f>IF(AND(S52&gt;0,U52&lt;0),E51,"")</f>
        <v/>
      </c>
      <c r="AD52" s="5">
        <f>IF(AND(ISNUMBER(AA52),0.408167&gt;=MAX(IF(ISNUMBER(AB52),0.31868,-1),IF(ISNUMBER(AC52),0.510996,-1))),AA52,IF(AND(ISNUMBER(AB52),0.31868&gt;MAX(IF(ISNUMBER(AA52),0.408167,-1),IF(ISNUMBER(AC52),0.510996,-1))),AB52,IF(AND(ISNUMBER(AC52),0.510996&gt;MAX(IF(ISNUMBER(AA52),0.408167,-1),IF(ISNUMBER(AB52),0.31868,-1))),AC52,"")))</f>
        <v/>
      </c>
    </row>
    <row r="53">
      <c r="A53" s="5" t="inlineStr">
        <is>
          <t>2026/06/08</t>
        </is>
      </c>
      <c r="B53" s="5" t="n">
        <v>163.85</v>
      </c>
      <c r="C53" s="5">
        <f>IF(AND(ISNUMBER(B53),ISNUMBER(B54)),(B53/B54-1)*100,"")</f>
        <v/>
      </c>
      <c r="D53" s="5" t="n">
        <v>65.41</v>
      </c>
      <c r="E53" s="5">
        <f>IF(AND(ISNUMBER(D53),ISNUMBER(D54)),(D53/D54-1)*100,"")</f>
        <v/>
      </c>
      <c r="F53" s="5" t="n">
        <v>78.79049999999999</v>
      </c>
      <c r="G53" s="5">
        <f>IF(AND(ISNUMBER(F53),ISNUMBER(F54)),(F53/F54-1)*100,"")</f>
        <v/>
      </c>
      <c r="H53" s="5" t="n">
        <v>51.7886</v>
      </c>
      <c r="I53" s="5">
        <f>IF(AND(ISNUMBER(H53),ISNUMBER(H54)),(H53/H54-1)*100,"")</f>
        <v/>
      </c>
      <c r="J53" s="5" t="n">
        <v>78.67</v>
      </c>
      <c r="K53" s="5">
        <f>IF(AND(ISNUMBER(J53),ISNUMBER(J54)),(J53/J54-1)*100,"")</f>
        <v/>
      </c>
      <c r="L53" s="5" t="n">
        <v>-12.0409</v>
      </c>
      <c r="M53" s="5">
        <f>IF(AND(ISNUMBER(L53),ISNUMBER(L54)),(L53/L54-1)*100,"")</f>
        <v/>
      </c>
      <c r="N53" s="5" t="n"/>
      <c r="O53" s="5">
        <f>IF(AND(ISNUMBER(N53),ISNUMBER(N54)),(N53/N54-1)*100,"")</f>
        <v/>
      </c>
      <c r="P53" s="5" t="n"/>
      <c r="Q53" s="5">
        <f>IF(AND(ISNUMBER(P53),ISNUMBER(P54)),(P53/P54-1)*100,"")</f>
        <v/>
      </c>
      <c r="R53" s="5" t="n"/>
      <c r="S53" s="5">
        <f>IF(AND(ISNUMBER(R53),ISNUMBER(R54)),(R53/R54-1)*100,"")</f>
        <v/>
      </c>
      <c r="T53" s="5" t="n"/>
      <c r="U53" s="5">
        <f>IF(AND(ISNUMBER(T53),ISNUMBER(T54)),(T53/T54-1)*100,"")</f>
        <v/>
      </c>
      <c r="V53" s="5" t="n"/>
      <c r="W53" s="5">
        <f>IF(AND(V53&gt;0,C53&lt;=-2),C52,"")</f>
        <v/>
      </c>
      <c r="X53" s="5">
        <f>IF(AND(G53&gt;0,I53&lt;0,K53&gt;0),C52,"")</f>
        <v/>
      </c>
      <c r="Y53" s="5">
        <f>IF(AND(K53&lt;0,M53&gt;0),C52,"")</f>
        <v/>
      </c>
      <c r="Z53" s="5">
        <f>IF(AND(ISNUMBER(W53),0.549579&gt;=MAX(IF(ISNUMBER(X53),0.299732,-1),IF(ISNUMBER(Y53),0.323835,-1))),W53,IF(AND(ISNUMBER(X53),0.299732&gt;MAX(IF(ISNUMBER(W53),0.549579,-1),IF(ISNUMBER(Y53),0.323835,-1))),X53,IF(AND(ISNUMBER(Y53),0.323835&gt;MAX(IF(ISNUMBER(W53),0.549579,-1),IF(ISNUMBER(X53),0.299732,-1))),Y53,"")))</f>
        <v/>
      </c>
      <c r="AA53" s="5">
        <f>IF(AND(O53&lt;=-1,E53&lt;0),E52,"")</f>
        <v/>
      </c>
      <c r="AB53" s="5">
        <f>IF(AND(Q53&gt;0,S53&gt;0),E52,"")</f>
        <v/>
      </c>
      <c r="AC53" s="5">
        <f>IF(AND(S53&gt;0,U53&lt;0),E52,"")</f>
        <v/>
      </c>
      <c r="AD53" s="5">
        <f>IF(AND(ISNUMBER(AA53),0.408167&gt;=MAX(IF(ISNUMBER(AB53),0.31868,-1),IF(ISNUMBER(AC53),0.510996,-1))),AA53,IF(AND(ISNUMBER(AB53),0.31868&gt;MAX(IF(ISNUMBER(AA53),0.408167,-1),IF(ISNUMBER(AC53),0.510996,-1))),AB53,IF(AND(ISNUMBER(AC53),0.510996&gt;MAX(IF(ISNUMBER(AA53),0.408167,-1),IF(ISNUMBER(AB53),0.31868,-1))),AC53,"")))</f>
        <v/>
      </c>
    </row>
    <row r="54">
      <c r="A54" s="5" t="inlineStr">
        <is>
          <t>2026/06/05</t>
        </is>
      </c>
      <c r="B54" s="5" t="n">
        <v>158.91</v>
      </c>
      <c r="C54" s="5">
        <f>IF(AND(ISNUMBER(B54),ISNUMBER(B55)),(B54/B55-1)*100,"")</f>
        <v/>
      </c>
      <c r="D54" s="5" t="n">
        <v>64.256</v>
      </c>
      <c r="E54" s="5">
        <f>IF(AND(ISNUMBER(D54),ISNUMBER(D55)),(D54/D55-1)*100,"")</f>
        <v/>
      </c>
      <c r="F54" s="5" t="n">
        <v>78.6815</v>
      </c>
      <c r="G54" s="5">
        <f>IF(AND(ISNUMBER(F54),ISNUMBER(F55)),(F54/F55-1)*100,"")</f>
        <v/>
      </c>
      <c r="H54" s="5" t="n">
        <v>52.1174</v>
      </c>
      <c r="I54" s="5">
        <f>IF(AND(ISNUMBER(H54),ISNUMBER(H55)),(H54/H55-1)*100,"")</f>
        <v/>
      </c>
      <c r="J54" s="5" t="n">
        <v>78.84</v>
      </c>
      <c r="K54" s="5">
        <f>IF(AND(ISNUMBER(J54),ISNUMBER(J55)),(J54/J55-1)*100,"")</f>
        <v/>
      </c>
      <c r="L54" s="5" t="n">
        <v>39.6753</v>
      </c>
      <c r="M54" s="5">
        <f>IF(AND(ISNUMBER(L54),ISNUMBER(L55)),(L54/L55-1)*100,"")</f>
        <v/>
      </c>
      <c r="N54" s="5" t="n"/>
      <c r="O54" s="5">
        <f>IF(AND(ISNUMBER(N54),ISNUMBER(N55)),(N54/N55-1)*100,"")</f>
        <v/>
      </c>
      <c r="P54" s="5" t="n"/>
      <c r="Q54" s="5">
        <f>IF(AND(ISNUMBER(P54),ISNUMBER(P55)),(P54/P55-1)*100,"")</f>
        <v/>
      </c>
      <c r="R54" s="5" t="n"/>
      <c r="S54" s="5">
        <f>IF(AND(ISNUMBER(R54),ISNUMBER(R55)),(R54/R55-1)*100,"")</f>
        <v/>
      </c>
      <c r="T54" s="5" t="n"/>
      <c r="U54" s="5">
        <f>IF(AND(ISNUMBER(T54),ISNUMBER(T55)),(T54/T55-1)*100,"")</f>
        <v/>
      </c>
      <c r="V54" s="5" t="n"/>
      <c r="W54" s="5">
        <f>IF(AND(V54&gt;0,C54&lt;=-2),C53,"")</f>
        <v/>
      </c>
      <c r="X54" s="5">
        <f>IF(AND(G54&gt;0,I54&lt;0,K54&gt;0),C53,"")</f>
        <v/>
      </c>
      <c r="Y54" s="5">
        <f>IF(AND(K54&lt;0,M54&gt;0),C53,"")</f>
        <v/>
      </c>
      <c r="Z54" s="5">
        <f>IF(AND(ISNUMBER(W54),0.549579&gt;=MAX(IF(ISNUMBER(X54),0.299732,-1),IF(ISNUMBER(Y54),0.323835,-1))),W54,IF(AND(ISNUMBER(X54),0.299732&gt;MAX(IF(ISNUMBER(W54),0.549579,-1),IF(ISNUMBER(Y54),0.323835,-1))),X54,IF(AND(ISNUMBER(Y54),0.323835&gt;MAX(IF(ISNUMBER(W54),0.549579,-1),IF(ISNUMBER(X54),0.299732,-1))),Y54,"")))</f>
        <v/>
      </c>
      <c r="AA54" s="5">
        <f>IF(AND(O54&lt;=-1,E54&lt;0),E53,"")</f>
        <v/>
      </c>
      <c r="AB54" s="5">
        <f>IF(AND(Q54&gt;0,S54&gt;0),E53,"")</f>
        <v/>
      </c>
      <c r="AC54" s="5">
        <f>IF(AND(S54&gt;0,U54&lt;0),E53,"")</f>
        <v/>
      </c>
      <c r="AD54" s="5">
        <f>IF(AND(ISNUMBER(AA54),0.408167&gt;=MAX(IF(ISNUMBER(AB54),0.31868,-1),IF(ISNUMBER(AC54),0.510996,-1))),AA54,IF(AND(ISNUMBER(AB54),0.31868&gt;MAX(IF(ISNUMBER(AA54),0.408167,-1),IF(ISNUMBER(AC54),0.510996,-1))),AB54,IF(AND(ISNUMBER(AC54),0.510996&gt;MAX(IF(ISNUMBER(AA54),0.408167,-1),IF(ISNUMBER(AB54),0.31868,-1))),AC54,"")))</f>
        <v/>
      </c>
    </row>
    <row r="55">
      <c r="A55" s="5" t="inlineStr">
        <is>
          <t>2026/06/04</t>
        </is>
      </c>
      <c r="B55" s="5" t="n">
        <v>175.71</v>
      </c>
      <c r="C55" s="5">
        <f>IF(AND(ISNUMBER(B55),ISNUMBER(B56)),(B55/B56-1)*100,"")</f>
        <v/>
      </c>
      <c r="D55" s="5" t="n">
        <v>68.7427</v>
      </c>
      <c r="E55" s="5">
        <f>IF(AND(ISNUMBER(D55),ISNUMBER(D56)),(D55/D56-1)*100,"")</f>
        <v/>
      </c>
      <c r="F55" s="5" t="n">
        <v>79.07769999999999</v>
      </c>
      <c r="G55" s="5">
        <f>IF(AND(ISNUMBER(F55),ISNUMBER(F56)),(F55/F56-1)*100,"")</f>
        <v/>
      </c>
      <c r="H55" s="5" t="n">
        <v>52.0078</v>
      </c>
      <c r="I55" s="5">
        <f>IF(AND(ISNUMBER(H55),ISNUMBER(H56)),(H55/H56-1)*100,"")</f>
        <v/>
      </c>
      <c r="J55" s="5" t="n">
        <v>86.40000000000001</v>
      </c>
      <c r="K55" s="5">
        <f>IF(AND(ISNUMBER(J55),ISNUMBER(J56)),(J55/J56-1)*100,"")</f>
        <v/>
      </c>
      <c r="L55" s="5" t="n">
        <v>-4.1096</v>
      </c>
      <c r="M55" s="5">
        <f>IF(AND(ISNUMBER(L55),ISNUMBER(L56)),(L55/L56-1)*100,"")</f>
        <v/>
      </c>
      <c r="N55" s="5" t="n"/>
      <c r="O55" s="5">
        <f>IF(AND(ISNUMBER(N55),ISNUMBER(N56)),(N55/N56-1)*100,"")</f>
        <v/>
      </c>
      <c r="P55" s="5" t="n"/>
      <c r="Q55" s="5">
        <f>IF(AND(ISNUMBER(P55),ISNUMBER(P56)),(P55/P56-1)*100,"")</f>
        <v/>
      </c>
      <c r="R55" s="5" t="n"/>
      <c r="S55" s="5">
        <f>IF(AND(ISNUMBER(R55),ISNUMBER(R56)),(R55/R56-1)*100,"")</f>
        <v/>
      </c>
      <c r="T55" s="5" t="n"/>
      <c r="U55" s="5">
        <f>IF(AND(ISNUMBER(T55),ISNUMBER(T56)),(T55/T56-1)*100,"")</f>
        <v/>
      </c>
      <c r="V55" s="5" t="n"/>
      <c r="W55" s="5">
        <f>IF(AND(V55&gt;0,C55&lt;=-2),C54,"")</f>
        <v/>
      </c>
      <c r="X55" s="5">
        <f>IF(AND(G55&gt;0,I55&lt;0,K55&gt;0),C54,"")</f>
        <v/>
      </c>
      <c r="Y55" s="5">
        <f>IF(AND(K55&lt;0,M55&gt;0),C54,"")</f>
        <v/>
      </c>
      <c r="Z55" s="5">
        <f>IF(AND(ISNUMBER(W55),0.549579&gt;=MAX(IF(ISNUMBER(X55),0.299732,-1),IF(ISNUMBER(Y55),0.323835,-1))),W55,IF(AND(ISNUMBER(X55),0.299732&gt;MAX(IF(ISNUMBER(W55),0.549579,-1),IF(ISNUMBER(Y55),0.323835,-1))),X55,IF(AND(ISNUMBER(Y55),0.323835&gt;MAX(IF(ISNUMBER(W55),0.549579,-1),IF(ISNUMBER(X55),0.299732,-1))),Y55,"")))</f>
        <v/>
      </c>
      <c r="AA55" s="5">
        <f>IF(AND(O55&lt;=-1,E55&lt;0),E54,"")</f>
        <v/>
      </c>
      <c r="AB55" s="5">
        <f>IF(AND(Q55&gt;0,S55&gt;0),E54,"")</f>
        <v/>
      </c>
      <c r="AC55" s="5">
        <f>IF(AND(S55&gt;0,U55&lt;0),E54,"")</f>
        <v/>
      </c>
      <c r="AD55" s="5">
        <f>IF(AND(ISNUMBER(AA55),0.408167&gt;=MAX(IF(ISNUMBER(AB55),0.31868,-1),IF(ISNUMBER(AC55),0.510996,-1))),AA55,IF(AND(ISNUMBER(AB55),0.31868&gt;MAX(IF(ISNUMBER(AA55),0.408167,-1),IF(ISNUMBER(AC55),0.510996,-1))),AB55,IF(AND(ISNUMBER(AC55),0.510996&gt;MAX(IF(ISNUMBER(AA55),0.408167,-1),IF(ISNUMBER(AB55),0.31868,-1))),AC55,"")))</f>
        <v/>
      </c>
    </row>
    <row r="56">
      <c r="A56" s="5" t="inlineStr">
        <is>
          <t>2026/06/03</t>
        </is>
      </c>
      <c r="B56" s="5" t="n">
        <v>177.54</v>
      </c>
      <c r="C56" s="5">
        <f>IF(AND(ISNUMBER(B56),ISNUMBER(B57)),(B56/B57-1)*100,"")</f>
        <v/>
      </c>
      <c r="D56" s="5" t="n">
        <v>69.55840000000001</v>
      </c>
      <c r="E56" s="5">
        <f>IF(AND(ISNUMBER(D56),ISNUMBER(D57)),(D56/D57-1)*100,"")</f>
        <v/>
      </c>
      <c r="F56" s="5" t="n">
        <v>78.92910000000001</v>
      </c>
      <c r="G56" s="5">
        <f>IF(AND(ISNUMBER(F56),ISNUMBER(F57)),(F56/F57-1)*100,"")</f>
        <v/>
      </c>
      <c r="H56" s="5" t="n">
        <v>50.6924</v>
      </c>
      <c r="I56" s="5">
        <f>IF(AND(ISNUMBER(H56),ISNUMBER(H57)),(H56/H57-1)*100,"")</f>
        <v/>
      </c>
      <c r="J56" s="5" t="n">
        <v>85</v>
      </c>
      <c r="K56" s="5">
        <f>IF(AND(ISNUMBER(J56),ISNUMBER(J57)),(J56/J57-1)*100,"")</f>
        <v/>
      </c>
      <c r="L56" s="5" t="n">
        <v>1.8389</v>
      </c>
      <c r="M56" s="5">
        <f>IF(AND(ISNUMBER(L56),ISNUMBER(L57)),(L56/L57-1)*100,"")</f>
        <v/>
      </c>
      <c r="N56" s="5" t="n"/>
      <c r="O56" s="5">
        <f>IF(AND(ISNUMBER(N56),ISNUMBER(N57)),(N56/N57-1)*100,"")</f>
        <v/>
      </c>
      <c r="P56" s="5" t="n"/>
      <c r="Q56" s="5">
        <f>IF(AND(ISNUMBER(P56),ISNUMBER(P57)),(P56/P57-1)*100,"")</f>
        <v/>
      </c>
      <c r="R56" s="5" t="n"/>
      <c r="S56" s="5">
        <f>IF(AND(ISNUMBER(R56),ISNUMBER(R57)),(R56/R57-1)*100,"")</f>
        <v/>
      </c>
      <c r="T56" s="5" t="n"/>
      <c r="U56" s="5">
        <f>IF(AND(ISNUMBER(T56),ISNUMBER(T57)),(T56/T57-1)*100,"")</f>
        <v/>
      </c>
      <c r="V56" s="5" t="n"/>
      <c r="W56" s="5">
        <f>IF(AND(V56&gt;0,C56&lt;=-2),C55,"")</f>
        <v/>
      </c>
      <c r="X56" s="5">
        <f>IF(AND(G56&gt;0,I56&lt;0,K56&gt;0),C55,"")</f>
        <v/>
      </c>
      <c r="Y56" s="5">
        <f>IF(AND(K56&lt;0,M56&gt;0),C55,"")</f>
        <v/>
      </c>
      <c r="Z56" s="5">
        <f>IF(AND(ISNUMBER(W56),0.549579&gt;=MAX(IF(ISNUMBER(X56),0.299732,-1),IF(ISNUMBER(Y56),0.323835,-1))),W56,IF(AND(ISNUMBER(X56),0.299732&gt;MAX(IF(ISNUMBER(W56),0.549579,-1),IF(ISNUMBER(Y56),0.323835,-1))),X56,IF(AND(ISNUMBER(Y56),0.323835&gt;MAX(IF(ISNUMBER(W56),0.549579,-1),IF(ISNUMBER(X56),0.299732,-1))),Y56,"")))</f>
        <v/>
      </c>
      <c r="AA56" s="5">
        <f>IF(AND(O56&lt;=-1,E56&lt;0),E55,"")</f>
        <v/>
      </c>
      <c r="AB56" s="5">
        <f>IF(AND(Q56&gt;0,S56&gt;0),E55,"")</f>
        <v/>
      </c>
      <c r="AC56" s="5">
        <f>IF(AND(S56&gt;0,U56&lt;0),E55,"")</f>
        <v/>
      </c>
      <c r="AD56" s="5">
        <f>IF(AND(ISNUMBER(AA56),0.408167&gt;=MAX(IF(ISNUMBER(AB56),0.31868,-1),IF(ISNUMBER(AC56),0.510996,-1))),AA56,IF(AND(ISNUMBER(AB56),0.31868&gt;MAX(IF(ISNUMBER(AA56),0.408167,-1),IF(ISNUMBER(AC56),0.510996,-1))),AB56,IF(AND(ISNUMBER(AC56),0.510996&gt;MAX(IF(ISNUMBER(AA56),0.408167,-1),IF(ISNUMBER(AB56),0.31868,-1))),AC56,"")))</f>
        <v/>
      </c>
    </row>
    <row r="57">
      <c r="A57" s="5" t="inlineStr">
        <is>
          <t>2026/06/02</t>
        </is>
      </c>
      <c r="B57" s="5" t="n">
        <v>178.58</v>
      </c>
      <c r="C57" s="5">
        <f>IF(AND(ISNUMBER(B57),ISNUMBER(B58)),(B57/B58-1)*100,"")</f>
        <v/>
      </c>
      <c r="D57" s="5" t="n">
        <v>70.43389999999999</v>
      </c>
      <c r="E57" s="5">
        <f>IF(AND(ISNUMBER(D57),ISNUMBER(D58)),(D57/D58-1)*100,"")</f>
        <v/>
      </c>
      <c r="F57" s="5" t="n">
        <v>79.14709999999999</v>
      </c>
      <c r="G57" s="5">
        <f>IF(AND(ISNUMBER(F57),ISNUMBER(F58)),(F57/F58-1)*100,"")</f>
        <v/>
      </c>
      <c r="H57" s="5" t="n">
        <v>51.2804</v>
      </c>
      <c r="I57" s="5">
        <f>IF(AND(ISNUMBER(H57),ISNUMBER(H58)),(H57/H58-1)*100,"")</f>
        <v/>
      </c>
      <c r="J57" s="5" t="n">
        <v>88.05</v>
      </c>
      <c r="K57" s="5">
        <f>IF(AND(ISNUMBER(J57),ISNUMBER(J58)),(J57/J58-1)*100,"")</f>
        <v/>
      </c>
      <c r="L57" s="5" t="n">
        <v>-1.7445</v>
      </c>
      <c r="M57" s="5">
        <f>IF(AND(ISNUMBER(L57),ISNUMBER(L58)),(L57/L58-1)*100,"")</f>
        <v/>
      </c>
      <c r="N57" s="5" t="n"/>
      <c r="O57" s="5">
        <f>IF(AND(ISNUMBER(N57),ISNUMBER(N58)),(N57/N58-1)*100,"")</f>
        <v/>
      </c>
      <c r="P57" s="5" t="n"/>
      <c r="Q57" s="5">
        <f>IF(AND(ISNUMBER(P57),ISNUMBER(P58)),(P57/P58-1)*100,"")</f>
        <v/>
      </c>
      <c r="R57" s="5" t="n"/>
      <c r="S57" s="5">
        <f>IF(AND(ISNUMBER(R57),ISNUMBER(R58)),(R57/R58-1)*100,"")</f>
        <v/>
      </c>
      <c r="T57" s="5" t="n"/>
      <c r="U57" s="5">
        <f>IF(AND(ISNUMBER(T57),ISNUMBER(T58)),(T57/T58-1)*100,"")</f>
        <v/>
      </c>
      <c r="V57" s="5" t="n"/>
      <c r="W57" s="5">
        <f>IF(AND(V57&gt;0,C57&lt;=-2),C56,"")</f>
        <v/>
      </c>
      <c r="X57" s="5">
        <f>IF(AND(G57&gt;0,I57&lt;0,K57&gt;0),C56,"")</f>
        <v/>
      </c>
      <c r="Y57" s="5">
        <f>IF(AND(K57&lt;0,M57&gt;0),C56,"")</f>
        <v/>
      </c>
      <c r="Z57" s="5">
        <f>IF(AND(ISNUMBER(W57),0.549579&gt;=MAX(IF(ISNUMBER(X57),0.299732,-1),IF(ISNUMBER(Y57),0.323835,-1))),W57,IF(AND(ISNUMBER(X57),0.299732&gt;MAX(IF(ISNUMBER(W57),0.549579,-1),IF(ISNUMBER(Y57),0.323835,-1))),X57,IF(AND(ISNUMBER(Y57),0.323835&gt;MAX(IF(ISNUMBER(W57),0.549579,-1),IF(ISNUMBER(X57),0.299732,-1))),Y57,"")))</f>
        <v/>
      </c>
      <c r="AA57" s="5">
        <f>IF(AND(O57&lt;=-1,E57&lt;0),E56,"")</f>
        <v/>
      </c>
      <c r="AB57" s="5">
        <f>IF(AND(Q57&gt;0,S57&gt;0),E56,"")</f>
        <v/>
      </c>
      <c r="AC57" s="5">
        <f>IF(AND(S57&gt;0,U57&lt;0),E56,"")</f>
        <v/>
      </c>
      <c r="AD57" s="5">
        <f>IF(AND(ISNUMBER(AA57),0.408167&gt;=MAX(IF(ISNUMBER(AB57),0.31868,-1),IF(ISNUMBER(AC57),0.510996,-1))),AA57,IF(AND(ISNUMBER(AB57),0.31868&gt;MAX(IF(ISNUMBER(AA57),0.408167,-1),IF(ISNUMBER(AC57),0.510996,-1))),AB57,IF(AND(ISNUMBER(AC57),0.510996&gt;MAX(IF(ISNUMBER(AA57),0.408167,-1),IF(ISNUMBER(AB57),0.31868,-1))),AC57,"")))</f>
        <v/>
      </c>
    </row>
    <row r="58">
      <c r="A58" s="5" t="inlineStr">
        <is>
          <t>2026/06/01</t>
        </is>
      </c>
      <c r="B58" s="5" t="n">
        <v>176.92</v>
      </c>
      <c r="C58" s="5">
        <f>IF(AND(ISNUMBER(B58),ISNUMBER(B59)),(B58/B59-1)*100,"")</f>
        <v/>
      </c>
      <c r="D58" s="5" t="n">
        <v>69.7176</v>
      </c>
      <c r="E58" s="5">
        <f>IF(AND(ISNUMBER(D58),ISNUMBER(D59)),(D58/D59-1)*100,"")</f>
        <v/>
      </c>
      <c r="F58" s="5" t="n">
        <v>79.08759999999999</v>
      </c>
      <c r="G58" s="5">
        <f>IF(AND(ISNUMBER(F58),ISNUMBER(F59)),(F58/F59-1)*100,"")</f>
        <v/>
      </c>
      <c r="H58" s="5" t="n">
        <v>51.2505</v>
      </c>
      <c r="I58" s="5">
        <f>IF(AND(ISNUMBER(H58),ISNUMBER(H59)),(H58/H59-1)*100,"")</f>
        <v/>
      </c>
      <c r="J58" s="5" t="n">
        <v>86.68000000000001</v>
      </c>
      <c r="K58" s="5">
        <f>IF(AND(ISNUMBER(J58),ISNUMBER(J59)),(J58/J59-1)*100,"")</f>
        <v/>
      </c>
      <c r="L58" s="5" t="n">
        <v>4.765</v>
      </c>
      <c r="M58" s="5">
        <f>IF(AND(ISNUMBER(L58),ISNUMBER(L59)),(L58/L59-1)*100,"")</f>
        <v/>
      </c>
      <c r="N58" s="5" t="n"/>
      <c r="O58" s="5">
        <f>IF(AND(ISNUMBER(N58),ISNUMBER(N59)),(N58/N59-1)*100,"")</f>
        <v/>
      </c>
      <c r="P58" s="5" t="n"/>
      <c r="Q58" s="5">
        <f>IF(AND(ISNUMBER(P58),ISNUMBER(P59)),(P58/P59-1)*100,"")</f>
        <v/>
      </c>
      <c r="R58" s="5" t="n"/>
      <c r="S58" s="5">
        <f>IF(AND(ISNUMBER(R58),ISNUMBER(R59)),(R58/R59-1)*100,"")</f>
        <v/>
      </c>
      <c r="T58" s="5" t="n"/>
      <c r="U58" s="5">
        <f>IF(AND(ISNUMBER(T58),ISNUMBER(T59)),(T58/T59-1)*100,"")</f>
        <v/>
      </c>
      <c r="V58" s="5" t="n"/>
      <c r="W58" s="5">
        <f>IF(AND(V58&gt;0,C58&lt;=-2),C57,"")</f>
        <v/>
      </c>
      <c r="X58" s="5">
        <f>IF(AND(G58&gt;0,I58&lt;0,K58&gt;0),C57,"")</f>
        <v/>
      </c>
      <c r="Y58" s="5">
        <f>IF(AND(K58&lt;0,M58&gt;0),C57,"")</f>
        <v/>
      </c>
      <c r="Z58" s="5">
        <f>IF(AND(ISNUMBER(W58),0.549579&gt;=MAX(IF(ISNUMBER(X58),0.299732,-1),IF(ISNUMBER(Y58),0.323835,-1))),W58,IF(AND(ISNUMBER(X58),0.299732&gt;MAX(IF(ISNUMBER(W58),0.549579,-1),IF(ISNUMBER(Y58),0.323835,-1))),X58,IF(AND(ISNUMBER(Y58),0.323835&gt;MAX(IF(ISNUMBER(W58),0.549579,-1),IF(ISNUMBER(X58),0.299732,-1))),Y58,"")))</f>
        <v/>
      </c>
      <c r="AA58" s="5">
        <f>IF(AND(O58&lt;=-1,E58&lt;0),E57,"")</f>
        <v/>
      </c>
      <c r="AB58" s="5">
        <f>IF(AND(Q58&gt;0,S58&gt;0),E57,"")</f>
        <v/>
      </c>
      <c r="AC58" s="5">
        <f>IF(AND(S58&gt;0,U58&lt;0),E57,"")</f>
        <v/>
      </c>
      <c r="AD58" s="5">
        <f>IF(AND(ISNUMBER(AA58),0.408167&gt;=MAX(IF(ISNUMBER(AB58),0.31868,-1),IF(ISNUMBER(AC58),0.510996,-1))),AA58,IF(AND(ISNUMBER(AB58),0.31868&gt;MAX(IF(ISNUMBER(AA58),0.408167,-1),IF(ISNUMBER(AC58),0.510996,-1))),AB58,IF(AND(ISNUMBER(AC58),0.510996&gt;MAX(IF(ISNUMBER(AA58),0.408167,-1),IF(ISNUMBER(AB58),0.31868,-1))),AC58,"")))</f>
        <v/>
      </c>
    </row>
    <row r="59">
      <c r="A59" s="5" t="inlineStr">
        <is>
          <t>2026/05/29</t>
        </is>
      </c>
      <c r="B59" s="5" t="n">
        <v>174.92</v>
      </c>
      <c r="C59" s="5">
        <f>IF(AND(ISNUMBER(B59),ISNUMBER(B60)),(B59/B60-1)*100,"")</f>
        <v/>
      </c>
      <c r="D59" s="5" t="n">
        <v>68.2453</v>
      </c>
      <c r="E59" s="5">
        <f>IF(AND(ISNUMBER(D59),ISNUMBER(D60)),(D59/D60-1)*100,"")</f>
        <v/>
      </c>
      <c r="F59" s="5" t="n">
        <v>79.1481</v>
      </c>
      <c r="G59" s="5">
        <f>IF(AND(ISNUMBER(F59),ISNUMBER(F60)),(F59/F60-1)*100,"")</f>
        <v/>
      </c>
      <c r="H59" s="5" t="n">
        <v>51.3999</v>
      </c>
      <c r="I59" s="5">
        <f>IF(AND(ISNUMBER(H59),ISNUMBER(H60)),(H59/H60-1)*100,"")</f>
        <v/>
      </c>
      <c r="J59" s="5" t="n">
        <v>89.48999999999999</v>
      </c>
      <c r="K59" s="5">
        <f>IF(AND(ISNUMBER(J59),ISNUMBER(J60)),(J59/J60-1)*100,"")</f>
        <v/>
      </c>
      <c r="L59" s="5" t="n">
        <v>-2.6684</v>
      </c>
      <c r="M59" s="5">
        <f>IF(AND(ISNUMBER(L59),ISNUMBER(L60)),(L59/L60-1)*100,"")</f>
        <v/>
      </c>
      <c r="N59" s="5" t="n"/>
      <c r="O59" s="5">
        <f>IF(AND(ISNUMBER(N59),ISNUMBER(N60)),(N59/N60-1)*100,"")</f>
        <v/>
      </c>
      <c r="P59" s="5" t="n"/>
      <c r="Q59" s="5">
        <f>IF(AND(ISNUMBER(P59),ISNUMBER(P60)),(P59/P60-1)*100,"")</f>
        <v/>
      </c>
      <c r="R59" s="5" t="n"/>
      <c r="S59" s="5">
        <f>IF(AND(ISNUMBER(R59),ISNUMBER(R60)),(R59/R60-1)*100,"")</f>
        <v/>
      </c>
      <c r="T59" s="5" t="n"/>
      <c r="U59" s="5">
        <f>IF(AND(ISNUMBER(T59),ISNUMBER(T60)),(T59/T60-1)*100,"")</f>
        <v/>
      </c>
      <c r="V59" s="5" t="n"/>
      <c r="W59" s="5">
        <f>IF(AND(V59&gt;0,C59&lt;=-2),C58,"")</f>
        <v/>
      </c>
      <c r="X59" s="5">
        <f>IF(AND(G59&gt;0,I59&lt;0,K59&gt;0),C58,"")</f>
        <v/>
      </c>
      <c r="Y59" s="5">
        <f>IF(AND(K59&lt;0,M59&gt;0),C58,"")</f>
        <v/>
      </c>
      <c r="Z59" s="5">
        <f>IF(AND(ISNUMBER(W59),0.549579&gt;=MAX(IF(ISNUMBER(X59),0.299732,-1),IF(ISNUMBER(Y59),0.323835,-1))),W59,IF(AND(ISNUMBER(X59),0.299732&gt;MAX(IF(ISNUMBER(W59),0.549579,-1),IF(ISNUMBER(Y59),0.323835,-1))),X59,IF(AND(ISNUMBER(Y59),0.323835&gt;MAX(IF(ISNUMBER(W59),0.549579,-1),IF(ISNUMBER(X59),0.299732,-1))),Y59,"")))</f>
        <v/>
      </c>
      <c r="AA59" s="5">
        <f>IF(AND(O59&lt;=-1,E59&lt;0),E58,"")</f>
        <v/>
      </c>
      <c r="AB59" s="5">
        <f>IF(AND(Q59&gt;0,S59&gt;0),E58,"")</f>
        <v/>
      </c>
      <c r="AC59" s="5">
        <f>IF(AND(S59&gt;0,U59&lt;0),E58,"")</f>
        <v/>
      </c>
      <c r="AD59" s="5">
        <f>IF(AND(ISNUMBER(AA59),0.408167&gt;=MAX(IF(ISNUMBER(AB59),0.31868,-1),IF(ISNUMBER(AC59),0.510996,-1))),AA59,IF(AND(ISNUMBER(AB59),0.31868&gt;MAX(IF(ISNUMBER(AA59),0.408167,-1),IF(ISNUMBER(AC59),0.510996,-1))),AB59,IF(AND(ISNUMBER(AC59),0.510996&gt;MAX(IF(ISNUMBER(AA59),0.408167,-1),IF(ISNUMBER(AB59),0.31868,-1))),AC59,"")))</f>
        <v/>
      </c>
    </row>
    <row r="60">
      <c r="A60" s="5" t="inlineStr">
        <is>
          <t>2026/05/28</t>
        </is>
      </c>
      <c r="B60" s="5" t="n">
        <v>173.68</v>
      </c>
      <c r="C60" s="5">
        <f>IF(AND(ISNUMBER(B60),ISNUMBER(B61)),(B60/B61-1)*100,"")</f>
        <v/>
      </c>
      <c r="D60" s="5" t="n">
        <v>68.2552</v>
      </c>
      <c r="E60" s="5">
        <f>IF(AND(ISNUMBER(D60),ISNUMBER(D61)),(D60/D61-1)*100,"")</f>
        <v/>
      </c>
      <c r="F60" s="5" t="n">
        <v>79.0692</v>
      </c>
      <c r="G60" s="5">
        <f>IF(AND(ISNUMBER(F60),ISNUMBER(F61)),(F60/F61-1)*100,"")</f>
        <v/>
      </c>
      <c r="H60" s="5" t="n">
        <v>51.091</v>
      </c>
      <c r="I60" s="5">
        <f>IF(AND(ISNUMBER(H60),ISNUMBER(H61)),(H60/H61-1)*100,"")</f>
        <v/>
      </c>
      <c r="J60" s="5" t="n">
        <v>87.18000000000001</v>
      </c>
      <c r="K60" s="5">
        <f>IF(AND(ISNUMBER(J60),ISNUMBER(J61)),(J60/J61-1)*100,"")</f>
        <v/>
      </c>
      <c r="L60" s="5" t="n">
        <v>-3.3763</v>
      </c>
      <c r="M60" s="5">
        <f>IF(AND(ISNUMBER(L60),ISNUMBER(L61)),(L60/L61-1)*100,"")</f>
        <v/>
      </c>
      <c r="N60" s="5" t="n"/>
      <c r="O60" s="5">
        <f>IF(AND(ISNUMBER(N60),ISNUMBER(N61)),(N60/N61-1)*100,"")</f>
        <v/>
      </c>
      <c r="P60" s="5" t="n"/>
      <c r="Q60" s="5">
        <f>IF(AND(ISNUMBER(P60),ISNUMBER(P61)),(P60/P61-1)*100,"")</f>
        <v/>
      </c>
      <c r="R60" s="5" t="n"/>
      <c r="S60" s="5">
        <f>IF(AND(ISNUMBER(R60),ISNUMBER(R61)),(R60/R61-1)*100,"")</f>
        <v/>
      </c>
      <c r="T60" s="5" t="n"/>
      <c r="U60" s="5">
        <f>IF(AND(ISNUMBER(T60),ISNUMBER(T61)),(T60/T61-1)*100,"")</f>
        <v/>
      </c>
      <c r="V60" s="5" t="n"/>
      <c r="W60" s="5">
        <f>IF(AND(V60&gt;0,C60&lt;=-2),C59,"")</f>
        <v/>
      </c>
      <c r="X60" s="5">
        <f>IF(AND(G60&gt;0,I60&lt;0,K60&gt;0),C59,"")</f>
        <v/>
      </c>
      <c r="Y60" s="5">
        <f>IF(AND(K60&lt;0,M60&gt;0),C59,"")</f>
        <v/>
      </c>
      <c r="Z60" s="5">
        <f>IF(AND(ISNUMBER(W60),0.549579&gt;=MAX(IF(ISNUMBER(X60),0.299732,-1),IF(ISNUMBER(Y60),0.323835,-1))),W60,IF(AND(ISNUMBER(X60),0.299732&gt;MAX(IF(ISNUMBER(W60),0.549579,-1),IF(ISNUMBER(Y60),0.323835,-1))),X60,IF(AND(ISNUMBER(Y60),0.323835&gt;MAX(IF(ISNUMBER(W60),0.549579,-1),IF(ISNUMBER(X60),0.299732,-1))),Y60,"")))</f>
        <v/>
      </c>
      <c r="AA60" s="5">
        <f>IF(AND(O60&lt;=-1,E60&lt;0),E59,"")</f>
        <v/>
      </c>
      <c r="AB60" s="5">
        <f>IF(AND(Q60&gt;0,S60&gt;0),E59,"")</f>
        <v/>
      </c>
      <c r="AC60" s="5">
        <f>IF(AND(S60&gt;0,U60&lt;0),E59,"")</f>
        <v/>
      </c>
      <c r="AD60" s="5">
        <f>IF(AND(ISNUMBER(AA60),0.408167&gt;=MAX(IF(ISNUMBER(AB60),0.31868,-1),IF(ISNUMBER(AC60),0.510996,-1))),AA60,IF(AND(ISNUMBER(AB60),0.31868&gt;MAX(IF(ISNUMBER(AA60),0.408167,-1),IF(ISNUMBER(AC60),0.510996,-1))),AB60,IF(AND(ISNUMBER(AC60),0.510996&gt;MAX(IF(ISNUMBER(AA60),0.408167,-1),IF(ISNUMBER(AB60),0.31868,-1))),AC60,"")))</f>
        <v/>
      </c>
    </row>
    <row r="61">
      <c r="A61" s="5" t="inlineStr">
        <is>
          <t>2026/05/27</t>
        </is>
      </c>
      <c r="B61" s="5" t="n">
        <v>170.84</v>
      </c>
      <c r="C61" s="5">
        <f>IF(AND(ISNUMBER(B61),ISNUMBER(B62)),(B61/B62-1)*100,"")</f>
        <v/>
      </c>
      <c r="D61" s="5" t="n">
        <v>68.0364</v>
      </c>
      <c r="E61" s="5">
        <f>IF(AND(ISNUMBER(D61),ISNUMBER(D62)),(D61/D62-1)*100,"")</f>
        <v/>
      </c>
      <c r="F61" s="5" t="n">
        <v>78.97069999999999</v>
      </c>
      <c r="G61" s="5">
        <f>IF(AND(ISNUMBER(F61),ISNUMBER(F62)),(F61/F62-1)*100,"")</f>
        <v/>
      </c>
      <c r="H61" s="5" t="n">
        <v>51.2405</v>
      </c>
      <c r="I61" s="5">
        <f>IF(AND(ISNUMBER(H61),ISNUMBER(H62)),(H61/H62-1)*100,"")</f>
        <v/>
      </c>
      <c r="J61" s="5" t="n">
        <v>85.44</v>
      </c>
      <c r="K61" s="5">
        <f>IF(AND(ISNUMBER(J61),ISNUMBER(J62)),(J61/J62-1)*100,"")</f>
        <v/>
      </c>
      <c r="L61" s="5" t="n">
        <v>-4.2328</v>
      </c>
      <c r="M61" s="5">
        <f>IF(AND(ISNUMBER(L61),ISNUMBER(L62)),(L61/L62-1)*100,"")</f>
        <v/>
      </c>
      <c r="N61" s="5" t="n"/>
      <c r="O61" s="5">
        <f>IF(AND(ISNUMBER(N61),ISNUMBER(N62)),(N61/N62-1)*100,"")</f>
        <v/>
      </c>
      <c r="P61" s="5" t="n"/>
      <c r="Q61" s="5">
        <f>IF(AND(ISNUMBER(P61),ISNUMBER(P62)),(P61/P62-1)*100,"")</f>
        <v/>
      </c>
      <c r="R61" s="5" t="n"/>
      <c r="S61" s="5">
        <f>IF(AND(ISNUMBER(R61),ISNUMBER(R62)),(R61/R62-1)*100,"")</f>
        <v/>
      </c>
      <c r="T61" s="5" t="n"/>
      <c r="U61" s="5">
        <f>IF(AND(ISNUMBER(T61),ISNUMBER(T62)),(T61/T62-1)*100,"")</f>
        <v/>
      </c>
      <c r="V61" s="5" t="n"/>
      <c r="W61" s="5">
        <f>IF(AND(V61&gt;0,C61&lt;=-2),C60,"")</f>
        <v/>
      </c>
      <c r="X61" s="5">
        <f>IF(AND(G61&gt;0,I61&lt;0,K61&gt;0),C60,"")</f>
        <v/>
      </c>
      <c r="Y61" s="5">
        <f>IF(AND(K61&lt;0,M61&gt;0),C60,"")</f>
        <v/>
      </c>
      <c r="Z61" s="5">
        <f>IF(AND(ISNUMBER(W61),0.549579&gt;=MAX(IF(ISNUMBER(X61),0.299732,-1),IF(ISNUMBER(Y61),0.323835,-1))),W61,IF(AND(ISNUMBER(X61),0.299732&gt;MAX(IF(ISNUMBER(W61),0.549579,-1),IF(ISNUMBER(Y61),0.323835,-1))),X61,IF(AND(ISNUMBER(Y61),0.323835&gt;MAX(IF(ISNUMBER(W61),0.549579,-1),IF(ISNUMBER(X61),0.299732,-1))),Y61,"")))</f>
        <v/>
      </c>
      <c r="AA61" s="5">
        <f>IF(AND(O61&lt;=-1,E61&lt;0),E60,"")</f>
        <v/>
      </c>
      <c r="AB61" s="5">
        <f>IF(AND(Q61&gt;0,S61&gt;0),E60,"")</f>
        <v/>
      </c>
      <c r="AC61" s="5">
        <f>IF(AND(S61&gt;0,U61&lt;0),E60,"")</f>
        <v/>
      </c>
      <c r="AD61" s="5">
        <f>IF(AND(ISNUMBER(AA61),0.408167&gt;=MAX(IF(ISNUMBER(AB61),0.31868,-1),IF(ISNUMBER(AC61),0.510996,-1))),AA61,IF(AND(ISNUMBER(AB61),0.31868&gt;MAX(IF(ISNUMBER(AA61),0.408167,-1),IF(ISNUMBER(AC61),0.510996,-1))),AB61,IF(AND(ISNUMBER(AC61),0.510996&gt;MAX(IF(ISNUMBER(AA61),0.408167,-1),IF(ISNUMBER(AB61),0.31868,-1))),AC61,"")))</f>
        <v/>
      </c>
    </row>
    <row r="62">
      <c r="A62" s="5" t="inlineStr">
        <is>
          <t>2026/05/26</t>
        </is>
      </c>
      <c r="B62" s="5" t="n">
        <v>171.19</v>
      </c>
      <c r="C62" s="5">
        <f>IF(AND(ISNUMBER(B62),ISNUMBER(B63)),(B62/B63-1)*100,"")</f>
        <v/>
      </c>
      <c r="D62" s="5" t="n">
        <v>68.0463</v>
      </c>
      <c r="E62" s="5">
        <f>IF(AND(ISNUMBER(D62),ISNUMBER(D63)),(D62/D63-1)*100,"")</f>
        <v/>
      </c>
      <c r="F62" s="5" t="n">
        <v>79.01990000000001</v>
      </c>
      <c r="G62" s="5">
        <f>IF(AND(ISNUMBER(F62),ISNUMBER(F63)),(F62/F63-1)*100,"")</f>
        <v/>
      </c>
      <c r="H62" s="5" t="n">
        <v>51.669</v>
      </c>
      <c r="I62" s="5">
        <f>IF(AND(ISNUMBER(H62),ISNUMBER(H63)),(H62/H63-1)*100,"")</f>
        <v/>
      </c>
      <c r="J62" s="5" t="n">
        <v>88.5</v>
      </c>
      <c r="K62" s="5">
        <f>IF(AND(ISNUMBER(J62),ISNUMBER(J63)),(J62/J63-1)*100,"")</f>
        <v/>
      </c>
      <c r="L62" s="5" t="n">
        <v>1.8563</v>
      </c>
      <c r="M62" s="5">
        <f>IF(AND(ISNUMBER(L62),ISNUMBER(L63)),(L62/L63-1)*100,"")</f>
        <v/>
      </c>
      <c r="N62" s="5" t="n"/>
      <c r="O62" s="5">
        <f>IF(AND(ISNUMBER(N62),ISNUMBER(N63)),(N62/N63-1)*100,"")</f>
        <v/>
      </c>
      <c r="P62" s="5" t="n"/>
      <c r="Q62" s="5">
        <f>IF(AND(ISNUMBER(P62),ISNUMBER(P63)),(P62/P63-1)*100,"")</f>
        <v/>
      </c>
      <c r="R62" s="5" t="n"/>
      <c r="S62" s="5">
        <f>IF(AND(ISNUMBER(R62),ISNUMBER(R63)),(R62/R63-1)*100,"")</f>
        <v/>
      </c>
      <c r="T62" s="5" t="n"/>
      <c r="U62" s="5">
        <f>IF(AND(ISNUMBER(T62),ISNUMBER(T63)),(T62/T63-1)*100,"")</f>
        <v/>
      </c>
      <c r="V62" s="5" t="n"/>
      <c r="W62" s="5">
        <f>IF(AND(V62&gt;0,C62&lt;=-2),C61,"")</f>
        <v/>
      </c>
      <c r="X62" s="5">
        <f>IF(AND(G62&gt;0,I62&lt;0,K62&gt;0),C61,"")</f>
        <v/>
      </c>
      <c r="Y62" s="5">
        <f>IF(AND(K62&lt;0,M62&gt;0),C61,"")</f>
        <v/>
      </c>
      <c r="Z62" s="5">
        <f>IF(AND(ISNUMBER(W62),0.549579&gt;=MAX(IF(ISNUMBER(X62),0.299732,-1),IF(ISNUMBER(Y62),0.323835,-1))),W62,IF(AND(ISNUMBER(X62),0.299732&gt;MAX(IF(ISNUMBER(W62),0.549579,-1),IF(ISNUMBER(Y62),0.323835,-1))),X62,IF(AND(ISNUMBER(Y62),0.323835&gt;MAX(IF(ISNUMBER(W62),0.549579,-1),IF(ISNUMBER(X62),0.299732,-1))),Y62,"")))</f>
        <v/>
      </c>
      <c r="AA62" s="5">
        <f>IF(AND(O62&lt;=-1,E62&lt;0),E61,"")</f>
        <v/>
      </c>
      <c r="AB62" s="5">
        <f>IF(AND(Q62&gt;0,S62&gt;0),E61,"")</f>
        <v/>
      </c>
      <c r="AC62" s="5">
        <f>IF(AND(S62&gt;0,U62&lt;0),E61,"")</f>
        <v/>
      </c>
      <c r="AD62" s="5">
        <f>IF(AND(ISNUMBER(AA62),0.408167&gt;=MAX(IF(ISNUMBER(AB62),0.31868,-1),IF(ISNUMBER(AC62),0.510996,-1))),AA62,IF(AND(ISNUMBER(AB62),0.31868&gt;MAX(IF(ISNUMBER(AA62),0.408167,-1),IF(ISNUMBER(AC62),0.510996,-1))),AB62,IF(AND(ISNUMBER(AC62),0.510996&gt;MAX(IF(ISNUMBER(AA62),0.408167,-1),IF(ISNUMBER(AB62),0.31868,-1))),AC62,"")))</f>
        <v/>
      </c>
    </row>
    <row r="63">
      <c r="A63" s="5" t="inlineStr">
        <is>
          <t>2026/05/22</t>
        </is>
      </c>
      <c r="B63" s="5" t="n">
        <v>165.46</v>
      </c>
      <c r="C63" s="5">
        <f>IF(AND(ISNUMBER(B63),ISNUMBER(B64)),(B63/B64-1)*100,"")</f>
        <v/>
      </c>
      <c r="D63" s="5" t="n">
        <v>65.5393</v>
      </c>
      <c r="E63" s="5">
        <f>IF(AND(ISNUMBER(D63),ISNUMBER(D64)),(D63/D64-1)*100,"")</f>
        <v/>
      </c>
      <c r="F63" s="5" t="n">
        <v>78.7539</v>
      </c>
      <c r="G63" s="5">
        <f>IF(AND(ISNUMBER(F63),ISNUMBER(F64)),(F63/F64-1)*100,"")</f>
        <v/>
      </c>
      <c r="H63" s="5" t="n">
        <v>51.7587</v>
      </c>
      <c r="I63" s="5">
        <f>IF(AND(ISNUMBER(H63),ISNUMBER(H64)),(H63/H64-1)*100,"")</f>
        <v/>
      </c>
      <c r="J63" s="5" t="n">
        <v>85.02</v>
      </c>
      <c r="K63" s="5">
        <f>IF(AND(ISNUMBER(J63),ISNUMBER(J64)),(J63/J64-1)*100,"")</f>
        <v/>
      </c>
      <c r="L63" s="5" t="n">
        <v>-0.358</v>
      </c>
      <c r="M63" s="5">
        <f>IF(AND(ISNUMBER(L63),ISNUMBER(L64)),(L63/L64-1)*100,"")</f>
        <v/>
      </c>
      <c r="N63" s="5" t="n"/>
      <c r="O63" s="5">
        <f>IF(AND(ISNUMBER(N63),ISNUMBER(N64)),(N63/N64-1)*100,"")</f>
        <v/>
      </c>
      <c r="P63" s="5" t="n"/>
      <c r="Q63" s="5">
        <f>IF(AND(ISNUMBER(P63),ISNUMBER(P64)),(P63/P64-1)*100,"")</f>
        <v/>
      </c>
      <c r="R63" s="5" t="n"/>
      <c r="S63" s="5">
        <f>IF(AND(ISNUMBER(R63),ISNUMBER(R64)),(R63/R64-1)*100,"")</f>
        <v/>
      </c>
      <c r="T63" s="5" t="n"/>
      <c r="U63" s="5">
        <f>IF(AND(ISNUMBER(T63),ISNUMBER(T64)),(T63/T64-1)*100,"")</f>
        <v/>
      </c>
      <c r="V63" s="5" t="n"/>
      <c r="W63" s="5">
        <f>IF(AND(V63&gt;0,C63&lt;=-2),C62,"")</f>
        <v/>
      </c>
      <c r="X63" s="5">
        <f>IF(AND(G63&gt;0,I63&lt;0,K63&gt;0),C62,"")</f>
        <v/>
      </c>
      <c r="Y63" s="5">
        <f>IF(AND(K63&lt;0,M63&gt;0),C62,"")</f>
        <v/>
      </c>
      <c r="Z63" s="5">
        <f>IF(AND(ISNUMBER(W63),0.549579&gt;=MAX(IF(ISNUMBER(X63),0.299732,-1),IF(ISNUMBER(Y63),0.323835,-1))),W63,IF(AND(ISNUMBER(X63),0.299732&gt;MAX(IF(ISNUMBER(W63),0.549579,-1),IF(ISNUMBER(Y63),0.323835,-1))),X63,IF(AND(ISNUMBER(Y63),0.323835&gt;MAX(IF(ISNUMBER(W63),0.549579,-1),IF(ISNUMBER(X63),0.299732,-1))),Y63,"")))</f>
        <v/>
      </c>
      <c r="AA63" s="5">
        <f>IF(AND(O63&lt;=-1,E63&lt;0),E62,"")</f>
        <v/>
      </c>
      <c r="AB63" s="5">
        <f>IF(AND(Q63&gt;0,S63&gt;0),E62,"")</f>
        <v/>
      </c>
      <c r="AC63" s="5">
        <f>IF(AND(S63&gt;0,U63&lt;0),E62,"")</f>
        <v/>
      </c>
      <c r="AD63" s="5">
        <f>IF(AND(ISNUMBER(AA63),0.408167&gt;=MAX(IF(ISNUMBER(AB63),0.31868,-1),IF(ISNUMBER(AC63),0.510996,-1))),AA63,IF(AND(ISNUMBER(AB63),0.31868&gt;MAX(IF(ISNUMBER(AA63),0.408167,-1),IF(ISNUMBER(AC63),0.510996,-1))),AB63,IF(AND(ISNUMBER(AC63),0.510996&gt;MAX(IF(ISNUMBER(AA63),0.408167,-1),IF(ISNUMBER(AB63),0.31868,-1))),AC63,"")))</f>
        <v/>
      </c>
    </row>
    <row r="64">
      <c r="A64" s="5" t="inlineStr">
        <is>
          <t>2026/05/21</t>
        </is>
      </c>
      <c r="B64" s="5" t="n">
        <v>164.1</v>
      </c>
      <c r="C64" s="5">
        <f>IF(AND(ISNUMBER(B64),ISNUMBER(B65)),(B64/B65-1)*100,"")</f>
        <v/>
      </c>
      <c r="D64" s="5" t="n">
        <v>65.68859999999999</v>
      </c>
      <c r="E64" s="5">
        <f>IF(AND(ISNUMBER(D64),ISNUMBER(D65)),(D64/D65-1)*100,"")</f>
        <v/>
      </c>
      <c r="F64" s="5" t="n">
        <v>78.744</v>
      </c>
      <c r="G64" s="5">
        <f>IF(AND(ISNUMBER(F64),ISNUMBER(F65)),(F64/F65-1)*100,"")</f>
        <v/>
      </c>
      <c r="H64" s="5" t="n">
        <v>51.5494</v>
      </c>
      <c r="I64" s="5">
        <f>IF(AND(ISNUMBER(H64),ISNUMBER(H65)),(H64/H65-1)*100,"")</f>
        <v/>
      </c>
      <c r="J64" s="5" t="n">
        <v>85.98999999999999</v>
      </c>
      <c r="K64" s="5">
        <f>IF(AND(ISNUMBER(J64),ISNUMBER(J65)),(J64/J65-1)*100,"")</f>
        <v/>
      </c>
      <c r="L64" s="5" t="n">
        <v>-3.8991</v>
      </c>
      <c r="M64" s="5">
        <f>IF(AND(ISNUMBER(L64),ISNUMBER(L65)),(L64/L65-1)*100,"")</f>
        <v/>
      </c>
      <c r="N64" s="5" t="n"/>
      <c r="O64" s="5">
        <f>IF(AND(ISNUMBER(N64),ISNUMBER(N65)),(N64/N65-1)*100,"")</f>
        <v/>
      </c>
      <c r="P64" s="5" t="n"/>
      <c r="Q64" s="5">
        <f>IF(AND(ISNUMBER(P64),ISNUMBER(P65)),(P64/P65-1)*100,"")</f>
        <v/>
      </c>
      <c r="R64" s="5" t="n"/>
      <c r="S64" s="5">
        <f>IF(AND(ISNUMBER(R64),ISNUMBER(R65)),(R64/R65-1)*100,"")</f>
        <v/>
      </c>
      <c r="T64" s="5" t="n"/>
      <c r="U64" s="5">
        <f>IF(AND(ISNUMBER(T64),ISNUMBER(T65)),(T64/T65-1)*100,"")</f>
        <v/>
      </c>
      <c r="V64" s="5" t="n"/>
      <c r="W64" s="5">
        <f>IF(AND(V64&gt;0,C64&lt;=-2),C63,"")</f>
        <v/>
      </c>
      <c r="X64" s="5">
        <f>IF(AND(G64&gt;0,I64&lt;0,K64&gt;0),C63,"")</f>
        <v/>
      </c>
      <c r="Y64" s="5">
        <f>IF(AND(K64&lt;0,M64&gt;0),C63,"")</f>
        <v/>
      </c>
      <c r="Z64" s="5">
        <f>IF(AND(ISNUMBER(W64),0.549579&gt;=MAX(IF(ISNUMBER(X64),0.299732,-1),IF(ISNUMBER(Y64),0.323835,-1))),W64,IF(AND(ISNUMBER(X64),0.299732&gt;MAX(IF(ISNUMBER(W64),0.549579,-1),IF(ISNUMBER(Y64),0.323835,-1))),X64,IF(AND(ISNUMBER(Y64),0.323835&gt;MAX(IF(ISNUMBER(W64),0.549579,-1),IF(ISNUMBER(X64),0.299732,-1))),Y64,"")))</f>
        <v/>
      </c>
      <c r="AA64" s="5">
        <f>IF(AND(O64&lt;=-1,E64&lt;0),E63,"")</f>
        <v/>
      </c>
      <c r="AB64" s="5">
        <f>IF(AND(Q64&gt;0,S64&gt;0),E63,"")</f>
        <v/>
      </c>
      <c r="AC64" s="5">
        <f>IF(AND(S64&gt;0,U64&lt;0),E63,"")</f>
        <v/>
      </c>
      <c r="AD64" s="5">
        <f>IF(AND(ISNUMBER(AA64),0.408167&gt;=MAX(IF(ISNUMBER(AB64),0.31868,-1),IF(ISNUMBER(AC64),0.510996,-1))),AA64,IF(AND(ISNUMBER(AB64),0.31868&gt;MAX(IF(ISNUMBER(AA64),0.408167,-1),IF(ISNUMBER(AC64),0.510996,-1))),AB64,IF(AND(ISNUMBER(AC64),0.510996&gt;MAX(IF(ISNUMBER(AA64),0.408167,-1),IF(ISNUMBER(AB64),0.31868,-1))),AC64,"")))</f>
        <v/>
      </c>
    </row>
    <row r="65">
      <c r="A65" s="5" t="inlineStr">
        <is>
          <t>2026/05/20</t>
        </is>
      </c>
      <c r="B65" s="5" t="n">
        <v>163.44</v>
      </c>
      <c r="C65" s="5">
        <f>IF(AND(ISNUMBER(B65),ISNUMBER(B66)),(B65/B66-1)*100,"")</f>
        <v/>
      </c>
      <c r="D65" s="5" t="n">
        <v>65.1215</v>
      </c>
      <c r="E65" s="5">
        <f>IF(AND(ISNUMBER(D65),ISNUMBER(D66)),(D65/D66-1)*100,"")</f>
        <v/>
      </c>
      <c r="F65" s="5" t="n">
        <v>78.7046</v>
      </c>
      <c r="G65" s="5">
        <f>IF(AND(ISNUMBER(F65),ISNUMBER(F66)),(F65/F66-1)*100,"")</f>
        <v/>
      </c>
      <c r="H65" s="5" t="n">
        <v>51.4797</v>
      </c>
      <c r="I65" s="5">
        <f>IF(AND(ISNUMBER(H65),ISNUMBER(H66)),(H65/H66-1)*100,"")</f>
        <v/>
      </c>
      <c r="J65" s="5" t="n">
        <v>86.36</v>
      </c>
      <c r="K65" s="5">
        <f>IF(AND(ISNUMBER(J65),ISNUMBER(J66)),(J65/J66-1)*100,"")</f>
        <v/>
      </c>
      <c r="L65" s="5" t="n">
        <v>-3.433</v>
      </c>
      <c r="M65" s="5">
        <f>IF(AND(ISNUMBER(L65),ISNUMBER(L66)),(L65/L66-1)*100,"")</f>
        <v/>
      </c>
      <c r="N65" s="5" t="n"/>
      <c r="O65" s="5">
        <f>IF(AND(ISNUMBER(N65),ISNUMBER(N66)),(N65/N66-1)*100,"")</f>
        <v/>
      </c>
      <c r="P65" s="5" t="n"/>
      <c r="Q65" s="5">
        <f>IF(AND(ISNUMBER(P65),ISNUMBER(P66)),(P65/P66-1)*100,"")</f>
        <v/>
      </c>
      <c r="R65" s="5" t="n"/>
      <c r="S65" s="5">
        <f>IF(AND(ISNUMBER(R65),ISNUMBER(R66)),(R65/R66-1)*100,"")</f>
        <v/>
      </c>
      <c r="T65" s="5" t="n"/>
      <c r="U65" s="5">
        <f>IF(AND(ISNUMBER(T65),ISNUMBER(T66)),(T65/T66-1)*100,"")</f>
        <v/>
      </c>
      <c r="V65" s="5" t="n"/>
      <c r="W65" s="5">
        <f>IF(AND(V65&gt;0,C65&lt;=-2),C64,"")</f>
        <v/>
      </c>
      <c r="X65" s="5">
        <f>IF(AND(G65&gt;0,I65&lt;0,K65&gt;0),C64,"")</f>
        <v/>
      </c>
      <c r="Y65" s="5">
        <f>IF(AND(K65&lt;0,M65&gt;0),C64,"")</f>
        <v/>
      </c>
      <c r="Z65" s="5">
        <f>IF(AND(ISNUMBER(W65),0.549579&gt;=MAX(IF(ISNUMBER(X65),0.299732,-1),IF(ISNUMBER(Y65),0.323835,-1))),W65,IF(AND(ISNUMBER(X65),0.299732&gt;MAX(IF(ISNUMBER(W65),0.549579,-1),IF(ISNUMBER(Y65),0.323835,-1))),X65,IF(AND(ISNUMBER(Y65),0.323835&gt;MAX(IF(ISNUMBER(W65),0.549579,-1),IF(ISNUMBER(X65),0.299732,-1))),Y65,"")))</f>
        <v/>
      </c>
      <c r="AA65" s="5">
        <f>IF(AND(O65&lt;=-1,E65&lt;0),E64,"")</f>
        <v/>
      </c>
      <c r="AB65" s="5">
        <f>IF(AND(Q65&gt;0,S65&gt;0),E64,"")</f>
        <v/>
      </c>
      <c r="AC65" s="5">
        <f>IF(AND(S65&gt;0,U65&lt;0),E64,"")</f>
        <v/>
      </c>
      <c r="AD65" s="5">
        <f>IF(AND(ISNUMBER(AA65),0.408167&gt;=MAX(IF(ISNUMBER(AB65),0.31868,-1),IF(ISNUMBER(AC65),0.510996,-1))),AA65,IF(AND(ISNUMBER(AB65),0.31868&gt;MAX(IF(ISNUMBER(AA65),0.408167,-1),IF(ISNUMBER(AC65),0.510996,-1))),AB65,IF(AND(ISNUMBER(AC65),0.510996&gt;MAX(IF(ISNUMBER(AA65),0.408167,-1),IF(ISNUMBER(AB65),0.31868,-1))),AC65,"")))</f>
        <v/>
      </c>
    </row>
    <row r="66">
      <c r="A66" s="5" t="inlineStr">
        <is>
          <t>2026/05/19</t>
        </is>
      </c>
      <c r="B66" s="5" t="n">
        <v>158.19</v>
      </c>
      <c r="C66" s="5">
        <f>IF(AND(ISNUMBER(B66),ISNUMBER(B67)),(B66/B67-1)*100,"")</f>
        <v/>
      </c>
      <c r="D66" s="5" t="n">
        <v>63.9277</v>
      </c>
      <c r="E66" s="5">
        <f>IF(AND(ISNUMBER(D66),ISNUMBER(D67)),(D66/D67-1)*100,"")</f>
        <v/>
      </c>
      <c r="F66" s="5" t="n">
        <v>78.202</v>
      </c>
      <c r="G66" s="5">
        <f>IF(AND(ISNUMBER(F66),ISNUMBER(F67)),(F66/F67-1)*100,"")</f>
        <v/>
      </c>
      <c r="H66" s="5" t="n">
        <v>50.9216</v>
      </c>
      <c r="I66" s="5">
        <f>IF(AND(ISNUMBER(H66),ISNUMBER(H67)),(H66/H67-1)*100,"")</f>
        <v/>
      </c>
      <c r="J66" s="5" t="n">
        <v>83.78</v>
      </c>
      <c r="K66" s="5">
        <f>IF(AND(ISNUMBER(J66),ISNUMBER(J67)),(J66/J67-1)*100,"")</f>
        <v/>
      </c>
      <c r="L66" s="5" t="n">
        <v>1.3468</v>
      </c>
      <c r="M66" s="5">
        <f>IF(AND(ISNUMBER(L66),ISNUMBER(L67)),(L66/L67-1)*100,"")</f>
        <v/>
      </c>
      <c r="N66" s="5" t="n"/>
      <c r="O66" s="5">
        <f>IF(AND(ISNUMBER(N66),ISNUMBER(N67)),(N66/N67-1)*100,"")</f>
        <v/>
      </c>
      <c r="P66" s="5" t="n"/>
      <c r="Q66" s="5">
        <f>IF(AND(ISNUMBER(P66),ISNUMBER(P67)),(P66/P67-1)*100,"")</f>
        <v/>
      </c>
      <c r="R66" s="5" t="n"/>
      <c r="S66" s="5">
        <f>IF(AND(ISNUMBER(R66),ISNUMBER(R67)),(R66/R67-1)*100,"")</f>
        <v/>
      </c>
      <c r="T66" s="5" t="n"/>
      <c r="U66" s="5">
        <f>IF(AND(ISNUMBER(T66),ISNUMBER(T67)),(T66/T67-1)*100,"")</f>
        <v/>
      </c>
      <c r="V66" s="5" t="n"/>
      <c r="W66" s="5">
        <f>IF(AND(V66&gt;0,C66&lt;=-2),C65,"")</f>
        <v/>
      </c>
      <c r="X66" s="5">
        <f>IF(AND(G66&gt;0,I66&lt;0,K66&gt;0),C65,"")</f>
        <v/>
      </c>
      <c r="Y66" s="5">
        <f>IF(AND(K66&lt;0,M66&gt;0),C65,"")</f>
        <v/>
      </c>
      <c r="Z66" s="5">
        <f>IF(AND(ISNUMBER(W66),0.549579&gt;=MAX(IF(ISNUMBER(X66),0.299732,-1),IF(ISNUMBER(Y66),0.323835,-1))),W66,IF(AND(ISNUMBER(X66),0.299732&gt;MAX(IF(ISNUMBER(W66),0.549579,-1),IF(ISNUMBER(Y66),0.323835,-1))),X66,IF(AND(ISNUMBER(Y66),0.323835&gt;MAX(IF(ISNUMBER(W66),0.549579,-1),IF(ISNUMBER(X66),0.299732,-1))),Y66,"")))</f>
        <v/>
      </c>
      <c r="AA66" s="5">
        <f>IF(AND(O66&lt;=-1,E66&lt;0),E65,"")</f>
        <v/>
      </c>
      <c r="AB66" s="5">
        <f>IF(AND(Q66&gt;0,S66&gt;0),E65,"")</f>
        <v/>
      </c>
      <c r="AC66" s="5">
        <f>IF(AND(S66&gt;0,U66&lt;0),E65,"")</f>
        <v/>
      </c>
      <c r="AD66" s="5">
        <f>IF(AND(ISNUMBER(AA66),0.408167&gt;=MAX(IF(ISNUMBER(AB66),0.31868,-1),IF(ISNUMBER(AC66),0.510996,-1))),AA66,IF(AND(ISNUMBER(AB66),0.31868&gt;MAX(IF(ISNUMBER(AA66),0.408167,-1),IF(ISNUMBER(AC66),0.510996,-1))),AB66,IF(AND(ISNUMBER(AC66),0.510996&gt;MAX(IF(ISNUMBER(AA66),0.408167,-1),IF(ISNUMBER(AB66),0.31868,-1))),AC66,"")))</f>
        <v/>
      </c>
    </row>
    <row r="67">
      <c r="A67" s="5" t="inlineStr">
        <is>
          <t>2026/05/18</t>
        </is>
      </c>
      <c r="B67" s="5" t="n">
        <v>160.16</v>
      </c>
      <c r="C67" s="5">
        <f>IF(AND(ISNUMBER(B67),ISNUMBER(B68)),(B67/B68-1)*100,"")</f>
        <v/>
      </c>
      <c r="D67" s="5" t="n">
        <v>64.634</v>
      </c>
      <c r="E67" s="5">
        <f>IF(AND(ISNUMBER(D67),ISNUMBER(D68)),(D67/D68-1)*100,"")</f>
        <v/>
      </c>
      <c r="F67" s="5" t="n">
        <v>78.3892</v>
      </c>
      <c r="G67" s="5">
        <f>IF(AND(ISNUMBER(F67),ISNUMBER(F68)),(F67/F68-1)*100,"")</f>
        <v/>
      </c>
      <c r="H67" s="5" t="n">
        <v>51.5594</v>
      </c>
      <c r="I67" s="5">
        <f>IF(AND(ISNUMBER(H67),ISNUMBER(H68)),(H67/H68-1)*100,"")</f>
        <v/>
      </c>
      <c r="J67" s="5" t="n">
        <v>87.14</v>
      </c>
      <c r="K67" s="5">
        <f>IF(AND(ISNUMBER(J67),ISNUMBER(J68)),(J67/J68-1)*100,"")</f>
        <v/>
      </c>
      <c r="L67" s="5" t="n">
        <v>-3.3098</v>
      </c>
      <c r="M67" s="5">
        <f>IF(AND(ISNUMBER(L67),ISNUMBER(L68)),(L67/L68-1)*100,"")</f>
        <v/>
      </c>
      <c r="N67" s="5" t="n"/>
      <c r="O67" s="5">
        <f>IF(AND(ISNUMBER(N67),ISNUMBER(N68)),(N67/N68-1)*100,"")</f>
        <v/>
      </c>
      <c r="P67" s="5" t="n"/>
      <c r="Q67" s="5">
        <f>IF(AND(ISNUMBER(P67),ISNUMBER(P68)),(P67/P68-1)*100,"")</f>
        <v/>
      </c>
      <c r="R67" s="5" t="n"/>
      <c r="S67" s="5">
        <f>IF(AND(ISNUMBER(R67),ISNUMBER(R68)),(R67/R68-1)*100,"")</f>
        <v/>
      </c>
      <c r="T67" s="5" t="n"/>
      <c r="U67" s="5">
        <f>IF(AND(ISNUMBER(T67),ISNUMBER(T68)),(T67/T68-1)*100,"")</f>
        <v/>
      </c>
      <c r="V67" s="5" t="n"/>
      <c r="W67" s="5">
        <f>IF(AND(V67&gt;0,C67&lt;=-2),C66,"")</f>
        <v/>
      </c>
      <c r="X67" s="5">
        <f>IF(AND(G67&gt;0,I67&lt;0,K67&gt;0),C66,"")</f>
        <v/>
      </c>
      <c r="Y67" s="5">
        <f>IF(AND(K67&lt;0,M67&gt;0),C66,"")</f>
        <v/>
      </c>
      <c r="Z67" s="5">
        <f>IF(AND(ISNUMBER(W67),0.549579&gt;=MAX(IF(ISNUMBER(X67),0.299732,-1),IF(ISNUMBER(Y67),0.323835,-1))),W67,IF(AND(ISNUMBER(X67),0.299732&gt;MAX(IF(ISNUMBER(W67),0.549579,-1),IF(ISNUMBER(Y67),0.323835,-1))),X67,IF(AND(ISNUMBER(Y67),0.323835&gt;MAX(IF(ISNUMBER(W67),0.549579,-1),IF(ISNUMBER(X67),0.299732,-1))),Y67,"")))</f>
        <v/>
      </c>
      <c r="AA67" s="5">
        <f>IF(AND(O67&lt;=-1,E67&lt;0),E66,"")</f>
        <v/>
      </c>
      <c r="AB67" s="5">
        <f>IF(AND(Q67&gt;0,S67&gt;0),E66,"")</f>
        <v/>
      </c>
      <c r="AC67" s="5">
        <f>IF(AND(S67&gt;0,U67&lt;0),E66,"")</f>
        <v/>
      </c>
      <c r="AD67" s="5">
        <f>IF(AND(ISNUMBER(AA67),0.408167&gt;=MAX(IF(ISNUMBER(AB67),0.31868,-1),IF(ISNUMBER(AC67),0.510996,-1))),AA67,IF(AND(ISNUMBER(AB67),0.31868&gt;MAX(IF(ISNUMBER(AA67),0.408167,-1),IF(ISNUMBER(AC67),0.510996,-1))),AB67,IF(AND(ISNUMBER(AC67),0.510996&gt;MAX(IF(ISNUMBER(AA67),0.408167,-1),IF(ISNUMBER(AB67),0.31868,-1))),AC67,"")))</f>
        <v/>
      </c>
    </row>
    <row r="68">
      <c r="A68" s="5" t="inlineStr">
        <is>
          <t>2026/05/15</t>
        </is>
      </c>
      <c r="B68" s="5" t="n">
        <v>161.66</v>
      </c>
      <c r="C68" s="5">
        <f>IF(AND(ISNUMBER(B68),ISNUMBER(B69)),(B68/B69-1)*100,"")</f>
        <v/>
      </c>
      <c r="D68" s="5" t="n">
        <v>64.73350000000001</v>
      </c>
      <c r="E68" s="5">
        <f>IF(AND(ISNUMBER(D68),ISNUMBER(D69)),(D68/D69-1)*100,"")</f>
        <v/>
      </c>
      <c r="F68" s="5" t="n">
        <v>78.3104</v>
      </c>
      <c r="G68" s="5">
        <f>IF(AND(ISNUMBER(F68),ISNUMBER(F69)),(F68/F69-1)*100,"")</f>
        <v/>
      </c>
      <c r="H68" s="5" t="n">
        <v>50.9216</v>
      </c>
      <c r="I68" s="5">
        <f>IF(AND(ISNUMBER(H68),ISNUMBER(H69)),(H68/H69-1)*100,"")</f>
        <v/>
      </c>
      <c r="J68" s="5" t="n">
        <v>87.34999999999999</v>
      </c>
      <c r="K68" s="5">
        <f>IF(AND(ISNUMBER(J68),ISNUMBER(J69)),(J68/J69-1)*100,"")</f>
        <v/>
      </c>
      <c r="L68" s="5" t="n">
        <v>6.7787</v>
      </c>
      <c r="M68" s="5">
        <f>IF(AND(ISNUMBER(L68),ISNUMBER(L69)),(L68/L69-1)*100,"")</f>
        <v/>
      </c>
      <c r="N68" s="5" t="n"/>
      <c r="O68" s="5">
        <f>IF(AND(ISNUMBER(N68),ISNUMBER(N69)),(N68/N69-1)*100,"")</f>
        <v/>
      </c>
      <c r="P68" s="5" t="n"/>
      <c r="Q68" s="5">
        <f>IF(AND(ISNUMBER(P68),ISNUMBER(P69)),(P68/P69-1)*100,"")</f>
        <v/>
      </c>
      <c r="R68" s="5" t="n"/>
      <c r="S68" s="5">
        <f>IF(AND(ISNUMBER(R68),ISNUMBER(R69)),(R68/R69-1)*100,"")</f>
        <v/>
      </c>
      <c r="T68" s="5" t="n"/>
      <c r="U68" s="5">
        <f>IF(AND(ISNUMBER(T68),ISNUMBER(T69)),(T68/T69-1)*100,"")</f>
        <v/>
      </c>
      <c r="V68" s="5" t="n"/>
      <c r="W68" s="5">
        <f>IF(AND(V68&gt;0,C68&lt;=-2),C67,"")</f>
        <v/>
      </c>
      <c r="X68" s="5">
        <f>IF(AND(G68&gt;0,I68&lt;0,K68&gt;0),C67,"")</f>
        <v/>
      </c>
      <c r="Y68" s="5">
        <f>IF(AND(K68&lt;0,M68&gt;0),C67,"")</f>
        <v/>
      </c>
      <c r="Z68" s="5">
        <f>IF(AND(ISNUMBER(W68),0.549579&gt;=MAX(IF(ISNUMBER(X68),0.299732,-1),IF(ISNUMBER(Y68),0.323835,-1))),W68,IF(AND(ISNUMBER(X68),0.299732&gt;MAX(IF(ISNUMBER(W68),0.549579,-1),IF(ISNUMBER(Y68),0.323835,-1))),X68,IF(AND(ISNUMBER(Y68),0.323835&gt;MAX(IF(ISNUMBER(W68),0.549579,-1),IF(ISNUMBER(X68),0.299732,-1))),Y68,"")))</f>
        <v/>
      </c>
      <c r="AA68" s="5">
        <f>IF(AND(O68&lt;=-1,E68&lt;0),E67,"")</f>
        <v/>
      </c>
      <c r="AB68" s="5">
        <f>IF(AND(Q68&gt;0,S68&gt;0),E67,"")</f>
        <v/>
      </c>
      <c r="AC68" s="5">
        <f>IF(AND(S68&gt;0,U68&lt;0),E67,"")</f>
        <v/>
      </c>
      <c r="AD68" s="5">
        <f>IF(AND(ISNUMBER(AA68),0.408167&gt;=MAX(IF(ISNUMBER(AB68),0.31868,-1),IF(ISNUMBER(AC68),0.510996,-1))),AA68,IF(AND(ISNUMBER(AB68),0.31868&gt;MAX(IF(ISNUMBER(AA68),0.408167,-1),IF(ISNUMBER(AC68),0.510996,-1))),AB68,IF(AND(ISNUMBER(AC68),0.510996&gt;MAX(IF(ISNUMBER(AA68),0.408167,-1),IF(ISNUMBER(AB68),0.31868,-1))),AC68,"")))</f>
        <v/>
      </c>
    </row>
    <row r="69">
      <c r="A69" s="5" t="inlineStr">
        <is>
          <t>2026/05/14</t>
        </is>
      </c>
      <c r="B69" s="5" t="n">
        <v>166.77</v>
      </c>
      <c r="C69" s="5">
        <f>IF(AND(ISNUMBER(B69),ISNUMBER(B70)),(B69/B70-1)*100,"")</f>
        <v/>
      </c>
      <c r="D69" s="5" t="n">
        <v>67.0316</v>
      </c>
      <c r="E69" s="5">
        <f>IF(AND(ISNUMBER(D69),ISNUMBER(D70)),(D69/D70-1)*100,"")</f>
        <v/>
      </c>
      <c r="F69" s="5" t="n">
        <v>78.6947</v>
      </c>
      <c r="G69" s="5">
        <f>IF(AND(ISNUMBER(F69),ISNUMBER(F70)),(F69/F70-1)*100,"")</f>
        <v/>
      </c>
      <c r="H69" s="5" t="n">
        <v>51.111</v>
      </c>
      <c r="I69" s="5">
        <f>IF(AND(ISNUMBER(H69),ISNUMBER(H70)),(H69/H70-1)*100,"")</f>
        <v/>
      </c>
      <c r="J69" s="5" t="n">
        <v>93.95</v>
      </c>
      <c r="K69" s="5">
        <f>IF(AND(ISNUMBER(J69),ISNUMBER(J70)),(J69/J70-1)*100,"")</f>
        <v/>
      </c>
      <c r="L69" s="5" t="n">
        <v>-3.4135</v>
      </c>
      <c r="M69" s="5">
        <f>IF(AND(ISNUMBER(L69),ISNUMBER(L70)),(L69/L70-1)*100,"")</f>
        <v/>
      </c>
      <c r="N69" s="5" t="n"/>
      <c r="O69" s="5">
        <f>IF(AND(ISNUMBER(N69),ISNUMBER(N70)),(N69/N70-1)*100,"")</f>
        <v/>
      </c>
      <c r="P69" s="5" t="n"/>
      <c r="Q69" s="5">
        <f>IF(AND(ISNUMBER(P69),ISNUMBER(P70)),(P69/P70-1)*100,"")</f>
        <v/>
      </c>
      <c r="R69" s="5" t="n"/>
      <c r="S69" s="5">
        <f>IF(AND(ISNUMBER(R69),ISNUMBER(R70)),(R69/R70-1)*100,"")</f>
        <v/>
      </c>
      <c r="T69" s="5" t="n"/>
      <c r="U69" s="5">
        <f>IF(AND(ISNUMBER(T69),ISNUMBER(T70)),(T69/T70-1)*100,"")</f>
        <v/>
      </c>
      <c r="V69" s="5" t="n"/>
      <c r="W69" s="5">
        <f>IF(AND(V69&gt;0,C69&lt;=-2),C68,"")</f>
        <v/>
      </c>
      <c r="X69" s="5">
        <f>IF(AND(G69&gt;0,I69&lt;0,K69&gt;0),C68,"")</f>
        <v/>
      </c>
      <c r="Y69" s="5">
        <f>IF(AND(K69&lt;0,M69&gt;0),C68,"")</f>
        <v/>
      </c>
      <c r="Z69" s="5">
        <f>IF(AND(ISNUMBER(W69),0.549579&gt;=MAX(IF(ISNUMBER(X69),0.299732,-1),IF(ISNUMBER(Y69),0.323835,-1))),W69,IF(AND(ISNUMBER(X69),0.299732&gt;MAX(IF(ISNUMBER(W69),0.549579,-1),IF(ISNUMBER(Y69),0.323835,-1))),X69,IF(AND(ISNUMBER(Y69),0.323835&gt;MAX(IF(ISNUMBER(W69),0.549579,-1),IF(ISNUMBER(X69),0.299732,-1))),Y69,"")))</f>
        <v/>
      </c>
      <c r="AA69" s="5">
        <f>IF(AND(O69&lt;=-1,E69&lt;0),E68,"")</f>
        <v/>
      </c>
      <c r="AB69" s="5">
        <f>IF(AND(Q69&gt;0,S69&gt;0),E68,"")</f>
        <v/>
      </c>
      <c r="AC69" s="5">
        <f>IF(AND(S69&gt;0,U69&lt;0),E68,"")</f>
        <v/>
      </c>
      <c r="AD69" s="5">
        <f>IF(AND(ISNUMBER(AA69),0.408167&gt;=MAX(IF(ISNUMBER(AB69),0.31868,-1),IF(ISNUMBER(AC69),0.510996,-1))),AA69,IF(AND(ISNUMBER(AB69),0.31868&gt;MAX(IF(ISNUMBER(AA69),0.408167,-1),IF(ISNUMBER(AC69),0.510996,-1))),AB69,IF(AND(ISNUMBER(AC69),0.510996&gt;MAX(IF(ISNUMBER(AA69),0.408167,-1),IF(ISNUMBER(AB69),0.31868,-1))),AC69,"")))</f>
        <v/>
      </c>
    </row>
    <row r="70">
      <c r="A70" s="5" t="inlineStr">
        <is>
          <t>2026/05/13</t>
        </is>
      </c>
      <c r="B70" s="5" t="n">
        <v>164.41</v>
      </c>
      <c r="C70" s="5">
        <f>IF(AND(ISNUMBER(B70),ISNUMBER(B71)),(B70/B71-1)*100,"")</f>
        <v/>
      </c>
      <c r="D70" s="5" t="n">
        <v>66.8625</v>
      </c>
      <c r="E70" s="5">
        <f>IF(AND(ISNUMBER(D70),ISNUMBER(D71)),(D70/D71-1)*100,"")</f>
        <v/>
      </c>
      <c r="F70" s="5" t="n">
        <v>78.7539</v>
      </c>
      <c r="G70" s="5">
        <f>IF(AND(ISNUMBER(F70),ISNUMBER(F71)),(F70/F71-1)*100,"")</f>
        <v/>
      </c>
      <c r="H70" s="5" t="n">
        <v>50.812</v>
      </c>
      <c r="I70" s="5">
        <f>IF(AND(ISNUMBER(H70),ISNUMBER(H71)),(H70/H71-1)*100,"")</f>
        <v/>
      </c>
      <c r="J70" s="5" t="n">
        <v>96.23</v>
      </c>
      <c r="K70" s="5">
        <f>IF(AND(ISNUMBER(J70),ISNUMBER(J71)),(J70/J71-1)*100,"")</f>
        <v/>
      </c>
      <c r="L70" s="5" t="n">
        <v>-0.667</v>
      </c>
      <c r="M70" s="5">
        <f>IF(AND(ISNUMBER(L70),ISNUMBER(L71)),(L70/L71-1)*100,"")</f>
        <v/>
      </c>
      <c r="N70" s="5" t="n"/>
      <c r="O70" s="5">
        <f>IF(AND(ISNUMBER(N70),ISNUMBER(N71)),(N70/N71-1)*100,"")</f>
        <v/>
      </c>
      <c r="P70" s="5" t="n"/>
      <c r="Q70" s="5">
        <f>IF(AND(ISNUMBER(P70),ISNUMBER(P71)),(P70/P71-1)*100,"")</f>
        <v/>
      </c>
      <c r="R70" s="5" t="n"/>
      <c r="S70" s="5">
        <f>IF(AND(ISNUMBER(R70),ISNUMBER(R71)),(R70/R71-1)*100,"")</f>
        <v/>
      </c>
      <c r="T70" s="5" t="n"/>
      <c r="U70" s="5">
        <f>IF(AND(ISNUMBER(T70),ISNUMBER(T71)),(T70/T71-1)*100,"")</f>
        <v/>
      </c>
      <c r="V70" s="5" t="n"/>
      <c r="W70" s="5">
        <f>IF(AND(V70&gt;0,C70&lt;=-2),C69,"")</f>
        <v/>
      </c>
      <c r="X70" s="5">
        <f>IF(AND(G70&gt;0,I70&lt;0,K70&gt;0),C69,"")</f>
        <v/>
      </c>
      <c r="Y70" s="5">
        <f>IF(AND(K70&lt;0,M70&gt;0),C69,"")</f>
        <v/>
      </c>
      <c r="Z70" s="5">
        <f>IF(AND(ISNUMBER(W70),0.549579&gt;=MAX(IF(ISNUMBER(X70),0.299732,-1),IF(ISNUMBER(Y70),0.323835,-1))),W70,IF(AND(ISNUMBER(X70),0.299732&gt;MAX(IF(ISNUMBER(W70),0.549579,-1),IF(ISNUMBER(Y70),0.323835,-1))),X70,IF(AND(ISNUMBER(Y70),0.323835&gt;MAX(IF(ISNUMBER(W70),0.549579,-1),IF(ISNUMBER(X70),0.299732,-1))),Y70,"")))</f>
        <v/>
      </c>
      <c r="AA70" s="5">
        <f>IF(AND(O70&lt;=-1,E70&lt;0),E69,"")</f>
        <v/>
      </c>
      <c r="AB70" s="5">
        <f>IF(AND(Q70&gt;0,S70&gt;0),E69,"")</f>
        <v/>
      </c>
      <c r="AC70" s="5">
        <f>IF(AND(S70&gt;0,U70&lt;0),E69,"")</f>
        <v/>
      </c>
      <c r="AD70" s="5">
        <f>IF(AND(ISNUMBER(AA70),0.408167&gt;=MAX(IF(ISNUMBER(AB70),0.31868,-1),IF(ISNUMBER(AC70),0.510996,-1))),AA70,IF(AND(ISNUMBER(AB70),0.31868&gt;MAX(IF(ISNUMBER(AA70),0.408167,-1),IF(ISNUMBER(AC70),0.510996,-1))),AB70,IF(AND(ISNUMBER(AC70),0.510996&gt;MAX(IF(ISNUMBER(AA70),0.408167,-1),IF(ISNUMBER(AB70),0.31868,-1))),AC70,"")))</f>
        <v/>
      </c>
    </row>
    <row r="71">
      <c r="A71" s="5" t="inlineStr">
        <is>
          <t>2026/05/12</t>
        </is>
      </c>
      <c r="B71" s="5" t="n">
        <v>161.07</v>
      </c>
      <c r="C71" s="5">
        <f>IF(AND(ISNUMBER(B71),ISNUMBER(B72)),(B71/B72-1)*100,"")</f>
        <v/>
      </c>
      <c r="D71" s="5" t="n">
        <v>65.47969999999999</v>
      </c>
      <c r="E71" s="5">
        <f>IF(AND(ISNUMBER(D71),ISNUMBER(D72)),(D71/D72-1)*100,"")</f>
        <v/>
      </c>
      <c r="F71" s="5" t="n">
        <v>78.7144</v>
      </c>
      <c r="G71" s="5">
        <f>IF(AND(ISNUMBER(F71),ISNUMBER(F72)),(F71/F72-1)*100,"")</f>
        <v/>
      </c>
      <c r="H71" s="5" t="n">
        <v>51.3999</v>
      </c>
      <c r="I71" s="5">
        <f>IF(AND(ISNUMBER(H71),ISNUMBER(H72)),(H71/H72-1)*100,"")</f>
        <v/>
      </c>
      <c r="J71" s="5" t="n">
        <v>97.14</v>
      </c>
      <c r="K71" s="5">
        <f>IF(AND(ISNUMBER(J71),ISNUMBER(J72)),(J71/J72-1)*100,"")</f>
        <v/>
      </c>
      <c r="L71" s="5" t="n">
        <v>-2.1219</v>
      </c>
      <c r="M71" s="5">
        <f>IF(AND(ISNUMBER(L71),ISNUMBER(L72)),(L71/L72-1)*100,"")</f>
        <v/>
      </c>
      <c r="N71" s="5" t="n"/>
      <c r="O71" s="5">
        <f>IF(AND(ISNUMBER(N71),ISNUMBER(N72)),(N71/N72-1)*100,"")</f>
        <v/>
      </c>
      <c r="P71" s="5" t="n"/>
      <c r="Q71" s="5">
        <f>IF(AND(ISNUMBER(P71),ISNUMBER(P72)),(P71/P72-1)*100,"")</f>
        <v/>
      </c>
      <c r="R71" s="5" t="n"/>
      <c r="S71" s="5">
        <f>IF(AND(ISNUMBER(R71),ISNUMBER(R72)),(R71/R72-1)*100,"")</f>
        <v/>
      </c>
      <c r="T71" s="5" t="n"/>
      <c r="U71" s="5">
        <f>IF(AND(ISNUMBER(T71),ISNUMBER(T72)),(T71/T72-1)*100,"")</f>
        <v/>
      </c>
      <c r="V71" s="5" t="n"/>
      <c r="W71" s="5">
        <f>IF(AND(V71&gt;0,C71&lt;=-2),C70,"")</f>
        <v/>
      </c>
      <c r="X71" s="5">
        <f>IF(AND(G71&gt;0,I71&lt;0,K71&gt;0),C70,"")</f>
        <v/>
      </c>
      <c r="Y71" s="5">
        <f>IF(AND(K71&lt;0,M71&gt;0),C70,"")</f>
        <v/>
      </c>
      <c r="Z71" s="5">
        <f>IF(AND(ISNUMBER(W71),0.549579&gt;=MAX(IF(ISNUMBER(X71),0.299732,-1),IF(ISNUMBER(Y71),0.323835,-1))),W71,IF(AND(ISNUMBER(X71),0.299732&gt;MAX(IF(ISNUMBER(W71),0.549579,-1),IF(ISNUMBER(Y71),0.323835,-1))),X71,IF(AND(ISNUMBER(Y71),0.323835&gt;MAX(IF(ISNUMBER(W71),0.549579,-1),IF(ISNUMBER(X71),0.299732,-1))),Y71,"")))</f>
        <v/>
      </c>
      <c r="AA71" s="5">
        <f>IF(AND(O71&lt;=-1,E71&lt;0),E70,"")</f>
        <v/>
      </c>
      <c r="AB71" s="5">
        <f>IF(AND(Q71&gt;0,S71&gt;0),E70,"")</f>
        <v/>
      </c>
      <c r="AC71" s="5">
        <f>IF(AND(S71&gt;0,U71&lt;0),E70,"")</f>
        <v/>
      </c>
      <c r="AD71" s="5">
        <f>IF(AND(ISNUMBER(AA71),0.408167&gt;=MAX(IF(ISNUMBER(AB71),0.31868,-1),IF(ISNUMBER(AC71),0.510996,-1))),AA71,IF(AND(ISNUMBER(AB71),0.31868&gt;MAX(IF(ISNUMBER(AA71),0.408167,-1),IF(ISNUMBER(AC71),0.510996,-1))),AB71,IF(AND(ISNUMBER(AC71),0.510996&gt;MAX(IF(ISNUMBER(AA71),0.408167,-1),IF(ISNUMBER(AB71),0.31868,-1))),AC71,"")))</f>
        <v/>
      </c>
    </row>
    <row r="72">
      <c r="A72" s="5" t="inlineStr">
        <is>
          <t>2026/05/11</t>
        </is>
      </c>
      <c r="B72" s="5" t="n">
        <v>163.95</v>
      </c>
      <c r="C72" s="5">
        <f>IF(AND(ISNUMBER(B72),ISNUMBER(B73)),(B72/B73-1)*100,"")</f>
        <v/>
      </c>
      <c r="D72" s="5" t="n">
        <v>67.5389</v>
      </c>
      <c r="E72" s="5">
        <f>IF(AND(ISNUMBER(D72),ISNUMBER(D73)),(D72/D73-1)*100,"")</f>
        <v/>
      </c>
      <c r="F72" s="5" t="n">
        <v>78.8228</v>
      </c>
      <c r="G72" s="5">
        <f>IF(AND(ISNUMBER(F72),ISNUMBER(F73)),(F72/F73-1)*100,"")</f>
        <v/>
      </c>
      <c r="H72" s="5" t="n">
        <v>51.0013</v>
      </c>
      <c r="I72" s="5">
        <f>IF(AND(ISNUMBER(H72),ISNUMBER(H73)),(H72/H73-1)*100,"")</f>
        <v/>
      </c>
      <c r="J72" s="5" t="n">
        <v>97.59999999999999</v>
      </c>
      <c r="K72" s="5">
        <f>IF(AND(ISNUMBER(J72),ISNUMBER(J73)),(J72/J73-1)*100,"")</f>
        <v/>
      </c>
      <c r="L72" s="5" t="n">
        <v>6.9226</v>
      </c>
      <c r="M72" s="5">
        <f>IF(AND(ISNUMBER(L72),ISNUMBER(L73)),(L72/L73-1)*100,"")</f>
        <v/>
      </c>
      <c r="N72" s="5" t="n"/>
      <c r="O72" s="5">
        <f>IF(AND(ISNUMBER(N72),ISNUMBER(N73)),(N72/N73-1)*100,"")</f>
        <v/>
      </c>
      <c r="P72" s="5" t="n"/>
      <c r="Q72" s="5">
        <f>IF(AND(ISNUMBER(P72),ISNUMBER(P73)),(P72/P73-1)*100,"")</f>
        <v/>
      </c>
      <c r="R72" s="5" t="n"/>
      <c r="S72" s="5">
        <f>IF(AND(ISNUMBER(R72),ISNUMBER(R73)),(R72/R73-1)*100,"")</f>
        <v/>
      </c>
      <c r="T72" s="5" t="n"/>
      <c r="U72" s="5">
        <f>IF(AND(ISNUMBER(T72),ISNUMBER(T73)),(T72/T73-1)*100,"")</f>
        <v/>
      </c>
      <c r="V72" s="5" t="n"/>
      <c r="W72" s="5">
        <f>IF(AND(V72&gt;0,C72&lt;=-2),C71,"")</f>
        <v/>
      </c>
      <c r="X72" s="5">
        <f>IF(AND(G72&gt;0,I72&lt;0,K72&gt;0),C71,"")</f>
        <v/>
      </c>
      <c r="Y72" s="5">
        <f>IF(AND(K72&lt;0,M72&gt;0),C71,"")</f>
        <v/>
      </c>
      <c r="Z72" s="5">
        <f>IF(AND(ISNUMBER(W72),0.549579&gt;=MAX(IF(ISNUMBER(X72),0.299732,-1),IF(ISNUMBER(Y72),0.323835,-1))),W72,IF(AND(ISNUMBER(X72),0.299732&gt;MAX(IF(ISNUMBER(W72),0.549579,-1),IF(ISNUMBER(Y72),0.323835,-1))),X72,IF(AND(ISNUMBER(Y72),0.323835&gt;MAX(IF(ISNUMBER(W72),0.549579,-1),IF(ISNUMBER(X72),0.299732,-1))),Y72,"")))</f>
        <v/>
      </c>
      <c r="AA72" s="5">
        <f>IF(AND(O72&lt;=-1,E72&lt;0),E71,"")</f>
        <v/>
      </c>
      <c r="AB72" s="5">
        <f>IF(AND(Q72&gt;0,S72&gt;0),E71,"")</f>
        <v/>
      </c>
      <c r="AC72" s="5">
        <f>IF(AND(S72&gt;0,U72&lt;0),E71,"")</f>
        <v/>
      </c>
      <c r="AD72" s="5">
        <f>IF(AND(ISNUMBER(AA72),0.408167&gt;=MAX(IF(ISNUMBER(AB72),0.31868,-1),IF(ISNUMBER(AC72),0.510996,-1))),AA72,IF(AND(ISNUMBER(AB72),0.31868&gt;MAX(IF(ISNUMBER(AA72),0.408167,-1),IF(ISNUMBER(AC72),0.510996,-1))),AB72,IF(AND(ISNUMBER(AC72),0.510996&gt;MAX(IF(ISNUMBER(AA72),0.408167,-1),IF(ISNUMBER(AB72),0.31868,-1))),AC72,"")))</f>
        <v/>
      </c>
    </row>
    <row r="73">
      <c r="A73" s="5" t="inlineStr">
        <is>
          <t>2026/05/08</t>
        </is>
      </c>
      <c r="B73" s="5" t="n">
        <v>163.06</v>
      </c>
      <c r="C73" s="5" t="inlineStr"/>
      <c r="D73" s="5" t="n">
        <v>67.5887</v>
      </c>
      <c r="E73" s="5" t="inlineStr"/>
      <c r="F73" s="5" t="n">
        <v>78.98050000000001</v>
      </c>
      <c r="G73" s="5" t="inlineStr"/>
      <c r="H73" s="5" t="n">
        <v>51.0611</v>
      </c>
      <c r="I73" s="5" t="inlineStr"/>
      <c r="J73" s="5" t="n">
        <v>94.59</v>
      </c>
      <c r="K73" s="5" t="inlineStr"/>
      <c r="L73" s="5" t="n">
        <v>0.644</v>
      </c>
      <c r="M73" s="5" t="inlineStr"/>
      <c r="N73" s="5" t="n"/>
      <c r="O73" s="5" t="inlineStr"/>
      <c r="P73" s="5" t="n"/>
      <c r="Q73" s="5" t="inlineStr"/>
      <c r="R73" s="5" t="n"/>
      <c r="S73" s="5" t="inlineStr"/>
      <c r="T73" s="5" t="n"/>
      <c r="U73" s="5" t="inlineStr"/>
      <c r="V73" s="5" t="n"/>
      <c r="W73" s="5">
        <f>IF(AND(V73&gt;0,C73&lt;=-2),C72,"")</f>
        <v/>
      </c>
      <c r="X73" s="5">
        <f>IF(AND(G73&gt;0,I73&lt;0,K73&gt;0),C72,"")</f>
        <v/>
      </c>
      <c r="Y73" s="5">
        <f>IF(AND(K73&lt;0,M73&gt;0),C72,"")</f>
        <v/>
      </c>
      <c r="Z73" s="5">
        <f>IF(AND(ISNUMBER(W73),0.549579&gt;=MAX(IF(ISNUMBER(X73),0.299732,-1),IF(ISNUMBER(Y73),0.323835,-1))),W73,IF(AND(ISNUMBER(X73),0.299732&gt;MAX(IF(ISNUMBER(W73),0.549579,-1),IF(ISNUMBER(Y73),0.323835,-1))),X73,IF(AND(ISNUMBER(Y73),0.323835&gt;MAX(IF(ISNUMBER(W73),0.549579,-1),IF(ISNUMBER(X73),0.299732,-1))),Y73,"")))</f>
        <v/>
      </c>
      <c r="AA73" s="5">
        <f>IF(AND(O73&lt;=-1,E73&lt;0),E72,"")</f>
        <v/>
      </c>
      <c r="AB73" s="5">
        <f>IF(AND(Q73&gt;0,S73&gt;0),E72,"")</f>
        <v/>
      </c>
      <c r="AC73" s="5">
        <f>IF(AND(S73&gt;0,U73&lt;0),E72,"")</f>
        <v/>
      </c>
      <c r="AD73" s="5">
        <f>IF(AND(ISNUMBER(AA73),0.408167&gt;=MAX(IF(ISNUMBER(AB73),0.31868,-1),IF(ISNUMBER(AC73),0.510996,-1))),AA73,IF(AND(ISNUMBER(AB73),0.31868&gt;MAX(IF(ISNUMBER(AA73),0.408167,-1),IF(ISNUMBER(AC73),0.510996,-1))),AB73,IF(AND(ISNUMBER(AC73),0.510996&gt;MAX(IF(ISNUMBER(AA73),0.408167,-1),IF(ISNUMBER(AB73),0.31868,-1))),AC73,"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2026-08-10T04:44:40Z</dcterms:created>
  <dcterms:modified xmlns:dcterms="http://purl.org/dc/terms/" xmlns:xsi="http://www.w3.org/2001/XMLSchema-instance" xsi:type="dcterms:W3CDTF">2026-08-10T04:44:41Z</dcterms:modified>
</cp:coreProperties>
</file>