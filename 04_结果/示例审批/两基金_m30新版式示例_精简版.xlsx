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用途：审批新版式，确认后再全量生成 m30。</t>
        </is>
      </c>
    </row>
    <row r="4">
      <c r="A4" t="inlineStr">
        <is>
          <t>版式：最左侧为基础数据，每支基金前为单独策略列，最后一列为合并效果。</t>
        </is>
      </c>
    </row>
    <row r="5">
      <c r="A5" t="inlineStr">
        <is>
          <t>策略列/合并列全部是 Excel 公式，引用左侧基础数据计算。</t>
        </is>
      </c>
    </row>
    <row r="6">
      <c r="A6" t="inlineStr">
        <is>
          <t>日期格式：YYYY/MM/DD，按公司格式降序。</t>
        </is>
      </c>
    </row>
    <row r="7">
      <c r="A7" t="inlineStr">
        <is>
          <t>策略名写清阈值，并统一标注“买基金第二天”。</t>
        </is>
      </c>
    </row>
    <row r="8">
      <c r="A8" t="inlineStr">
        <is>
          <t>示例只含 UOPIX、ULPIX 两支基金，最近 60 个交易日。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</row>
    <row r="13">
      <c r="A13" s="4" t="inlineStr">
        <is>
          <t>日期</t>
        </is>
      </c>
      <c r="B13" s="4" t="inlineStr">
        <is>
          <t>UOPIX回报</t>
        </is>
      </c>
      <c r="C13" s="4" t="inlineStr">
        <is>
          <t>ULPIX回报</t>
        </is>
      </c>
      <c r="D13" s="4" t="inlineStr">
        <is>
          <t>EEM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TIP</t>
        </is>
      </c>
      <c r="H13" s="4" t="inlineStr">
        <is>
          <t>XLF</t>
        </is>
      </c>
      <c r="I13" s="4" t="inlineStr">
        <is>
          <t>FXY</t>
        </is>
      </c>
      <c r="J13" s="4" t="inlineStr">
        <is>
          <t>GDX</t>
        </is>
      </c>
      <c r="K13" s="4" t="inlineStr">
        <is>
          <t>XLC</t>
        </is>
      </c>
      <c r="L13" s="4" t="inlineStr">
        <is>
          <t>VIX_Chg%</t>
        </is>
      </c>
      <c r="M13" s="4" t="inlineStr">
        <is>
          <t>VIX&gt;0 且 基金&lt;=-2%，买基金第二天</t>
        </is>
      </c>
      <c r="N13" s="4" t="inlineStr">
        <is>
          <t>EEM&gt;0 且 GLD&lt;0 且 HYG&gt;0，买基金第二天</t>
        </is>
      </c>
      <c r="O13" s="4" t="inlineStr">
        <is>
          <t>HYG&lt;0 且 TIP&gt;0，买基金第二天</t>
        </is>
      </c>
      <c r="P13" s="4" t="inlineStr">
        <is>
          <t>UOPIX合并效果</t>
        </is>
      </c>
      <c r="Q13" s="4" t="inlineStr">
        <is>
          <t>XLF&lt;=-1% 且 基金&lt;0，买基金第二天</t>
        </is>
      </c>
      <c r="R13" s="4" t="inlineStr">
        <is>
          <t>FXY&gt;0 且 GDX&gt;0，买基金第二天</t>
        </is>
      </c>
      <c r="S13" s="4" t="inlineStr">
        <is>
          <t>GDX&gt;0 且 XLC&lt;0，买基金第二天</t>
        </is>
      </c>
      <c r="T13" s="4" t="inlineStr">
        <is>
          <t>ULPIX合并效果</t>
        </is>
      </c>
    </row>
    <row r="14">
      <c r="A14" s="5" t="inlineStr">
        <is>
          <t>2026/08/04</t>
        </is>
      </c>
      <c r="B14" s="5" t="n">
        <v>6.645</v>
      </c>
      <c r="C14" s="5" t="n">
        <v>3.571</v>
      </c>
      <c r="D14" s="5" t="n">
        <v/>
      </c>
      <c r="E14" s="5" t="n">
        <v/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>0.6287</v>
      </c>
      <c r="L14" s="5" t="n">
        <v/>
      </c>
      <c r="M14" s="5" t="inlineStr"/>
      <c r="N14" s="5" t="inlineStr"/>
      <c r="O14" s="5" t="inlineStr"/>
      <c r="P14" s="5">
        <f>IF(AND(ISNUMBER(M14),0.549579&gt;=MAX(IF(ISNUMBER(N14),0.299732,-1),IF(ISNUMBER(O14),0.323835,-1))),M14,IF(AND(ISNUMBER(N14),0.299732&gt;MAX(IF(ISNUMBER(M14),0.549579,-1),IF(ISNUMBER(O14),0.323835,-1))),N14,IF(AND(ISNUMBER(O14),0.323835&gt;MAX(IF(ISNUMBER(M14),0.549579,-1),IF(ISNUMBER(N14),0.299732,-1))),O14,"")))</f>
        <v/>
      </c>
      <c r="Q14" s="5" t="inlineStr"/>
      <c r="R14" s="5" t="inlineStr"/>
      <c r="S14" s="5" t="inlineStr"/>
      <c r="T14" s="5">
        <f>IF(AND(ISNUMBER(Q14),0.408167&gt;=MAX(IF(ISNUMBER(R14),0.31868,-1),IF(ISNUMBER(S14),0.510996,-1))),Q14,IF(AND(ISNUMBER(R14),0.31868&gt;MAX(IF(ISNUMBER(Q14),0.408167,-1),IF(ISNUMBER(S14),0.510996,-1))),R14,IF(AND(ISNUMBER(S14),0.510996&gt;MAX(IF(ISNUMBER(Q14),0.408167,-1),IF(ISNUMBER(R14),0.31868,-1))),S14,"")))</f>
        <v/>
      </c>
    </row>
    <row r="15">
      <c r="A15" s="5" t="inlineStr">
        <is>
          <t>2026/08/03</t>
        </is>
      </c>
      <c r="B15" s="5" t="n">
        <v>3.4993</v>
      </c>
      <c r="C15" s="5" t="n">
        <v>2.9058</v>
      </c>
      <c r="D15" s="5" t="n">
        <v/>
      </c>
      <c r="E15" s="5" t="n">
        <v/>
      </c>
      <c r="F15" s="5" t="n">
        <v/>
      </c>
      <c r="G15" s="5" t="n">
        <v/>
      </c>
      <c r="H15" s="5" t="n">
        <v/>
      </c>
      <c r="I15" s="5" t="n">
        <v/>
      </c>
      <c r="J15" s="5" t="n">
        <v/>
      </c>
      <c r="K15" s="5" t="n">
        <v>2.864</v>
      </c>
      <c r="L15" s="5" t="n">
        <v/>
      </c>
      <c r="M15" s="5">
        <f>IF(AND(L15&gt;0,B15&lt;=-2),B14,"")</f>
        <v/>
      </c>
      <c r="N15" s="5">
        <f>IF(AND(D15&gt;0,E15&lt;0,F15&gt;0),B14,"")</f>
        <v/>
      </c>
      <c r="O15" s="5">
        <f>IF(AND(F15&lt;0,G15&gt;0),B14,"")</f>
        <v/>
      </c>
      <c r="P15" s="5">
        <f>IF(AND(ISNUMBER(M15),0.549579&gt;=MAX(IF(ISNUMBER(N15),0.299732,-1),IF(ISNUMBER(O15),0.323835,-1))),M15,IF(AND(ISNUMBER(N15),0.299732&gt;MAX(IF(ISNUMBER(M15),0.549579,-1),IF(ISNUMBER(O15),0.323835,-1))),N15,IF(AND(ISNUMBER(O15),0.323835&gt;MAX(IF(ISNUMBER(M15),0.549579,-1),IF(ISNUMBER(N15),0.299732,-1))),O15,"")))</f>
        <v/>
      </c>
      <c r="Q15" s="5">
        <f>IF(AND(H15&lt;=-1,C15&lt;0),C14,"")</f>
        <v/>
      </c>
      <c r="R15" s="5">
        <f>IF(AND(I15&gt;0,J15&gt;0),C14,"")</f>
        <v/>
      </c>
      <c r="S15" s="5">
        <f>IF(AND(J15&gt;0,K15&lt;0),C14,"")</f>
        <v/>
      </c>
      <c r="T15" s="5">
        <f>IF(AND(ISNUMBER(Q15),0.408167&gt;=MAX(IF(ISNUMBER(R15),0.31868,-1),IF(ISNUMBER(S15),0.510996,-1))),Q15,IF(AND(ISNUMBER(R15),0.31868&gt;MAX(IF(ISNUMBER(Q15),0.408167,-1),IF(ISNUMBER(S15),0.510996,-1))),R15,IF(AND(ISNUMBER(S15),0.510996&gt;MAX(IF(ISNUMBER(Q15),0.408167,-1),IF(ISNUMBER(R15),0.31868,-1))),S15,"")))</f>
        <v/>
      </c>
    </row>
    <row r="16">
      <c r="A16" s="5" t="inlineStr">
        <is>
          <t>2026/07/31</t>
        </is>
      </c>
      <c r="B16" s="5" t="n">
        <v>1.1986</v>
      </c>
      <c r="C16" s="5" t="n">
        <v>1.3924</v>
      </c>
      <c r="D16" s="5" t="n">
        <v/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  <c r="K16" s="5" t="n">
        <v>1.5575</v>
      </c>
      <c r="L16" s="5" t="n">
        <v/>
      </c>
      <c r="M16" s="5">
        <f>IF(AND(L16&gt;0,B16&lt;=-2),B15,"")</f>
        <v/>
      </c>
      <c r="N16" s="5">
        <f>IF(AND(D16&gt;0,E16&lt;0,F16&gt;0),B15,"")</f>
        <v/>
      </c>
      <c r="O16" s="5">
        <f>IF(AND(F16&lt;0,G16&gt;0),B15,"")</f>
        <v/>
      </c>
      <c r="P16" s="5">
        <f>IF(AND(ISNUMBER(M16),0.549579&gt;=MAX(IF(ISNUMBER(N16),0.299732,-1),IF(ISNUMBER(O16),0.323835,-1))),M16,IF(AND(ISNUMBER(N16),0.299732&gt;MAX(IF(ISNUMBER(M16),0.549579,-1),IF(ISNUMBER(O16),0.323835,-1))),N16,IF(AND(ISNUMBER(O16),0.323835&gt;MAX(IF(ISNUMBER(M16),0.549579,-1),IF(ISNUMBER(N16),0.299732,-1))),O16,"")))</f>
        <v/>
      </c>
      <c r="Q16" s="5">
        <f>IF(AND(H16&lt;=-1,C16&lt;0),C15,"")</f>
        <v/>
      </c>
      <c r="R16" s="5">
        <f>IF(AND(I16&gt;0,J16&gt;0),C15,"")</f>
        <v/>
      </c>
      <c r="S16" s="5">
        <f>IF(AND(J16&gt;0,K16&lt;0),C15,"")</f>
        <v/>
      </c>
      <c r="T16" s="5">
        <f>IF(AND(ISNUMBER(Q16),0.408167&gt;=MAX(IF(ISNUMBER(R16),0.31868,-1),IF(ISNUMBER(S16),0.510996,-1))),Q16,IF(AND(ISNUMBER(R16),0.31868&gt;MAX(IF(ISNUMBER(Q16),0.408167,-1),IF(ISNUMBER(S16),0.510996,-1))),R16,IF(AND(ISNUMBER(S16),0.510996&gt;MAX(IF(ISNUMBER(Q16),0.408167,-1),IF(ISNUMBER(R16),0.31868,-1))),S16,"")))</f>
        <v/>
      </c>
    </row>
    <row r="17">
      <c r="A17" s="5" t="inlineStr">
        <is>
          <t>2026/07/30</t>
        </is>
      </c>
      <c r="B17" s="5" t="n">
        <v>6.6764</v>
      </c>
      <c r="C17" s="5" t="n">
        <v>3.3084</v>
      </c>
      <c r="D17" s="5" t="n">
        <v/>
      </c>
      <c r="E17" s="5" t="n">
        <v/>
      </c>
      <c r="F17" s="5" t="n">
        <v/>
      </c>
      <c r="G17" s="5" t="n">
        <v/>
      </c>
      <c r="H17" s="5" t="n">
        <v/>
      </c>
      <c r="I17" s="5" t="n">
        <v/>
      </c>
      <c r="J17" s="5" t="n">
        <v/>
      </c>
      <c r="K17" s="5" t="n">
        <v>-2.6756</v>
      </c>
      <c r="L17" s="5" t="n">
        <v/>
      </c>
      <c r="M17" s="5">
        <f>IF(AND(L17&gt;0,B17&lt;=-2),B16,"")</f>
        <v/>
      </c>
      <c r="N17" s="5">
        <f>IF(AND(D17&gt;0,E17&lt;0,F17&gt;0),B16,"")</f>
        <v/>
      </c>
      <c r="O17" s="5">
        <f>IF(AND(F17&lt;0,G17&gt;0),B16,"")</f>
        <v/>
      </c>
      <c r="P17" s="5">
        <f>IF(AND(ISNUMBER(M17),0.549579&gt;=MAX(IF(ISNUMBER(N17),0.299732,-1),IF(ISNUMBER(O17),0.323835,-1))),M17,IF(AND(ISNUMBER(N17),0.299732&gt;MAX(IF(ISNUMBER(M17),0.549579,-1),IF(ISNUMBER(O17),0.323835,-1))),N17,IF(AND(ISNUMBER(O17),0.323835&gt;MAX(IF(ISNUMBER(M17),0.549579,-1),IF(ISNUMBER(N17),0.299732,-1))),O17,"")))</f>
        <v/>
      </c>
      <c r="Q17" s="5">
        <f>IF(AND(H17&lt;=-1,C17&lt;0),C16,"")</f>
        <v/>
      </c>
      <c r="R17" s="5">
        <f>IF(AND(I17&gt;0,J17&gt;0),C16,"")</f>
        <v/>
      </c>
      <c r="S17" s="5">
        <f>IF(AND(J17&gt;0,K17&lt;0),C16,"")</f>
        <v/>
      </c>
      <c r="T17" s="5">
        <f>IF(AND(ISNUMBER(Q17),0.408167&gt;=MAX(IF(ISNUMBER(R17),0.31868,-1),IF(ISNUMBER(S17),0.510996,-1))),Q17,IF(AND(ISNUMBER(R17),0.31868&gt;MAX(IF(ISNUMBER(Q17),0.408167,-1),IF(ISNUMBER(S17),0.510996,-1))),R17,IF(AND(ISNUMBER(S17),0.510996&gt;MAX(IF(ISNUMBER(Q17),0.408167,-1),IF(ISNUMBER(R17),0.31868,-1))),S17,"")))</f>
        <v/>
      </c>
    </row>
    <row r="18">
      <c r="A18" s="5" t="inlineStr">
        <is>
          <t>2026/07/29</t>
        </is>
      </c>
      <c r="B18" s="5" t="n">
        <v>-4.1234</v>
      </c>
      <c r="C18" s="5" t="n">
        <v>-3.0621</v>
      </c>
      <c r="D18" s="5" t="n">
        <v/>
      </c>
      <c r="E18" s="5" t="n">
        <v/>
      </c>
      <c r="F18" s="5" t="n">
        <v/>
      </c>
      <c r="G18" s="5" t="n">
        <v/>
      </c>
      <c r="H18" s="5" t="n">
        <v/>
      </c>
      <c r="I18" s="5" t="n">
        <v/>
      </c>
      <c r="J18" s="5" t="n">
        <v/>
      </c>
      <c r="K18" s="5" t="n">
        <v>-0.1459</v>
      </c>
      <c r="L18" s="5" t="n">
        <v/>
      </c>
      <c r="M18" s="5">
        <f>IF(AND(L18&gt;0,B18&lt;=-2),B17,"")</f>
        <v/>
      </c>
      <c r="N18" s="5">
        <f>IF(AND(D18&gt;0,E18&lt;0,F18&gt;0),B17,"")</f>
        <v/>
      </c>
      <c r="O18" s="5">
        <f>IF(AND(F18&lt;0,G18&gt;0),B17,"")</f>
        <v/>
      </c>
      <c r="P18" s="5">
        <f>IF(AND(ISNUMBER(M18),0.549579&gt;=MAX(IF(ISNUMBER(N18),0.299732,-1),IF(ISNUMBER(O18),0.323835,-1))),M18,IF(AND(ISNUMBER(N18),0.299732&gt;MAX(IF(ISNUMBER(M18),0.549579,-1),IF(ISNUMBER(O18),0.323835,-1))),N18,IF(AND(ISNUMBER(O18),0.323835&gt;MAX(IF(ISNUMBER(M18),0.549579,-1),IF(ISNUMBER(N18),0.299732,-1))),O18,"")))</f>
        <v/>
      </c>
      <c r="Q18" s="5">
        <f>IF(AND(H18&lt;=-1,C18&lt;0),C17,"")</f>
        <v/>
      </c>
      <c r="R18" s="5">
        <f>IF(AND(I18&gt;0,J18&gt;0),C17,"")</f>
        <v/>
      </c>
      <c r="S18" s="5">
        <f>IF(AND(J18&gt;0,K18&lt;0),C17,"")</f>
        <v/>
      </c>
      <c r="T18" s="5">
        <f>IF(AND(ISNUMBER(Q18),0.408167&gt;=MAX(IF(ISNUMBER(R18),0.31868,-1),IF(ISNUMBER(S18),0.510996,-1))),Q18,IF(AND(ISNUMBER(R18),0.31868&gt;MAX(IF(ISNUMBER(Q18),0.408167,-1),IF(ISNUMBER(S18),0.510996,-1))),R18,IF(AND(ISNUMBER(S18),0.510996&gt;MAX(IF(ISNUMBER(Q18),0.408167,-1),IF(ISNUMBER(R18),0.31868,-1))),S18,"")))</f>
        <v/>
      </c>
    </row>
    <row r="19">
      <c r="A19" s="5" t="inlineStr">
        <is>
          <t>2026/07/28</t>
        </is>
      </c>
      <c r="B19" s="5" t="n">
        <v>-1.9732</v>
      </c>
      <c r="C19" s="5" t="n">
        <v>0.4201</v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>1.867</v>
      </c>
      <c r="L19" s="5" t="n">
        <v/>
      </c>
      <c r="M19" s="5">
        <f>IF(AND(L19&gt;0,B19&lt;=-2),B18,"")</f>
        <v/>
      </c>
      <c r="N19" s="5">
        <f>IF(AND(D19&gt;0,E19&lt;0,F19&gt;0),B18,"")</f>
        <v/>
      </c>
      <c r="O19" s="5">
        <f>IF(AND(F19&lt;0,G19&gt;0),B18,"")</f>
        <v/>
      </c>
      <c r="P19" s="5">
        <f>IF(AND(ISNUMBER(M19),0.549579&gt;=MAX(IF(ISNUMBER(N19),0.299732,-1),IF(ISNUMBER(O19),0.323835,-1))),M19,IF(AND(ISNUMBER(N19),0.299732&gt;MAX(IF(ISNUMBER(M19),0.549579,-1),IF(ISNUMBER(O19),0.323835,-1))),N19,IF(AND(ISNUMBER(O19),0.323835&gt;MAX(IF(ISNUMBER(M19),0.549579,-1),IF(ISNUMBER(N19),0.299732,-1))),O19,"")))</f>
        <v/>
      </c>
      <c r="Q19" s="5">
        <f>IF(AND(H19&lt;=-1,C19&lt;0),C18,"")</f>
        <v/>
      </c>
      <c r="R19" s="5">
        <f>IF(AND(I19&gt;0,J19&gt;0),C18,"")</f>
        <v/>
      </c>
      <c r="S19" s="5">
        <f>IF(AND(J19&gt;0,K19&lt;0),C18,"")</f>
        <v/>
      </c>
      <c r="T19" s="5">
        <f>IF(AND(ISNUMBER(Q19),0.408167&gt;=MAX(IF(ISNUMBER(R19),0.31868,-1),IF(ISNUMBER(S19),0.510996,-1))),Q19,IF(AND(ISNUMBER(R19),0.31868&gt;MAX(IF(ISNUMBER(Q19),0.408167,-1),IF(ISNUMBER(S19),0.510996,-1))),R19,IF(AND(ISNUMBER(S19),0.510996&gt;MAX(IF(ISNUMBER(Q19),0.408167,-1),IF(ISNUMBER(R19),0.31868,-1))),S19,"")))</f>
        <v/>
      </c>
    </row>
    <row r="20">
      <c r="A20" s="5" t="inlineStr">
        <is>
          <t>2026/07/27</t>
        </is>
      </c>
      <c r="B20" s="5" t="n">
        <v>-0.6849</v>
      </c>
      <c r="C20" s="5" t="n">
        <v>-0.0112</v>
      </c>
      <c r="D20" s="5" t="n">
        <v>0.4579</v>
      </c>
      <c r="E20" s="5" t="n">
        <v>0.7341</v>
      </c>
      <c r="F20" s="5" t="n">
        <v>0.0505</v>
      </c>
      <c r="G20" s="5" t="n">
        <v>-0.1023</v>
      </c>
      <c r="H20" s="5" t="n">
        <v>1.0123</v>
      </c>
      <c r="I20" s="5" t="n">
        <v>-0.0535</v>
      </c>
      <c r="J20" s="5" t="n">
        <v>0.6646</v>
      </c>
      <c r="K20" s="5" t="n">
        <v>1.2794</v>
      </c>
      <c r="L20" s="5" t="n">
        <v/>
      </c>
      <c r="M20" s="5">
        <f>IF(AND(L20&gt;0,B20&lt;=-2),B19,"")</f>
        <v/>
      </c>
      <c r="N20" s="5">
        <f>IF(AND(D20&gt;0,E20&lt;0,F20&gt;0),B19,"")</f>
        <v/>
      </c>
      <c r="O20" s="5">
        <f>IF(AND(F20&lt;0,G20&gt;0),B19,"")</f>
        <v/>
      </c>
      <c r="P20" s="5">
        <f>IF(AND(ISNUMBER(M20),0.549579&gt;=MAX(IF(ISNUMBER(N20),0.299732,-1),IF(ISNUMBER(O20),0.323835,-1))),M20,IF(AND(ISNUMBER(N20),0.299732&gt;MAX(IF(ISNUMBER(M20),0.549579,-1),IF(ISNUMBER(O20),0.323835,-1))),N20,IF(AND(ISNUMBER(O20),0.323835&gt;MAX(IF(ISNUMBER(M20),0.549579,-1),IF(ISNUMBER(N20),0.299732,-1))),O20,"")))</f>
        <v/>
      </c>
      <c r="Q20" s="5">
        <f>IF(AND(H20&lt;=-1,C20&lt;0),C19,"")</f>
        <v/>
      </c>
      <c r="R20" s="5">
        <f>IF(AND(I20&gt;0,J20&gt;0),C19,"")</f>
        <v/>
      </c>
      <c r="S20" s="5">
        <f>IF(AND(J20&gt;0,K20&lt;0),C19,"")</f>
        <v/>
      </c>
      <c r="T20" s="5">
        <f>IF(AND(ISNUMBER(Q20),0.408167&gt;=MAX(IF(ISNUMBER(R20),0.31868,-1),IF(ISNUMBER(S20),0.510996,-1))),Q20,IF(AND(ISNUMBER(R20),0.31868&gt;MAX(IF(ISNUMBER(Q20),0.408167,-1),IF(ISNUMBER(S20),0.510996,-1))),R20,IF(AND(ISNUMBER(S20),0.510996&gt;MAX(IF(ISNUMBER(Q20),0.408167,-1),IF(ISNUMBER(R20),0.31868,-1))),S20,"")))</f>
        <v/>
      </c>
    </row>
    <row r="21">
      <c r="A21" s="5" t="inlineStr">
        <is>
          <t>2026/07/24</t>
        </is>
      </c>
      <c r="B21" s="5" t="n">
        <v>-2.2989</v>
      </c>
      <c r="C21" s="5" t="n">
        <v>0.1065</v>
      </c>
      <c r="D21" s="5" t="n">
        <v>-1.9659</v>
      </c>
      <c r="E21" s="5" t="n">
        <v>0.1023</v>
      </c>
      <c r="F21" s="5" t="n">
        <v>0</v>
      </c>
      <c r="G21" s="5" t="n">
        <v>0.009299999999999999</v>
      </c>
      <c r="H21" s="5" t="n">
        <v>0.8598</v>
      </c>
      <c r="I21" s="5" t="n">
        <v>0.0536</v>
      </c>
      <c r="J21" s="5" t="n">
        <v>0.2799</v>
      </c>
      <c r="K21" s="5" t="n">
        <v>0.873</v>
      </c>
      <c r="L21" s="5" t="n">
        <v>-0.6417</v>
      </c>
      <c r="M21" s="5">
        <f>IF(AND(L21&gt;0,B21&lt;=-2),B20,"")</f>
        <v/>
      </c>
      <c r="N21" s="5">
        <f>IF(AND(D21&gt;0,E21&lt;0,F21&gt;0),B20,"")</f>
        <v/>
      </c>
      <c r="O21" s="5">
        <f>IF(AND(F21&lt;0,G21&gt;0),B20,"")</f>
        <v/>
      </c>
      <c r="P21" s="5">
        <f>IF(AND(ISNUMBER(M21),0.549579&gt;=MAX(IF(ISNUMBER(N21),0.299732,-1),IF(ISNUMBER(O21),0.323835,-1))),M21,IF(AND(ISNUMBER(N21),0.299732&gt;MAX(IF(ISNUMBER(M21),0.549579,-1),IF(ISNUMBER(O21),0.323835,-1))),N21,IF(AND(ISNUMBER(O21),0.323835&gt;MAX(IF(ISNUMBER(M21),0.549579,-1),IF(ISNUMBER(N21),0.299732,-1))),O21,"")))</f>
        <v/>
      </c>
      <c r="Q21" s="5">
        <f>IF(AND(H21&lt;=-1,C21&lt;0),C20,"")</f>
        <v/>
      </c>
      <c r="R21" s="5">
        <f>IF(AND(I21&gt;0,J21&gt;0),C20,"")</f>
        <v/>
      </c>
      <c r="S21" s="5">
        <f>IF(AND(J21&gt;0,K21&lt;0),C20,"")</f>
        <v/>
      </c>
      <c r="T21" s="5">
        <f>IF(AND(ISNUMBER(Q21),0.408167&gt;=MAX(IF(ISNUMBER(R21),0.31868,-1),IF(ISNUMBER(S21),0.510996,-1))),Q21,IF(AND(ISNUMBER(R21),0.31868&gt;MAX(IF(ISNUMBER(Q21),0.408167,-1),IF(ISNUMBER(S21),0.510996,-1))),R21,IF(AND(ISNUMBER(S21),0.510996&gt;MAX(IF(ISNUMBER(Q21),0.408167,-1),IF(ISNUMBER(R21),0.31868,-1))),S21,"")))</f>
        <v/>
      </c>
    </row>
    <row r="22">
      <c r="A22" s="5" t="inlineStr">
        <is>
          <t>2026/07/23</t>
        </is>
      </c>
      <c r="B22" s="5" t="n">
        <v>-3.7802</v>
      </c>
      <c r="C22" s="5" t="n">
        <v>-2.4501</v>
      </c>
      <c r="D22" s="5" t="n">
        <v>-0.6001</v>
      </c>
      <c r="E22" s="5" t="n">
        <v>-2.0046</v>
      </c>
      <c r="F22" s="5" t="n">
        <v>-0.3647</v>
      </c>
      <c r="G22" s="5" t="n">
        <v>-0.2598</v>
      </c>
      <c r="H22" s="5" t="n">
        <v>-0.3925</v>
      </c>
      <c r="I22" s="5" t="n">
        <v>-0.3913</v>
      </c>
      <c r="J22" s="5" t="n">
        <v>-2.1648</v>
      </c>
      <c r="K22" s="5" t="n">
        <v>-3.4982</v>
      </c>
      <c r="L22" s="5" t="n">
        <v>12.3798</v>
      </c>
      <c r="M22" s="5">
        <f>IF(AND(L22&gt;0,B22&lt;=-2),B21,"")</f>
        <v/>
      </c>
      <c r="N22" s="5">
        <f>IF(AND(D22&gt;0,E22&lt;0,F22&gt;0),B21,"")</f>
        <v/>
      </c>
      <c r="O22" s="5">
        <f>IF(AND(F22&lt;0,G22&gt;0),B21,"")</f>
        <v/>
      </c>
      <c r="P22" s="5">
        <f>IF(AND(ISNUMBER(M22),0.549579&gt;=MAX(IF(ISNUMBER(N22),0.299732,-1),IF(ISNUMBER(O22),0.323835,-1))),M22,IF(AND(ISNUMBER(N22),0.299732&gt;MAX(IF(ISNUMBER(M22),0.549579,-1),IF(ISNUMBER(O22),0.323835,-1))),N22,IF(AND(ISNUMBER(O22),0.323835&gt;MAX(IF(ISNUMBER(M22),0.549579,-1),IF(ISNUMBER(N22),0.299732,-1))),O22,"")))</f>
        <v/>
      </c>
      <c r="Q22" s="5">
        <f>IF(AND(H22&lt;=-1,C22&lt;0),C21,"")</f>
        <v/>
      </c>
      <c r="R22" s="5">
        <f>IF(AND(I22&gt;0,J22&gt;0),C21,"")</f>
        <v/>
      </c>
      <c r="S22" s="5">
        <f>IF(AND(J22&gt;0,K22&lt;0),C21,"")</f>
        <v/>
      </c>
      <c r="T22" s="5">
        <f>IF(AND(ISNUMBER(Q22),0.408167&gt;=MAX(IF(ISNUMBER(R22),0.31868,-1),IF(ISNUMBER(S22),0.510996,-1))),Q22,IF(AND(ISNUMBER(R22),0.31868&gt;MAX(IF(ISNUMBER(Q22),0.408167,-1),IF(ISNUMBER(S22),0.510996,-1))),R22,IF(AND(ISNUMBER(S22),0.510996&gt;MAX(IF(ISNUMBER(Q22),0.408167,-1),IF(ISNUMBER(R22),0.31868,-1))),S22,"")))</f>
        <v/>
      </c>
    </row>
    <row r="23">
      <c r="A23" s="5" t="inlineStr">
        <is>
          <t>2026/07/22</t>
        </is>
      </c>
      <c r="B23" s="5" t="n">
        <v>-1.0783</v>
      </c>
      <c r="C23" s="5" t="n">
        <v>-0.2673</v>
      </c>
      <c r="D23" s="5" t="n">
        <v>-0.5357</v>
      </c>
      <c r="E23" s="5" t="n">
        <v>1.1499</v>
      </c>
      <c r="F23" s="5" t="n">
        <v>-0.1632</v>
      </c>
      <c r="G23" s="5" t="n">
        <v>-0.102</v>
      </c>
      <c r="H23" s="5" t="n">
        <v>-0.1069</v>
      </c>
      <c r="I23" s="5" t="n">
        <v>0.0178</v>
      </c>
      <c r="J23" s="5" t="n">
        <v>3.3562</v>
      </c>
      <c r="K23" s="5" t="n">
        <v>-0.7543</v>
      </c>
      <c r="L23" s="5" t="n">
        <v>-2.4047</v>
      </c>
      <c r="M23" s="5">
        <f>IF(AND(L23&gt;0,B23&lt;=-2),B22,"")</f>
        <v/>
      </c>
      <c r="N23" s="5">
        <f>IF(AND(D23&gt;0,E23&lt;0,F23&gt;0),B22,"")</f>
        <v/>
      </c>
      <c r="O23" s="5">
        <f>IF(AND(F23&lt;0,G23&gt;0),B22,"")</f>
        <v/>
      </c>
      <c r="P23" s="5">
        <f>IF(AND(ISNUMBER(M23),0.549579&gt;=MAX(IF(ISNUMBER(N23),0.299732,-1),IF(ISNUMBER(O23),0.323835,-1))),M23,IF(AND(ISNUMBER(N23),0.299732&gt;MAX(IF(ISNUMBER(M23),0.549579,-1),IF(ISNUMBER(O23),0.323835,-1))),N23,IF(AND(ISNUMBER(O23),0.323835&gt;MAX(IF(ISNUMBER(M23),0.549579,-1),IF(ISNUMBER(N23),0.299732,-1))),O23,"")))</f>
        <v/>
      </c>
      <c r="Q23" s="5">
        <f>IF(AND(H23&lt;=-1,C23&lt;0),C22,"")</f>
        <v/>
      </c>
      <c r="R23" s="5">
        <f>IF(AND(I23&gt;0,J23&gt;0),C22,"")</f>
        <v/>
      </c>
      <c r="S23" s="5">
        <f>IF(AND(J23&gt;0,K23&lt;0),C22,"")</f>
        <v/>
      </c>
      <c r="T23" s="5">
        <f>IF(AND(ISNUMBER(Q23),0.408167&gt;=MAX(IF(ISNUMBER(R23),0.31868,-1),IF(ISNUMBER(S23),0.510996,-1))),Q23,IF(AND(ISNUMBER(R23),0.31868&gt;MAX(IF(ISNUMBER(Q23),0.408167,-1),IF(ISNUMBER(S23),0.510996,-1))),R23,IF(AND(ISNUMBER(S23),0.510996&gt;MAX(IF(ISNUMBER(Q23),0.408167,-1),IF(ISNUMBER(R23),0.31868,-1))),S23,"")))</f>
        <v/>
      </c>
    </row>
    <row r="24">
      <c r="A24" s="5" t="inlineStr">
        <is>
          <t>2026/07/21</t>
        </is>
      </c>
      <c r="B24" s="5" t="n">
        <v>3.8099</v>
      </c>
      <c r="C24" s="5" t="n">
        <v>1.7256</v>
      </c>
      <c r="D24" s="5" t="n">
        <v>2.8005</v>
      </c>
      <c r="E24" s="5" t="n">
        <v>1.9614</v>
      </c>
      <c r="F24" s="5" t="n">
        <v>-0.0377</v>
      </c>
      <c r="G24" s="5" t="n">
        <v>-0.1573</v>
      </c>
      <c r="H24" s="5" t="n">
        <v>0.1249</v>
      </c>
      <c r="I24" s="5" t="n">
        <v>-0.4251</v>
      </c>
      <c r="J24" s="5" t="n">
        <v>4.877</v>
      </c>
      <c r="K24" s="5" t="n">
        <v>-0.6949</v>
      </c>
      <c r="L24" s="5" t="n">
        <v>-8.5791</v>
      </c>
      <c r="M24" s="5">
        <f>IF(AND(L24&gt;0,B24&lt;=-2),B23,"")</f>
        <v/>
      </c>
      <c r="N24" s="5">
        <f>IF(AND(D24&gt;0,E24&lt;0,F24&gt;0),B23,"")</f>
        <v/>
      </c>
      <c r="O24" s="5">
        <f>IF(AND(F24&lt;0,G24&gt;0),B23,"")</f>
        <v/>
      </c>
      <c r="P24" s="5">
        <f>IF(AND(ISNUMBER(M24),0.549579&gt;=MAX(IF(ISNUMBER(N24),0.299732,-1),IF(ISNUMBER(O24),0.323835,-1))),M24,IF(AND(ISNUMBER(N24),0.299732&gt;MAX(IF(ISNUMBER(M24),0.549579,-1),IF(ISNUMBER(O24),0.323835,-1))),N24,IF(AND(ISNUMBER(O24),0.323835&gt;MAX(IF(ISNUMBER(M24),0.549579,-1),IF(ISNUMBER(N24),0.299732,-1))),O24,"")))</f>
        <v/>
      </c>
      <c r="Q24" s="5">
        <f>IF(AND(H24&lt;=-1,C24&lt;0),C23,"")</f>
        <v/>
      </c>
      <c r="R24" s="5">
        <f>IF(AND(I24&gt;0,J24&gt;0),C23,"")</f>
        <v/>
      </c>
      <c r="S24" s="5">
        <f>IF(AND(J24&gt;0,K24&lt;0),C23,"")</f>
        <v/>
      </c>
      <c r="T24" s="5">
        <f>IF(AND(ISNUMBER(Q24),0.408167&gt;=MAX(IF(ISNUMBER(R24),0.31868,-1),IF(ISNUMBER(S24),0.510996,-1))),Q24,IF(AND(ISNUMBER(R24),0.31868&gt;MAX(IF(ISNUMBER(Q24),0.408167,-1),IF(ISNUMBER(S24),0.510996,-1))),R24,IF(AND(ISNUMBER(S24),0.510996&gt;MAX(IF(ISNUMBER(Q24),0.408167,-1),IF(ISNUMBER(R24),0.31868,-1))),S24,"")))</f>
        <v/>
      </c>
    </row>
    <row r="25">
      <c r="A25" s="5" t="inlineStr">
        <is>
          <t>2026/07/20</t>
        </is>
      </c>
      <c r="B25" s="5" t="n">
        <v>0.0524</v>
      </c>
      <c r="C25" s="5" t="n">
        <v>-0.4144</v>
      </c>
      <c r="D25" s="5" t="n">
        <v>0.4266</v>
      </c>
      <c r="E25" s="5" t="n">
        <v>-0.2199</v>
      </c>
      <c r="F25" s="5" t="n">
        <v>0.0377</v>
      </c>
      <c r="G25" s="5" t="n">
        <v>-0.2032</v>
      </c>
      <c r="H25" s="5" t="n">
        <v>-0.391</v>
      </c>
      <c r="I25" s="5" t="n">
        <v>-0.0885</v>
      </c>
      <c r="J25" s="5" t="n">
        <v>-0.8132</v>
      </c>
      <c r="K25" s="5" t="n">
        <v>0.1356</v>
      </c>
      <c r="L25" s="5" t="n">
        <v>-0.6393</v>
      </c>
      <c r="M25" s="5">
        <f>IF(AND(L25&gt;0,B25&lt;=-2),B24,"")</f>
        <v/>
      </c>
      <c r="N25" s="5">
        <f>IF(AND(D25&gt;0,E25&lt;0,F25&gt;0),B24,"")</f>
        <v/>
      </c>
      <c r="O25" s="5">
        <f>IF(AND(F25&lt;0,G25&gt;0),B24,"")</f>
        <v/>
      </c>
      <c r="P25" s="5">
        <f>IF(AND(ISNUMBER(M25),0.549579&gt;=MAX(IF(ISNUMBER(N25),0.299732,-1),IF(ISNUMBER(O25),0.323835,-1))),M25,IF(AND(ISNUMBER(N25),0.299732&gt;MAX(IF(ISNUMBER(M25),0.549579,-1),IF(ISNUMBER(O25),0.323835,-1))),N25,IF(AND(ISNUMBER(O25),0.323835&gt;MAX(IF(ISNUMBER(M25),0.549579,-1),IF(ISNUMBER(N25),0.299732,-1))),O25,"")))</f>
        <v/>
      </c>
      <c r="Q25" s="5">
        <f>IF(AND(H25&lt;=-1,C25&lt;0),C24,"")</f>
        <v/>
      </c>
      <c r="R25" s="5">
        <f>IF(AND(I25&gt;0,J25&gt;0),C24,"")</f>
        <v/>
      </c>
      <c r="S25" s="5">
        <f>IF(AND(J25&gt;0,K25&lt;0),C24,"")</f>
        <v/>
      </c>
      <c r="T25" s="5">
        <f>IF(AND(ISNUMBER(Q25),0.408167&gt;=MAX(IF(ISNUMBER(R25),0.31868,-1),IF(ISNUMBER(S25),0.510996,-1))),Q25,IF(AND(ISNUMBER(R25),0.31868&gt;MAX(IF(ISNUMBER(Q25),0.408167,-1),IF(ISNUMBER(S25),0.510996,-1))),R25,IF(AND(ISNUMBER(S25),0.510996&gt;MAX(IF(ISNUMBER(Q25),0.408167,-1),IF(ISNUMBER(R25),0.31868,-1))),S25,"")))</f>
        <v/>
      </c>
    </row>
    <row r="26">
      <c r="A26" s="5" t="inlineStr">
        <is>
          <t>2026/07/17</t>
        </is>
      </c>
      <c r="B26" s="5" t="n">
        <v>-3.0049</v>
      </c>
      <c r="C26" s="5" t="n">
        <v>-2.03</v>
      </c>
      <c r="D26" s="5" t="n">
        <v>-1.4021</v>
      </c>
      <c r="E26" s="5" t="n">
        <v>0.9453</v>
      </c>
      <c r="F26" s="5" t="n">
        <v>-0.188</v>
      </c>
      <c r="G26" s="5" t="n">
        <v>0.2779</v>
      </c>
      <c r="H26" s="5" t="n">
        <v>-0.8633999999999999</v>
      </c>
      <c r="I26" s="5" t="n">
        <v>0.1063</v>
      </c>
      <c r="J26" s="5" t="n">
        <v>-0.112</v>
      </c>
      <c r="K26" s="5" t="n">
        <v>-1.7754</v>
      </c>
      <c r="L26" s="5" t="n">
        <v>12.1937</v>
      </c>
      <c r="M26" s="5">
        <f>IF(AND(L26&gt;0,B26&lt;=-2),B25,"")</f>
        <v/>
      </c>
      <c r="N26" s="5">
        <f>IF(AND(D26&gt;0,E26&lt;0,F26&gt;0),B25,"")</f>
        <v/>
      </c>
      <c r="O26" s="5">
        <f>IF(AND(F26&lt;0,G26&gt;0),B25,"")</f>
        <v/>
      </c>
      <c r="P26" s="5">
        <f>IF(AND(ISNUMBER(M26),0.549579&gt;=MAX(IF(ISNUMBER(N26),0.299732,-1),IF(ISNUMBER(O26),0.323835,-1))),M26,IF(AND(ISNUMBER(N26),0.299732&gt;MAX(IF(ISNUMBER(M26),0.549579,-1),IF(ISNUMBER(O26),0.323835,-1))),N26,IF(AND(ISNUMBER(O26),0.323835&gt;MAX(IF(ISNUMBER(M26),0.549579,-1),IF(ISNUMBER(N26),0.299732,-1))),O26,"")))</f>
        <v/>
      </c>
      <c r="Q26" s="5">
        <f>IF(AND(H26&lt;=-1,C26&lt;0),C25,"")</f>
        <v/>
      </c>
      <c r="R26" s="5">
        <f>IF(AND(I26&gt;0,J26&gt;0),C25,"")</f>
        <v/>
      </c>
      <c r="S26" s="5">
        <f>IF(AND(J26&gt;0,K26&lt;0),C25,"")</f>
        <v/>
      </c>
      <c r="T26" s="5">
        <f>IF(AND(ISNUMBER(Q26),0.408167&gt;=MAX(IF(ISNUMBER(R26),0.31868,-1),IF(ISNUMBER(S26),0.510996,-1))),Q26,IF(AND(ISNUMBER(R26),0.31868&gt;MAX(IF(ISNUMBER(Q26),0.408167,-1),IF(ISNUMBER(S26),0.510996,-1))),R26,IF(AND(ISNUMBER(S26),0.510996&gt;MAX(IF(ISNUMBER(Q26),0.408167,-1),IF(ISNUMBER(R26),0.31868,-1))),S26,"")))</f>
        <v/>
      </c>
    </row>
    <row r="27">
      <c r="A27" s="5" t="inlineStr">
        <is>
          <t>2026/07/16</t>
        </is>
      </c>
      <c r="B27" s="5" t="n">
        <v>-3.2514</v>
      </c>
      <c r="C27" s="5" t="n">
        <v>-1.0393</v>
      </c>
      <c r="D27" s="5" t="n">
        <v>-2.1046</v>
      </c>
      <c r="E27" s="5" t="n">
        <v>-1.9847</v>
      </c>
      <c r="F27" s="5" t="n">
        <v>-0.0125</v>
      </c>
      <c r="G27" s="5" t="n">
        <v>-0.0925</v>
      </c>
      <c r="H27" s="5" t="n">
        <v>0.3359</v>
      </c>
      <c r="I27" s="5" t="n">
        <v>-0.1415</v>
      </c>
      <c r="J27" s="5" t="n">
        <v>-3.5135</v>
      </c>
      <c r="K27" s="5" t="n">
        <v>-0.6439</v>
      </c>
      <c r="L27" s="5" t="n">
        <v>6.7645</v>
      </c>
      <c r="M27" s="5">
        <f>IF(AND(L27&gt;0,B27&lt;=-2),B26,"")</f>
        <v/>
      </c>
      <c r="N27" s="5">
        <f>IF(AND(D27&gt;0,E27&lt;0,F27&gt;0),B26,"")</f>
        <v/>
      </c>
      <c r="O27" s="5">
        <f>IF(AND(F27&lt;0,G27&gt;0),B26,"")</f>
        <v/>
      </c>
      <c r="P27" s="5">
        <f>IF(AND(ISNUMBER(M27),0.549579&gt;=MAX(IF(ISNUMBER(N27),0.299732,-1),IF(ISNUMBER(O27),0.323835,-1))),M27,IF(AND(ISNUMBER(N27),0.299732&gt;MAX(IF(ISNUMBER(M27),0.549579,-1),IF(ISNUMBER(O27),0.323835,-1))),N27,IF(AND(ISNUMBER(O27),0.323835&gt;MAX(IF(ISNUMBER(M27),0.549579,-1),IF(ISNUMBER(N27),0.299732,-1))),O27,"")))</f>
        <v/>
      </c>
      <c r="Q27" s="5">
        <f>IF(AND(H27&lt;=-1,C27&lt;0),C26,"")</f>
        <v/>
      </c>
      <c r="R27" s="5">
        <f>IF(AND(I27&gt;0,J27&gt;0),C26,"")</f>
        <v/>
      </c>
      <c r="S27" s="5">
        <f>IF(AND(J27&gt;0,K27&lt;0),C26,"")</f>
        <v/>
      </c>
      <c r="T27" s="5">
        <f>IF(AND(ISNUMBER(Q27),0.408167&gt;=MAX(IF(ISNUMBER(R27),0.31868,-1),IF(ISNUMBER(S27),0.510996,-1))),Q27,IF(AND(ISNUMBER(R27),0.31868&gt;MAX(IF(ISNUMBER(Q27),0.408167,-1),IF(ISNUMBER(S27),0.510996,-1))),R27,IF(AND(ISNUMBER(S27),0.510996&gt;MAX(IF(ISNUMBER(Q27),0.408167,-1),IF(ISNUMBER(R27),0.31868,-1))),S27,"")))</f>
        <v/>
      </c>
    </row>
    <row r="28">
      <c r="A28" s="5" t="inlineStr">
        <is>
          <t>2026/07/15</t>
        </is>
      </c>
      <c r="B28" s="5" t="n">
        <v>-0.5866</v>
      </c>
      <c r="C28" s="5" t="n">
        <v>0.7557</v>
      </c>
      <c r="D28" s="5" t="n">
        <v>-0.1523</v>
      </c>
      <c r="E28" s="5" t="n">
        <v>0.0537</v>
      </c>
      <c r="F28" s="5" t="n">
        <v>0.1632</v>
      </c>
      <c r="G28" s="5" t="n">
        <v>0.0556</v>
      </c>
      <c r="H28" s="5" t="n">
        <v>0.6764</v>
      </c>
      <c r="I28" s="5" t="n">
        <v>-0.0707</v>
      </c>
      <c r="J28" s="5" t="n">
        <v>-1.1752</v>
      </c>
      <c r="K28" s="5" t="n">
        <v>1.7317</v>
      </c>
      <c r="L28" s="5" t="n">
        <v>-5.0303</v>
      </c>
      <c r="M28" s="5">
        <f>IF(AND(L28&gt;0,B28&lt;=-2),B27,"")</f>
        <v/>
      </c>
      <c r="N28" s="5">
        <f>IF(AND(D28&gt;0,E28&lt;0,F28&gt;0),B27,"")</f>
        <v/>
      </c>
      <c r="O28" s="5">
        <f>IF(AND(F28&lt;0,G28&gt;0),B27,"")</f>
        <v/>
      </c>
      <c r="P28" s="5">
        <f>IF(AND(ISNUMBER(M28),0.549579&gt;=MAX(IF(ISNUMBER(N28),0.299732,-1),IF(ISNUMBER(O28),0.323835,-1))),M28,IF(AND(ISNUMBER(N28),0.299732&gt;MAX(IF(ISNUMBER(M28),0.549579,-1),IF(ISNUMBER(O28),0.323835,-1))),N28,IF(AND(ISNUMBER(O28),0.323835&gt;MAX(IF(ISNUMBER(M28),0.549579,-1),IF(ISNUMBER(N28),0.299732,-1))),O28,"")))</f>
        <v/>
      </c>
      <c r="Q28" s="5">
        <f>IF(AND(H28&lt;=-1,C28&lt;0),C27,"")</f>
        <v/>
      </c>
      <c r="R28" s="5">
        <f>IF(AND(I28&gt;0,J28&gt;0),C27,"")</f>
        <v/>
      </c>
      <c r="S28" s="5">
        <f>IF(AND(J28&gt;0,K28&lt;0),C27,"")</f>
        <v/>
      </c>
      <c r="T28" s="5">
        <f>IF(AND(ISNUMBER(Q28),0.408167&gt;=MAX(IF(ISNUMBER(R28),0.31868,-1),IF(ISNUMBER(S28),0.510996,-1))),Q28,IF(AND(ISNUMBER(R28),0.31868&gt;MAX(IF(ISNUMBER(Q28),0.408167,-1),IF(ISNUMBER(S28),0.510996,-1))),R28,IF(AND(ISNUMBER(S28),0.510996&gt;MAX(IF(ISNUMBER(Q28),0.408167,-1),IF(ISNUMBER(R28),0.31868,-1))),S28,"")))</f>
        <v/>
      </c>
    </row>
    <row r="29">
      <c r="A29" s="5" t="inlineStr">
        <is>
          <t>2026/07/14</t>
        </is>
      </c>
      <c r="B29" s="5" t="n">
        <v>2.1917</v>
      </c>
      <c r="C29" s="5" t="n">
        <v>0.7285</v>
      </c>
      <c r="D29" s="5" t="n">
        <v>1.814</v>
      </c>
      <c r="E29" s="5" t="n">
        <v>1.3674</v>
      </c>
      <c r="F29" s="5" t="n">
        <v>0.2012</v>
      </c>
      <c r="G29" s="5" t="n">
        <v>0.0927</v>
      </c>
      <c r="H29" s="5" t="n">
        <v>0.1962</v>
      </c>
      <c r="I29" s="5" t="n">
        <v>0.1948</v>
      </c>
      <c r="J29" s="5" t="n">
        <v>2.0581</v>
      </c>
      <c r="K29" s="5" t="n">
        <v>-0.1255</v>
      </c>
      <c r="L29" s="5" t="n">
        <v>-3.8462</v>
      </c>
      <c r="M29" s="5">
        <f>IF(AND(L29&gt;0,B29&lt;=-2),B28,"")</f>
        <v/>
      </c>
      <c r="N29" s="5">
        <f>IF(AND(D29&gt;0,E29&lt;0,F29&gt;0),B28,"")</f>
        <v/>
      </c>
      <c r="O29" s="5">
        <f>IF(AND(F29&lt;0,G29&gt;0),B28,"")</f>
        <v/>
      </c>
      <c r="P29" s="5">
        <f>IF(AND(ISNUMBER(M29),0.549579&gt;=MAX(IF(ISNUMBER(N29),0.299732,-1),IF(ISNUMBER(O29),0.323835,-1))),M29,IF(AND(ISNUMBER(N29),0.299732&gt;MAX(IF(ISNUMBER(M29),0.549579,-1),IF(ISNUMBER(O29),0.323835,-1))),N29,IF(AND(ISNUMBER(O29),0.323835&gt;MAX(IF(ISNUMBER(M29),0.549579,-1),IF(ISNUMBER(N29),0.299732,-1))),O29,"")))</f>
        <v/>
      </c>
      <c r="Q29" s="5">
        <f>IF(AND(H29&lt;=-1,C29&lt;0),C28,"")</f>
        <v/>
      </c>
      <c r="R29" s="5">
        <f>IF(AND(I29&gt;0,J29&gt;0),C28,"")</f>
        <v/>
      </c>
      <c r="S29" s="5">
        <f>IF(AND(J29&gt;0,K29&lt;0),C28,"")</f>
        <v/>
      </c>
      <c r="T29" s="5">
        <f>IF(AND(ISNUMBER(Q29),0.408167&gt;=MAX(IF(ISNUMBER(R29),0.31868,-1),IF(ISNUMBER(S29),0.510996,-1))),Q29,IF(AND(ISNUMBER(R29),0.31868&gt;MAX(IF(ISNUMBER(Q29),0.408167,-1),IF(ISNUMBER(S29),0.510996,-1))),R29,IF(AND(ISNUMBER(S29),0.510996&gt;MAX(IF(ISNUMBER(Q29),0.408167,-1),IF(ISNUMBER(R29),0.31868,-1))),S29,"")))</f>
        <v/>
      </c>
    </row>
    <row r="30">
      <c r="A30" s="5" t="inlineStr">
        <is>
          <t>2026/07/13</t>
        </is>
      </c>
      <c r="B30" s="5" t="n">
        <v>-3.808</v>
      </c>
      <c r="C30" s="5" t="n">
        <v>-1.6154</v>
      </c>
      <c r="D30" s="5" t="n">
        <v>-3.5874</v>
      </c>
      <c r="E30" s="5" t="n">
        <v>-2.6206</v>
      </c>
      <c r="F30" s="5" t="n">
        <v>-0.2384</v>
      </c>
      <c r="G30" s="5" t="n">
        <v>-0.2035</v>
      </c>
      <c r="H30" s="5" t="n">
        <v>0.6462</v>
      </c>
      <c r="I30" s="5" t="n">
        <v>-0.4935</v>
      </c>
      <c r="J30" s="5" t="n">
        <v>-2.8598</v>
      </c>
      <c r="K30" s="5" t="n">
        <v>-0.0448</v>
      </c>
      <c r="L30" s="5" t="n">
        <v>14.1717</v>
      </c>
      <c r="M30" s="5">
        <f>IF(AND(L30&gt;0,B30&lt;=-2),B29,"")</f>
        <v/>
      </c>
      <c r="N30" s="5">
        <f>IF(AND(D30&gt;0,E30&lt;0,F30&gt;0),B29,"")</f>
        <v/>
      </c>
      <c r="O30" s="5">
        <f>IF(AND(F30&lt;0,G30&gt;0),B29,"")</f>
        <v/>
      </c>
      <c r="P30" s="5">
        <f>IF(AND(ISNUMBER(M30),0.549579&gt;=MAX(IF(ISNUMBER(N30),0.299732,-1),IF(ISNUMBER(O30),0.323835,-1))),M30,IF(AND(ISNUMBER(N30),0.299732&gt;MAX(IF(ISNUMBER(M30),0.549579,-1),IF(ISNUMBER(O30),0.323835,-1))),N30,IF(AND(ISNUMBER(O30),0.323835&gt;MAX(IF(ISNUMBER(M30),0.549579,-1),IF(ISNUMBER(N30),0.299732,-1))),O30,"")))</f>
        <v/>
      </c>
      <c r="Q30" s="5">
        <f>IF(AND(H30&lt;=-1,C30&lt;0),C29,"")</f>
        <v/>
      </c>
      <c r="R30" s="5">
        <f>IF(AND(I30&gt;0,J30&gt;0),C29,"")</f>
        <v/>
      </c>
      <c r="S30" s="5">
        <f>IF(AND(J30&gt;0,K30&lt;0),C29,"")</f>
        <v/>
      </c>
      <c r="T30" s="5">
        <f>IF(AND(ISNUMBER(Q30),0.408167&gt;=MAX(IF(ISNUMBER(R30),0.31868,-1),IF(ISNUMBER(S30),0.510996,-1))),Q30,IF(AND(ISNUMBER(R30),0.31868&gt;MAX(IF(ISNUMBER(Q30),0.408167,-1),IF(ISNUMBER(S30),0.510996,-1))),R30,IF(AND(ISNUMBER(S30),0.510996&gt;MAX(IF(ISNUMBER(Q30),0.408167,-1),IF(ISNUMBER(R30),0.31868,-1))),S30,"")))</f>
        <v/>
      </c>
    </row>
    <row r="31">
      <c r="A31" s="5" t="inlineStr">
        <is>
          <t>2026/07/10</t>
        </is>
      </c>
      <c r="B31" s="5" t="n">
        <v>0.6408</v>
      </c>
      <c r="C31" s="5" t="n">
        <v>0.8469</v>
      </c>
      <c r="D31" s="5" t="n">
        <v>0.1797</v>
      </c>
      <c r="E31" s="5" t="n">
        <v>-0.3094</v>
      </c>
      <c r="F31" s="5" t="n">
        <v>-0.0502</v>
      </c>
      <c r="G31" s="5" t="n">
        <v>0.0092</v>
      </c>
      <c r="H31" s="5" t="n">
        <v>0.3061</v>
      </c>
      <c r="I31" s="5" t="n">
        <v>0.4603</v>
      </c>
      <c r="J31" s="5" t="n">
        <v>-0.3299</v>
      </c>
      <c r="K31" s="5" t="n">
        <v>1.0225</v>
      </c>
      <c r="L31" s="5" t="n">
        <v>-5.1136</v>
      </c>
      <c r="M31" s="5">
        <f>IF(AND(L31&gt;0,B31&lt;=-2),B30,"")</f>
        <v/>
      </c>
      <c r="N31" s="5">
        <f>IF(AND(D31&gt;0,E31&lt;0,F31&gt;0),B30,"")</f>
        <v/>
      </c>
      <c r="O31" s="5">
        <f>IF(AND(F31&lt;0,G31&gt;0),B30,"")</f>
        <v/>
      </c>
      <c r="P31" s="5">
        <f>IF(AND(ISNUMBER(M31),0.549579&gt;=MAX(IF(ISNUMBER(N31),0.299732,-1),IF(ISNUMBER(O31),0.323835,-1))),M31,IF(AND(ISNUMBER(N31),0.299732&gt;MAX(IF(ISNUMBER(M31),0.549579,-1),IF(ISNUMBER(O31),0.323835,-1))),N31,IF(AND(ISNUMBER(O31),0.323835&gt;MAX(IF(ISNUMBER(M31),0.549579,-1),IF(ISNUMBER(N31),0.299732,-1))),O31,"")))</f>
        <v/>
      </c>
      <c r="Q31" s="5">
        <f>IF(AND(H31&lt;=-1,C31&lt;0),C30,"")</f>
        <v/>
      </c>
      <c r="R31" s="5">
        <f>IF(AND(I31&gt;0,J31&gt;0),C30,"")</f>
        <v/>
      </c>
      <c r="S31" s="5">
        <f>IF(AND(J31&gt;0,K31&lt;0),C30,"")</f>
        <v/>
      </c>
      <c r="T31" s="5">
        <f>IF(AND(ISNUMBER(Q31),0.408167&gt;=MAX(IF(ISNUMBER(R31),0.31868,-1),IF(ISNUMBER(S31),0.510996,-1))),Q31,IF(AND(ISNUMBER(R31),0.31868&gt;MAX(IF(ISNUMBER(Q31),0.408167,-1),IF(ISNUMBER(S31),0.510996,-1))),R31,IF(AND(ISNUMBER(S31),0.510996&gt;MAX(IF(ISNUMBER(Q31),0.408167,-1),IF(ISNUMBER(R31),0.31868,-1))),S31,"")))</f>
        <v/>
      </c>
    </row>
    <row r="32">
      <c r="A32" s="5" t="inlineStr">
        <is>
          <t>2026/07/09</t>
        </is>
      </c>
      <c r="B32" s="5" t="n">
        <v>3.2324</v>
      </c>
      <c r="C32" s="5" t="n">
        <v>1.6226</v>
      </c>
      <c r="D32" s="5" t="n">
        <v>0.8304</v>
      </c>
      <c r="E32" s="5" t="n">
        <v>0.9961</v>
      </c>
      <c r="F32" s="5" t="n">
        <v>0.113</v>
      </c>
      <c r="G32" s="5" t="n">
        <v>0.0648</v>
      </c>
      <c r="H32" s="5" t="n">
        <v>1.0369</v>
      </c>
      <c r="I32" s="5" t="n">
        <v>0.0354</v>
      </c>
      <c r="J32" s="5" t="n">
        <v>3.06</v>
      </c>
      <c r="K32" s="5" t="n">
        <v>0.9593</v>
      </c>
      <c r="L32" s="5" t="n">
        <v>-6.2722</v>
      </c>
      <c r="M32" s="5">
        <f>IF(AND(L32&gt;0,B32&lt;=-2),B31,"")</f>
        <v/>
      </c>
      <c r="N32" s="5">
        <f>IF(AND(D32&gt;0,E32&lt;0,F32&gt;0),B31,"")</f>
        <v/>
      </c>
      <c r="O32" s="5">
        <f>IF(AND(F32&lt;0,G32&gt;0),B31,"")</f>
        <v/>
      </c>
      <c r="P32" s="5">
        <f>IF(AND(ISNUMBER(M32),0.549579&gt;=MAX(IF(ISNUMBER(N32),0.299732,-1),IF(ISNUMBER(O32),0.323835,-1))),M32,IF(AND(ISNUMBER(N32),0.299732&gt;MAX(IF(ISNUMBER(M32),0.549579,-1),IF(ISNUMBER(O32),0.323835,-1))),N32,IF(AND(ISNUMBER(O32),0.323835&gt;MAX(IF(ISNUMBER(M32),0.549579,-1),IF(ISNUMBER(N32),0.299732,-1))),O32,"")))</f>
        <v/>
      </c>
      <c r="Q32" s="5">
        <f>IF(AND(H32&lt;=-1,C32&lt;0),C31,"")</f>
        <v/>
      </c>
      <c r="R32" s="5">
        <f>IF(AND(I32&gt;0,J32&gt;0),C31,"")</f>
        <v/>
      </c>
      <c r="S32" s="5">
        <f>IF(AND(J32&gt;0,K32&lt;0),C31,"")</f>
        <v/>
      </c>
      <c r="T32" s="5">
        <f>IF(AND(ISNUMBER(Q32),0.408167&gt;=MAX(IF(ISNUMBER(R32),0.31868,-1),IF(ISNUMBER(S32),0.510996,-1))),Q32,IF(AND(ISNUMBER(R32),0.31868&gt;MAX(IF(ISNUMBER(Q32),0.408167,-1),IF(ISNUMBER(S32),0.510996,-1))),R32,IF(AND(ISNUMBER(S32),0.510996&gt;MAX(IF(ISNUMBER(Q32),0.408167,-1),IF(ISNUMBER(R32),0.31868,-1))),S32,"")))</f>
        <v/>
      </c>
    </row>
    <row r="33">
      <c r="A33" s="5" t="inlineStr">
        <is>
          <t>2026/07/08</t>
        </is>
      </c>
      <c r="B33" s="5" t="n">
        <v>0.5332</v>
      </c>
      <c r="C33" s="5" t="n">
        <v>-0.5886</v>
      </c>
      <c r="D33" s="5" t="n">
        <v>0.776</v>
      </c>
      <c r="E33" s="5" t="n">
        <v>-0.8053</v>
      </c>
      <c r="F33" s="5" t="n">
        <v>-0.1254</v>
      </c>
      <c r="G33" s="5" t="n">
        <v>-0.1109</v>
      </c>
      <c r="H33" s="5" t="n">
        <v>-1.9269</v>
      </c>
      <c r="I33" s="5" t="n">
        <v>-0.3002</v>
      </c>
      <c r="J33" s="5" t="n">
        <v>-2.9435</v>
      </c>
      <c r="K33" s="5" t="n">
        <v>-1.4052</v>
      </c>
      <c r="L33" s="5" t="n">
        <v>4.7737</v>
      </c>
      <c r="M33" s="5">
        <f>IF(AND(L33&gt;0,B33&lt;=-2),B32,"")</f>
        <v/>
      </c>
      <c r="N33" s="5">
        <f>IF(AND(D33&gt;0,E33&lt;0,F33&gt;0),B32,"")</f>
        <v/>
      </c>
      <c r="O33" s="5">
        <f>IF(AND(F33&lt;0,G33&gt;0),B32,"")</f>
        <v/>
      </c>
      <c r="P33" s="5">
        <f>IF(AND(ISNUMBER(M33),0.549579&gt;=MAX(IF(ISNUMBER(N33),0.299732,-1),IF(ISNUMBER(O33),0.323835,-1))),M33,IF(AND(ISNUMBER(N33),0.299732&gt;MAX(IF(ISNUMBER(M33),0.549579,-1),IF(ISNUMBER(O33),0.323835,-1))),N33,IF(AND(ISNUMBER(O33),0.323835&gt;MAX(IF(ISNUMBER(M33),0.549579,-1),IF(ISNUMBER(N33),0.299732,-1))),O33,"")))</f>
        <v/>
      </c>
      <c r="Q33" s="5">
        <f>IF(AND(H33&lt;=-1,C33&lt;0),C32,"")</f>
        <v/>
      </c>
      <c r="R33" s="5">
        <f>IF(AND(I33&gt;0,J33&gt;0),C32,"")</f>
        <v/>
      </c>
      <c r="S33" s="5">
        <f>IF(AND(J33&gt;0,K33&lt;0),C32,"")</f>
        <v/>
      </c>
      <c r="T33" s="5">
        <f>IF(AND(ISNUMBER(Q33),0.408167&gt;=MAX(IF(ISNUMBER(R33),0.31868,-1),IF(ISNUMBER(S33),0.510996,-1))),Q33,IF(AND(ISNUMBER(R33),0.31868&gt;MAX(IF(ISNUMBER(Q33),0.408167,-1),IF(ISNUMBER(S33),0.510996,-1))),R33,IF(AND(ISNUMBER(S33),0.510996&gt;MAX(IF(ISNUMBER(Q33),0.408167,-1),IF(ISNUMBER(R33),0.31868,-1))),S33,"")))</f>
        <v/>
      </c>
    </row>
    <row r="34">
      <c r="A34" s="5" t="inlineStr">
        <is>
          <t>2026/07/07</t>
        </is>
      </c>
      <c r="B34" s="5" t="n">
        <v>-3.5809</v>
      </c>
      <c r="C34" s="5" t="n">
        <v>-0.9233</v>
      </c>
      <c r="D34" s="5" t="n">
        <v>-2.7379</v>
      </c>
      <c r="E34" s="5" t="n">
        <v>-1.2142</v>
      </c>
      <c r="F34" s="5" t="n">
        <v>-0.1377</v>
      </c>
      <c r="G34" s="5" t="n">
        <v>-0.295</v>
      </c>
      <c r="H34" s="5" t="n">
        <v>-0.1603</v>
      </c>
      <c r="I34" s="5" t="n">
        <v>0.0707</v>
      </c>
      <c r="J34" s="5" t="n">
        <v>-3.7846</v>
      </c>
      <c r="K34" s="5" t="n">
        <v>0.735</v>
      </c>
      <c r="L34" s="5" t="n">
        <v>3.5967</v>
      </c>
      <c r="M34" s="5">
        <f>IF(AND(L34&gt;0,B34&lt;=-2),B33,"")</f>
        <v/>
      </c>
      <c r="N34" s="5">
        <f>IF(AND(D34&gt;0,E34&lt;0,F34&gt;0),B33,"")</f>
        <v/>
      </c>
      <c r="O34" s="5">
        <f>IF(AND(F34&lt;0,G34&gt;0),B33,"")</f>
        <v/>
      </c>
      <c r="P34" s="5">
        <f>IF(AND(ISNUMBER(M34),0.549579&gt;=MAX(IF(ISNUMBER(N34),0.299732,-1),IF(ISNUMBER(O34),0.323835,-1))),M34,IF(AND(ISNUMBER(N34),0.299732&gt;MAX(IF(ISNUMBER(M34),0.549579,-1),IF(ISNUMBER(O34),0.323835,-1))),N34,IF(AND(ISNUMBER(O34),0.323835&gt;MAX(IF(ISNUMBER(M34),0.549579,-1),IF(ISNUMBER(N34),0.299732,-1))),O34,"")))</f>
        <v/>
      </c>
      <c r="Q34" s="5">
        <f>IF(AND(H34&lt;=-1,C34&lt;0),C33,"")</f>
        <v/>
      </c>
      <c r="R34" s="5">
        <f>IF(AND(I34&gt;0,J34&gt;0),C33,"")</f>
        <v/>
      </c>
      <c r="S34" s="5">
        <f>IF(AND(J34&gt;0,K34&lt;0),C33,"")</f>
        <v/>
      </c>
      <c r="T34" s="5">
        <f>IF(AND(ISNUMBER(Q34),0.408167&gt;=MAX(IF(ISNUMBER(R34),0.31868,-1),IF(ISNUMBER(S34),0.510996,-1))),Q34,IF(AND(ISNUMBER(R34),0.31868&gt;MAX(IF(ISNUMBER(Q34),0.408167,-1),IF(ISNUMBER(S34),0.510996,-1))),R34,IF(AND(ISNUMBER(S34),0.510996&gt;MAX(IF(ISNUMBER(Q34),0.408167,-1),IF(ISNUMBER(R34),0.31868,-1))),S34,"")))</f>
        <v/>
      </c>
    </row>
    <row r="35">
      <c r="A35" s="5" t="inlineStr">
        <is>
          <t>2026/07/06</t>
        </is>
      </c>
      <c r="B35" s="5" t="n">
        <v>2.5177</v>
      </c>
      <c r="C35" s="5" t="n">
        <v>1.4683</v>
      </c>
      <c r="D35" s="5" t="n">
        <v>2.8463</v>
      </c>
      <c r="E35" s="5" t="n">
        <v>1.0578</v>
      </c>
      <c r="F35" s="5" t="n">
        <v>0.2007</v>
      </c>
      <c r="G35" s="5" t="n">
        <v>0.1477</v>
      </c>
      <c r="H35" s="5" t="n">
        <v>0.9349</v>
      </c>
      <c r="I35" s="5" t="n">
        <v>-0.6321</v>
      </c>
      <c r="J35" s="5" t="n">
        <v>0.3953</v>
      </c>
      <c r="K35" s="5" t="n">
        <v>0.5566</v>
      </c>
      <c r="L35" s="5" t="n">
        <v>-3.5913</v>
      </c>
      <c r="M35" s="5">
        <f>IF(AND(L35&gt;0,B35&lt;=-2),B34,"")</f>
        <v/>
      </c>
      <c r="N35" s="5">
        <f>IF(AND(D35&gt;0,E35&lt;0,F35&gt;0),B34,"")</f>
        <v/>
      </c>
      <c r="O35" s="5">
        <f>IF(AND(F35&lt;0,G35&gt;0),B34,"")</f>
        <v/>
      </c>
      <c r="P35" s="5">
        <f>IF(AND(ISNUMBER(M35),0.549579&gt;=MAX(IF(ISNUMBER(N35),0.299732,-1),IF(ISNUMBER(O35),0.323835,-1))),M35,IF(AND(ISNUMBER(N35),0.299732&gt;MAX(IF(ISNUMBER(M35),0.549579,-1),IF(ISNUMBER(O35),0.323835,-1))),N35,IF(AND(ISNUMBER(O35),0.323835&gt;MAX(IF(ISNUMBER(M35),0.549579,-1),IF(ISNUMBER(N35),0.299732,-1))),O35,"")))</f>
        <v/>
      </c>
      <c r="Q35" s="5">
        <f>IF(AND(H35&lt;=-1,C35&lt;0),C34,"")</f>
        <v/>
      </c>
      <c r="R35" s="5">
        <f>IF(AND(I35&gt;0,J35&gt;0),C34,"")</f>
        <v/>
      </c>
      <c r="S35" s="5">
        <f>IF(AND(J35&gt;0,K35&lt;0),C34,"")</f>
        <v/>
      </c>
      <c r="T35" s="5">
        <f>IF(AND(ISNUMBER(Q35),0.408167&gt;=MAX(IF(ISNUMBER(R35),0.31868,-1),IF(ISNUMBER(S35),0.510996,-1))),Q35,IF(AND(ISNUMBER(R35),0.31868&gt;MAX(IF(ISNUMBER(Q35),0.408167,-1),IF(ISNUMBER(S35),0.510996,-1))),R35,IF(AND(ISNUMBER(S35),0.510996&gt;MAX(IF(ISNUMBER(Q35),0.408167,-1),IF(ISNUMBER(R35),0.31868,-1))),S35,"")))</f>
        <v/>
      </c>
    </row>
    <row r="36">
      <c r="A36" s="5" t="inlineStr">
        <is>
          <t>2026/07/02</t>
        </is>
      </c>
      <c r="B36" s="5" t="n">
        <v>-3.2866</v>
      </c>
      <c r="C36" s="5" t="n">
        <v>-0.08210000000000001</v>
      </c>
      <c r="D36" s="5" t="n">
        <v>-1.1733</v>
      </c>
      <c r="E36" s="5" t="n">
        <v>2.0318</v>
      </c>
      <c r="F36" s="5" t="n">
        <v>0.1508</v>
      </c>
      <c r="G36" s="5" t="n">
        <v>0.1479</v>
      </c>
      <c r="H36" s="5" t="n">
        <v>1.5334</v>
      </c>
      <c r="I36" s="5" t="n">
        <v>0.9215</v>
      </c>
      <c r="J36" s="5" t="n">
        <v>4.4758</v>
      </c>
      <c r="K36" s="5" t="n">
        <v>-0.1276</v>
      </c>
      <c r="L36" s="5" t="n">
        <v>-2.6522</v>
      </c>
      <c r="M36" s="5">
        <f>IF(AND(L36&gt;0,B36&lt;=-2),B35,"")</f>
        <v/>
      </c>
      <c r="N36" s="5">
        <f>IF(AND(D36&gt;0,E36&lt;0,F36&gt;0),B35,"")</f>
        <v/>
      </c>
      <c r="O36" s="5">
        <f>IF(AND(F36&lt;0,G36&gt;0),B35,"")</f>
        <v/>
      </c>
      <c r="P36" s="5">
        <f>IF(AND(ISNUMBER(M36),0.549579&gt;=MAX(IF(ISNUMBER(N36),0.299732,-1),IF(ISNUMBER(O36),0.323835,-1))),M36,IF(AND(ISNUMBER(N36),0.299732&gt;MAX(IF(ISNUMBER(M36),0.549579,-1),IF(ISNUMBER(O36),0.323835,-1))),N36,IF(AND(ISNUMBER(O36),0.323835&gt;MAX(IF(ISNUMBER(M36),0.549579,-1),IF(ISNUMBER(N36),0.299732,-1))),O36,"")))</f>
        <v/>
      </c>
      <c r="Q36" s="5">
        <f>IF(AND(H36&lt;=-1,C36&lt;0),C35,"")</f>
        <v/>
      </c>
      <c r="R36" s="5">
        <f>IF(AND(I36&gt;0,J36&gt;0),C35,"")</f>
        <v/>
      </c>
      <c r="S36" s="5">
        <f>IF(AND(J36&gt;0,K36&lt;0),C35,"")</f>
        <v/>
      </c>
      <c r="T36" s="5">
        <f>IF(AND(ISNUMBER(Q36),0.408167&gt;=MAX(IF(ISNUMBER(R36),0.31868,-1),IF(ISNUMBER(S36),0.510996,-1))),Q36,IF(AND(ISNUMBER(R36),0.31868&gt;MAX(IF(ISNUMBER(Q36),0.408167,-1),IF(ISNUMBER(S36),0.510996,-1))),R36,IF(AND(ISNUMBER(S36),0.510996&gt;MAX(IF(ISNUMBER(Q36),0.408167,-1),IF(ISNUMBER(R36),0.31868,-1))),S36,"")))</f>
        <v/>
      </c>
    </row>
    <row r="37">
      <c r="A37" s="5" t="inlineStr">
        <is>
          <t>2026/07/01</t>
        </is>
      </c>
      <c r="B37" s="5" t="n">
        <v>-3.0807</v>
      </c>
      <c r="C37" s="5" t="n">
        <v>-0.3926</v>
      </c>
      <c r="D37" s="5" t="n">
        <v>-2.8212</v>
      </c>
      <c r="E37" s="5" t="n">
        <v>0.6026</v>
      </c>
      <c r="F37" s="5" t="n">
        <v>-0.0138</v>
      </c>
      <c r="G37" s="5" t="n">
        <v>-0.1864</v>
      </c>
      <c r="H37" s="5" t="n">
        <v>2.1824</v>
      </c>
      <c r="I37" s="5" t="n">
        <v>-0.0177</v>
      </c>
      <c r="J37" s="5" t="n">
        <v>-0.5036</v>
      </c>
      <c r="K37" s="5" t="n">
        <v>2.4363</v>
      </c>
      <c r="L37" s="5" t="n">
        <v>0.8511</v>
      </c>
      <c r="M37" s="5">
        <f>IF(AND(L37&gt;0,B37&lt;=-2),B36,"")</f>
        <v/>
      </c>
      <c r="N37" s="5">
        <f>IF(AND(D37&gt;0,E37&lt;0,F37&gt;0),B36,"")</f>
        <v/>
      </c>
      <c r="O37" s="5">
        <f>IF(AND(F37&lt;0,G37&gt;0),B36,"")</f>
        <v/>
      </c>
      <c r="P37" s="5">
        <f>IF(AND(ISNUMBER(M37),0.549579&gt;=MAX(IF(ISNUMBER(N37),0.299732,-1),IF(ISNUMBER(O37),0.323835,-1))),M37,IF(AND(ISNUMBER(N37),0.299732&gt;MAX(IF(ISNUMBER(M37),0.549579,-1),IF(ISNUMBER(O37),0.323835,-1))),N37,IF(AND(ISNUMBER(O37),0.323835&gt;MAX(IF(ISNUMBER(M37),0.549579,-1),IF(ISNUMBER(N37),0.299732,-1))),O37,"")))</f>
        <v/>
      </c>
      <c r="Q37" s="5">
        <f>IF(AND(H37&lt;=-1,C37&lt;0),C36,"")</f>
        <v/>
      </c>
      <c r="R37" s="5">
        <f>IF(AND(I37&gt;0,J37&gt;0),C36,"")</f>
        <v/>
      </c>
      <c r="S37" s="5">
        <f>IF(AND(J37&gt;0,K37&lt;0),C36,"")</f>
        <v/>
      </c>
      <c r="T37" s="5">
        <f>IF(AND(ISNUMBER(Q37),0.408167&gt;=MAX(IF(ISNUMBER(R37),0.31868,-1),IF(ISNUMBER(S37),0.510996,-1))),Q37,IF(AND(ISNUMBER(R37),0.31868&gt;MAX(IF(ISNUMBER(Q37),0.408167,-1),IF(ISNUMBER(S37),0.510996,-1))),R37,IF(AND(ISNUMBER(S37),0.510996&gt;MAX(IF(ISNUMBER(Q37),0.408167,-1),IF(ISNUMBER(R37),0.31868,-1))),S37,"")))</f>
        <v/>
      </c>
    </row>
    <row r="38">
      <c r="A38" s="5" t="inlineStr">
        <is>
          <t>2026/06/30</t>
        </is>
      </c>
      <c r="B38" s="5" t="n">
        <v>3.3708</v>
      </c>
      <c r="C38" s="5" t="n">
        <v>1.556</v>
      </c>
      <c r="D38" s="5" t="n">
        <v>1.4534</v>
      </c>
      <c r="E38" s="5" t="n">
        <v>-0.0543</v>
      </c>
      <c r="F38" s="5" t="n">
        <v>-0.05</v>
      </c>
      <c r="G38" s="5" t="n">
        <v>-0.4277</v>
      </c>
      <c r="H38" s="5" t="n">
        <v>-0.2048</v>
      </c>
      <c r="I38" s="5" t="n">
        <v>-0.3883</v>
      </c>
      <c r="J38" s="5" t="n">
        <v>-0.3039</v>
      </c>
      <c r="K38" s="5" t="n">
        <v>-0.6952</v>
      </c>
      <c r="L38" s="5" t="n">
        <v>-6.7989</v>
      </c>
      <c r="M38" s="5">
        <f>IF(AND(L38&gt;0,B38&lt;=-2),B37,"")</f>
        <v/>
      </c>
      <c r="N38" s="5">
        <f>IF(AND(D38&gt;0,E38&lt;0,F38&gt;0),B37,"")</f>
        <v/>
      </c>
      <c r="O38" s="5">
        <f>IF(AND(F38&lt;0,G38&gt;0),B37,"")</f>
        <v/>
      </c>
      <c r="P38" s="5">
        <f>IF(AND(ISNUMBER(M38),0.549579&gt;=MAX(IF(ISNUMBER(N38),0.299732,-1),IF(ISNUMBER(O38),0.323835,-1))),M38,IF(AND(ISNUMBER(N38),0.299732&gt;MAX(IF(ISNUMBER(M38),0.549579,-1),IF(ISNUMBER(O38),0.323835,-1))),N38,IF(AND(ISNUMBER(O38),0.323835&gt;MAX(IF(ISNUMBER(M38),0.549579,-1),IF(ISNUMBER(N38),0.299732,-1))),O38,"")))</f>
        <v/>
      </c>
      <c r="Q38" s="5">
        <f>IF(AND(H38&lt;=-1,C38&lt;0),C37,"")</f>
        <v/>
      </c>
      <c r="R38" s="5">
        <f>IF(AND(I38&gt;0,J38&gt;0),C37,"")</f>
        <v/>
      </c>
      <c r="S38" s="5">
        <f>IF(AND(J38&gt;0,K38&lt;0),C37,"")</f>
        <v/>
      </c>
      <c r="T38" s="5">
        <f>IF(AND(ISNUMBER(Q38),0.408167&gt;=MAX(IF(ISNUMBER(R38),0.31868,-1),IF(ISNUMBER(S38),0.510996,-1))),Q38,IF(AND(ISNUMBER(R38),0.31868&gt;MAX(IF(ISNUMBER(Q38),0.408167,-1),IF(ISNUMBER(S38),0.510996,-1))),R38,IF(AND(ISNUMBER(S38),0.510996&gt;MAX(IF(ISNUMBER(Q38),0.408167,-1),IF(ISNUMBER(R38),0.31868,-1))),S38,"")))</f>
        <v/>
      </c>
    </row>
    <row r="39">
      <c r="A39" s="5" t="inlineStr">
        <is>
          <t>2026/06/29</t>
        </is>
      </c>
      <c r="B39" s="5" t="n">
        <v>4.548</v>
      </c>
      <c r="C39" s="5" t="n">
        <v>2.4508</v>
      </c>
      <c r="D39" s="5" t="n">
        <v>0.3572</v>
      </c>
      <c r="E39" s="5" t="n">
        <v>-1.3516</v>
      </c>
      <c r="F39" s="5" t="n">
        <v>0.2255</v>
      </c>
      <c r="G39" s="5" t="n">
        <v>0.1823</v>
      </c>
      <c r="H39" s="5" t="n">
        <v>0.28</v>
      </c>
      <c r="I39" s="5" t="n">
        <v>-0.0882</v>
      </c>
      <c r="J39" s="5" t="n">
        <v>-1.7143</v>
      </c>
      <c r="K39" s="5" t="n">
        <v>1.6011</v>
      </c>
      <c r="L39" s="5" t="n">
        <v>-4.1282</v>
      </c>
      <c r="M39" s="5">
        <f>IF(AND(L39&gt;0,B39&lt;=-2),B38,"")</f>
        <v/>
      </c>
      <c r="N39" s="5">
        <f>IF(AND(D39&gt;0,E39&lt;0,F39&gt;0),B38,"")</f>
        <v/>
      </c>
      <c r="O39" s="5">
        <f>IF(AND(F39&lt;0,G39&gt;0),B38,"")</f>
        <v/>
      </c>
      <c r="P39" s="5">
        <f>IF(AND(ISNUMBER(M39),0.549579&gt;=MAX(IF(ISNUMBER(N39),0.299732,-1),IF(ISNUMBER(O39),0.323835,-1))),M39,IF(AND(ISNUMBER(N39),0.299732&gt;MAX(IF(ISNUMBER(M39),0.549579,-1),IF(ISNUMBER(O39),0.323835,-1))),N39,IF(AND(ISNUMBER(O39),0.323835&gt;MAX(IF(ISNUMBER(M39),0.549579,-1),IF(ISNUMBER(N39),0.299732,-1))),O39,"")))</f>
        <v/>
      </c>
      <c r="Q39" s="5">
        <f>IF(AND(H39&lt;=-1,C39&lt;0),C38,"")</f>
        <v/>
      </c>
      <c r="R39" s="5">
        <f>IF(AND(I39&gt;0,J39&gt;0),C38,"")</f>
        <v/>
      </c>
      <c r="S39" s="5">
        <f>IF(AND(J39&gt;0,K39&lt;0),C38,"")</f>
        <v/>
      </c>
      <c r="T39" s="5">
        <f>IF(AND(ISNUMBER(Q39),0.408167&gt;=MAX(IF(ISNUMBER(R39),0.31868,-1),IF(ISNUMBER(S39),0.510996,-1))),Q39,IF(AND(ISNUMBER(R39),0.31868&gt;MAX(IF(ISNUMBER(Q39),0.408167,-1),IF(ISNUMBER(S39),0.510996,-1))),R39,IF(AND(ISNUMBER(S39),0.510996&gt;MAX(IF(ISNUMBER(Q39),0.408167,-1),IF(ISNUMBER(R39),0.31868,-1))),S39,"")))</f>
        <v/>
      </c>
    </row>
    <row r="40">
      <c r="A40" s="5" t="inlineStr">
        <is>
          <t>2026/06/26</t>
        </is>
      </c>
      <c r="B40" s="5" t="n">
        <v>-2.2955</v>
      </c>
      <c r="C40" s="5" t="n">
        <v>-0.3111</v>
      </c>
      <c r="D40" s="5" t="n">
        <v>-1.133</v>
      </c>
      <c r="E40" s="5" t="n">
        <v>1.1287</v>
      </c>
      <c r="F40" s="5" t="n">
        <v>-0.0626</v>
      </c>
      <c r="G40" s="5" t="n">
        <v>0.1827</v>
      </c>
      <c r="H40" s="5" t="n">
        <v>0.2245</v>
      </c>
      <c r="I40" s="5" t="n">
        <v>0.0353</v>
      </c>
      <c r="J40" s="5" t="n">
        <v>1.7576</v>
      </c>
      <c r="K40" s="5" t="n">
        <v>0.5683</v>
      </c>
      <c r="L40" s="5" t="n">
        <v>-2.541</v>
      </c>
      <c r="M40" s="5">
        <f>IF(AND(L40&gt;0,B40&lt;=-2),B39,"")</f>
        <v/>
      </c>
      <c r="N40" s="5">
        <f>IF(AND(D40&gt;0,E40&lt;0,F40&gt;0),B39,"")</f>
        <v/>
      </c>
      <c r="O40" s="5">
        <f>IF(AND(F40&lt;0,G40&gt;0),B39,"")</f>
        <v/>
      </c>
      <c r="P40" s="5">
        <f>IF(AND(ISNUMBER(M40),0.549579&gt;=MAX(IF(ISNUMBER(N40),0.299732,-1),IF(ISNUMBER(O40),0.323835,-1))),M40,IF(AND(ISNUMBER(N40),0.299732&gt;MAX(IF(ISNUMBER(M40),0.549579,-1),IF(ISNUMBER(O40),0.323835,-1))),N40,IF(AND(ISNUMBER(O40),0.323835&gt;MAX(IF(ISNUMBER(M40),0.549579,-1),IF(ISNUMBER(N40),0.299732,-1))),O40,"")))</f>
        <v/>
      </c>
      <c r="Q40" s="5">
        <f>IF(AND(H40&lt;=-1,C40&lt;0),C39,"")</f>
        <v/>
      </c>
      <c r="R40" s="5">
        <f>IF(AND(I40&gt;0,J40&gt;0),C39,"")</f>
        <v/>
      </c>
      <c r="S40" s="5">
        <f>IF(AND(J40&gt;0,K40&lt;0),C39,"")</f>
        <v/>
      </c>
      <c r="T40" s="5">
        <f>IF(AND(ISNUMBER(Q40),0.408167&gt;=MAX(IF(ISNUMBER(R40),0.31868,-1),IF(ISNUMBER(S40),0.510996,-1))),Q40,IF(AND(ISNUMBER(R40),0.31868&gt;MAX(IF(ISNUMBER(Q40),0.408167,-1),IF(ISNUMBER(S40),0.510996,-1))),R40,IF(AND(ISNUMBER(S40),0.510996&gt;MAX(IF(ISNUMBER(Q40),0.408167,-1),IF(ISNUMBER(R40),0.31868,-1))),S40,"")))</f>
        <v/>
      </c>
    </row>
    <row r="41">
      <c r="A41" s="5" t="inlineStr">
        <is>
          <t>2026/06/25</t>
        </is>
      </c>
      <c r="B41" s="5" t="n">
        <v>1.5014</v>
      </c>
      <c r="C41" s="5" t="n">
        <v>0</v>
      </c>
      <c r="D41" s="5" t="n">
        <v>1.0558</v>
      </c>
      <c r="E41" s="5" t="n">
        <v>0.9674</v>
      </c>
      <c r="F41" s="5" t="n">
        <v>0.0375</v>
      </c>
      <c r="G41" s="5" t="n">
        <v>0.1646</v>
      </c>
      <c r="H41" s="5" t="n">
        <v>-0.5026</v>
      </c>
      <c r="I41" s="5" t="n">
        <v>-0.0176</v>
      </c>
      <c r="J41" s="5" t="n">
        <v>1.4479</v>
      </c>
      <c r="K41" s="5" t="n">
        <v>-0.9011</v>
      </c>
      <c r="L41" s="5" t="n">
        <v>1.3956</v>
      </c>
      <c r="M41" s="5">
        <f>IF(AND(L41&gt;0,B41&lt;=-2),B40,"")</f>
        <v/>
      </c>
      <c r="N41" s="5">
        <f>IF(AND(D41&gt;0,E41&lt;0,F41&gt;0),B40,"")</f>
        <v/>
      </c>
      <c r="O41" s="5">
        <f>IF(AND(F41&lt;0,G41&gt;0),B40,"")</f>
        <v/>
      </c>
      <c r="P41" s="5">
        <f>IF(AND(ISNUMBER(M41),0.549579&gt;=MAX(IF(ISNUMBER(N41),0.299732,-1),IF(ISNUMBER(O41),0.323835,-1))),M41,IF(AND(ISNUMBER(N41),0.299732&gt;MAX(IF(ISNUMBER(M41),0.549579,-1),IF(ISNUMBER(O41),0.323835,-1))),N41,IF(AND(ISNUMBER(O41),0.323835&gt;MAX(IF(ISNUMBER(M41),0.549579,-1),IF(ISNUMBER(N41),0.299732,-1))),O41,"")))</f>
        <v/>
      </c>
      <c r="Q41" s="5">
        <f>IF(AND(H41&lt;=-1,C41&lt;0),C40,"")</f>
        <v/>
      </c>
      <c r="R41" s="5">
        <f>IF(AND(I41&gt;0,J41&gt;0),C40,"")</f>
        <v/>
      </c>
      <c r="S41" s="5">
        <f>IF(AND(J41&gt;0,K41&lt;0),C40,"")</f>
        <v/>
      </c>
      <c r="T41" s="5">
        <f>IF(AND(ISNUMBER(Q41),0.408167&gt;=MAX(IF(ISNUMBER(R41),0.31868,-1),IF(ISNUMBER(S41),0.510996,-1))),Q41,IF(AND(ISNUMBER(R41),0.31868&gt;MAX(IF(ISNUMBER(Q41),0.408167,-1),IF(ISNUMBER(S41),0.510996,-1))),R41,IF(AND(ISNUMBER(S41),0.510996&gt;MAX(IF(ISNUMBER(Q41),0.408167,-1),IF(ISNUMBER(R41),0.31868,-1))),S41,"")))</f>
        <v/>
      </c>
    </row>
    <row r="42">
      <c r="A42" s="5" t="inlineStr">
        <is>
          <t>2026/06/24</t>
        </is>
      </c>
      <c r="B42" s="5" t="n">
        <v>-0.8891</v>
      </c>
      <c r="C42" s="5" t="n">
        <v>-0.2032</v>
      </c>
      <c r="D42" s="5" t="n">
        <v>0.1191</v>
      </c>
      <c r="E42" s="5" t="n">
        <v>-3.0213</v>
      </c>
      <c r="F42" s="5" t="n">
        <v>-0.025</v>
      </c>
      <c r="G42" s="5" t="n">
        <v>0.3857</v>
      </c>
      <c r="H42" s="5" t="n">
        <v>-0.297</v>
      </c>
      <c r="I42" s="5" t="n">
        <v>-0.1761</v>
      </c>
      <c r="J42" s="5" t="n">
        <v>-3.9531</v>
      </c>
      <c r="K42" s="5" t="n">
        <v>-0.6805</v>
      </c>
      <c r="L42" s="5" t="n">
        <v>-4.4125</v>
      </c>
      <c r="M42" s="5">
        <f>IF(AND(L42&gt;0,B42&lt;=-2),B41,"")</f>
        <v/>
      </c>
      <c r="N42" s="5">
        <f>IF(AND(D42&gt;0,E42&lt;0,F42&gt;0),B41,"")</f>
        <v/>
      </c>
      <c r="O42" s="5">
        <f>IF(AND(F42&lt;0,G42&gt;0),B41,"")</f>
        <v/>
      </c>
      <c r="P42" s="5">
        <f>IF(AND(ISNUMBER(M42),0.549579&gt;=MAX(IF(ISNUMBER(N42),0.299732,-1),IF(ISNUMBER(O42),0.323835,-1))),M42,IF(AND(ISNUMBER(N42),0.299732&gt;MAX(IF(ISNUMBER(M42),0.549579,-1),IF(ISNUMBER(O42),0.323835,-1))),N42,IF(AND(ISNUMBER(O42),0.323835&gt;MAX(IF(ISNUMBER(M42),0.549579,-1),IF(ISNUMBER(N42),0.299732,-1))),O42,"")))</f>
        <v/>
      </c>
      <c r="Q42" s="5">
        <f>IF(AND(H42&lt;=-1,C42&lt;0),C41,"")</f>
        <v/>
      </c>
      <c r="R42" s="5">
        <f>IF(AND(I42&gt;0,J42&gt;0),C41,"")</f>
        <v/>
      </c>
      <c r="S42" s="5">
        <f>IF(AND(J42&gt;0,K42&lt;0),C41,"")</f>
        <v/>
      </c>
      <c r="T42" s="5">
        <f>IF(AND(ISNUMBER(Q42),0.408167&gt;=MAX(IF(ISNUMBER(R42),0.31868,-1),IF(ISNUMBER(S42),0.510996,-1))),Q42,IF(AND(ISNUMBER(R42),0.31868&gt;MAX(IF(ISNUMBER(Q42),0.408167,-1),IF(ISNUMBER(S42),0.510996,-1))),R42,IF(AND(ISNUMBER(S42),0.510996&gt;MAX(IF(ISNUMBER(Q42),0.408167,-1),IF(ISNUMBER(R42),0.31868,-1))),S42,"")))</f>
        <v/>
      </c>
    </row>
    <row r="43">
      <c r="A43" s="5" t="inlineStr">
        <is>
          <t>2026/06/23</t>
        </is>
      </c>
      <c r="B43" s="5" t="n">
        <v>-6.5867</v>
      </c>
      <c r="C43" s="5" t="n">
        <v>-2.8778</v>
      </c>
      <c r="D43" s="5" t="n">
        <v>-5.6734</v>
      </c>
      <c r="E43" s="5" t="n">
        <v>-1.8903</v>
      </c>
      <c r="F43" s="5" t="n">
        <v>-0.08749999999999999</v>
      </c>
      <c r="G43" s="5" t="n">
        <v>-0.0367</v>
      </c>
      <c r="H43" s="5" t="n">
        <v>0.3352</v>
      </c>
      <c r="I43" s="5" t="n">
        <v>0.0176</v>
      </c>
      <c r="J43" s="5" t="n">
        <v>-4.6415</v>
      </c>
      <c r="K43" s="5" t="n">
        <v>0.3837</v>
      </c>
      <c r="L43" s="5" t="n">
        <v>12.7894</v>
      </c>
      <c r="M43" s="5">
        <f>IF(AND(L43&gt;0,B43&lt;=-2),B42,"")</f>
        <v/>
      </c>
      <c r="N43" s="5">
        <f>IF(AND(D43&gt;0,E43&lt;0,F43&gt;0),B42,"")</f>
        <v/>
      </c>
      <c r="O43" s="5">
        <f>IF(AND(F43&lt;0,G43&gt;0),B42,"")</f>
        <v/>
      </c>
      <c r="P43" s="5">
        <f>IF(AND(ISNUMBER(M43),0.549579&gt;=MAX(IF(ISNUMBER(N43),0.299732,-1),IF(ISNUMBER(O43),0.323835,-1))),M43,IF(AND(ISNUMBER(N43),0.299732&gt;MAX(IF(ISNUMBER(M43),0.549579,-1),IF(ISNUMBER(O43),0.323835,-1))),N43,IF(AND(ISNUMBER(O43),0.323835&gt;MAX(IF(ISNUMBER(M43),0.549579,-1),IF(ISNUMBER(N43),0.299732,-1))),O43,"")))</f>
        <v/>
      </c>
      <c r="Q43" s="5">
        <f>IF(AND(H43&lt;=-1,C43&lt;0),C42,"")</f>
        <v/>
      </c>
      <c r="R43" s="5">
        <f>IF(AND(I43&gt;0,J43&gt;0),C42,"")</f>
        <v/>
      </c>
      <c r="S43" s="5">
        <f>IF(AND(J43&gt;0,K43&lt;0),C42,"")</f>
        <v/>
      </c>
      <c r="T43" s="5">
        <f>IF(AND(ISNUMBER(Q43),0.408167&gt;=MAX(IF(ISNUMBER(R43),0.31868,-1),IF(ISNUMBER(S43),0.510996,-1))),Q43,IF(AND(ISNUMBER(R43),0.31868&gt;MAX(IF(ISNUMBER(Q43),0.408167,-1),IF(ISNUMBER(S43),0.510996,-1))),R43,IF(AND(ISNUMBER(S43),0.510996&gt;MAX(IF(ISNUMBER(Q43),0.408167,-1),IF(ISNUMBER(R43),0.31868,-1))),S43,"")))</f>
        <v/>
      </c>
    </row>
    <row r="44">
      <c r="A44" s="5" t="inlineStr">
        <is>
          <t>2026/06/22</t>
        </is>
      </c>
      <c r="B44" s="5" t="n">
        <v>-0.465</v>
      </c>
      <c r="C44" s="5" t="n">
        <v>-0.7778</v>
      </c>
      <c r="D44" s="5" t="n">
        <v>0.5933</v>
      </c>
      <c r="E44" s="5" t="n">
        <v>-0.6535</v>
      </c>
      <c r="F44" s="5" t="n">
        <v>-0.08749999999999999</v>
      </c>
      <c r="G44" s="5" t="n">
        <v>-0.4114</v>
      </c>
      <c r="H44" s="5" t="n">
        <v>0.5938</v>
      </c>
      <c r="I44" s="5" t="n">
        <v>-0.1055</v>
      </c>
      <c r="J44" s="5" t="n">
        <v>-1.2968</v>
      </c>
      <c r="K44" s="5" t="n">
        <v>-2.1124</v>
      </c>
      <c r="L44" s="5" t="n">
        <v>5.3659</v>
      </c>
      <c r="M44" s="5">
        <f>IF(AND(L44&gt;0,B44&lt;=-2),B43,"")</f>
        <v/>
      </c>
      <c r="N44" s="5">
        <f>IF(AND(D44&gt;0,E44&lt;0,F44&gt;0),B43,"")</f>
        <v/>
      </c>
      <c r="O44" s="5">
        <f>IF(AND(F44&lt;0,G44&gt;0),B43,"")</f>
        <v/>
      </c>
      <c r="P44" s="5">
        <f>IF(AND(ISNUMBER(M44),0.549579&gt;=MAX(IF(ISNUMBER(N44),0.299732,-1),IF(ISNUMBER(O44),0.323835,-1))),M44,IF(AND(ISNUMBER(N44),0.299732&gt;MAX(IF(ISNUMBER(M44),0.549579,-1),IF(ISNUMBER(O44),0.323835,-1))),N44,IF(AND(ISNUMBER(O44),0.323835&gt;MAX(IF(ISNUMBER(M44),0.549579,-1),IF(ISNUMBER(N44),0.299732,-1))),O44,"")))</f>
        <v/>
      </c>
      <c r="Q44" s="5">
        <f>IF(AND(H44&lt;=-1,C44&lt;0),C43,"")</f>
        <v/>
      </c>
      <c r="R44" s="5">
        <f>IF(AND(I44&gt;0,J44&gt;0),C43,"")</f>
        <v/>
      </c>
      <c r="S44" s="5">
        <f>IF(AND(J44&gt;0,K44&lt;0),C43,"")</f>
        <v/>
      </c>
      <c r="T44" s="5">
        <f>IF(AND(ISNUMBER(Q44),0.408167&gt;=MAX(IF(ISNUMBER(R44),0.31868,-1),IF(ISNUMBER(S44),0.510996,-1))),Q44,IF(AND(ISNUMBER(R44),0.31868&gt;MAX(IF(ISNUMBER(Q44),0.408167,-1),IF(ISNUMBER(S44),0.510996,-1))),R44,IF(AND(ISNUMBER(S44),0.510996&gt;MAX(IF(ISNUMBER(Q44),0.408167,-1),IF(ISNUMBER(R44),0.31868,-1))),S44,"")))</f>
        <v/>
      </c>
    </row>
    <row r="45">
      <c r="A45" s="5" t="inlineStr">
        <is>
          <t>2026/06/18</t>
        </is>
      </c>
      <c r="B45" s="5" t="n">
        <v>4.9401</v>
      </c>
      <c r="C45" s="5" t="n">
        <v>2.1444</v>
      </c>
      <c r="D45" s="5" t="n">
        <v>3.2526</v>
      </c>
      <c r="E45" s="5" t="n">
        <v>-0.3809</v>
      </c>
      <c r="F45" s="5" t="n">
        <v>0.3512</v>
      </c>
      <c r="G45" s="5" t="n">
        <v>0.3302</v>
      </c>
      <c r="H45" s="5" t="n">
        <v>-0.888</v>
      </c>
      <c r="I45" s="5" t="n">
        <v>-0.4204</v>
      </c>
      <c r="J45" s="5" t="n">
        <v>-2.193</v>
      </c>
      <c r="K45" s="5" t="n">
        <v>0.229</v>
      </c>
      <c r="L45" s="5" t="n">
        <v>-11.0629</v>
      </c>
      <c r="M45" s="5">
        <f>IF(AND(L45&gt;0,B45&lt;=-2),B44,"")</f>
        <v/>
      </c>
      <c r="N45" s="5">
        <f>IF(AND(D45&gt;0,E45&lt;0,F45&gt;0),B44,"")</f>
        <v/>
      </c>
      <c r="O45" s="5">
        <f>IF(AND(F45&lt;0,G45&gt;0),B44,"")</f>
        <v/>
      </c>
      <c r="P45" s="5">
        <f>IF(AND(ISNUMBER(M45),0.549579&gt;=MAX(IF(ISNUMBER(N45),0.299732,-1),IF(ISNUMBER(O45),0.323835,-1))),M45,IF(AND(ISNUMBER(N45),0.299732&gt;MAX(IF(ISNUMBER(M45),0.549579,-1),IF(ISNUMBER(O45),0.323835,-1))),N45,IF(AND(ISNUMBER(O45),0.323835&gt;MAX(IF(ISNUMBER(M45),0.549579,-1),IF(ISNUMBER(N45),0.299732,-1))),O45,"")))</f>
        <v/>
      </c>
      <c r="Q45" s="5">
        <f>IF(AND(H45&lt;=-1,C45&lt;0),C44,"")</f>
        <v/>
      </c>
      <c r="R45" s="5">
        <f>IF(AND(I45&gt;0,J45&gt;0),C44,"")</f>
        <v/>
      </c>
      <c r="S45" s="5">
        <f>IF(AND(J45&gt;0,K45&lt;0),C44,"")</f>
        <v/>
      </c>
      <c r="T45" s="5">
        <f>IF(AND(ISNUMBER(Q45),0.408167&gt;=MAX(IF(ISNUMBER(R45),0.31868,-1),IF(ISNUMBER(S45),0.510996,-1))),Q45,IF(AND(ISNUMBER(R45),0.31868&gt;MAX(IF(ISNUMBER(Q45),0.408167,-1),IF(ISNUMBER(S45),0.510996,-1))),R45,IF(AND(ISNUMBER(S45),0.510996&gt;MAX(IF(ISNUMBER(Q45),0.408167,-1),IF(ISNUMBER(R45),0.31868,-1))),S45,"")))</f>
        <v/>
      </c>
    </row>
    <row r="46">
      <c r="A46" s="5" t="inlineStr">
        <is>
          <t>2026/06/17</t>
        </is>
      </c>
      <c r="B46" s="5" t="n">
        <v>-2.013</v>
      </c>
      <c r="C46" s="5" t="n">
        <v>-2.4707</v>
      </c>
      <c r="D46" s="5" t="n">
        <v>-0.1166</v>
      </c>
      <c r="E46" s="5" t="n">
        <v>-2.271</v>
      </c>
      <c r="F46" s="5" t="n">
        <v>-0.3748</v>
      </c>
      <c r="G46" s="5" t="n">
        <v>-0.665</v>
      </c>
      <c r="H46" s="5" t="n">
        <v>-0.5521</v>
      </c>
      <c r="I46" s="5" t="n">
        <v>-0.1749</v>
      </c>
      <c r="J46" s="5" t="n">
        <v>-3.3012</v>
      </c>
      <c r="K46" s="5" t="n">
        <v>-2.7779</v>
      </c>
      <c r="L46" s="5" t="n">
        <v>12.3705</v>
      </c>
      <c r="M46" s="5">
        <f>IF(AND(L46&gt;0,B46&lt;=-2),B45,"")</f>
        <v/>
      </c>
      <c r="N46" s="5">
        <f>IF(AND(D46&gt;0,E46&lt;0,F46&gt;0),B45,"")</f>
        <v/>
      </c>
      <c r="O46" s="5">
        <f>IF(AND(F46&lt;0,G46&gt;0),B45,"")</f>
        <v/>
      </c>
      <c r="P46" s="5">
        <f>IF(AND(ISNUMBER(M46),0.549579&gt;=MAX(IF(ISNUMBER(N46),0.299732,-1),IF(ISNUMBER(O46),0.323835,-1))),M46,IF(AND(ISNUMBER(N46),0.299732&gt;MAX(IF(ISNUMBER(M46),0.549579,-1),IF(ISNUMBER(O46),0.323835,-1))),N46,IF(AND(ISNUMBER(O46),0.323835&gt;MAX(IF(ISNUMBER(M46),0.549579,-1),IF(ISNUMBER(N46),0.299732,-1))),O46,"")))</f>
        <v/>
      </c>
      <c r="Q46" s="5">
        <f>IF(AND(H46&lt;=-1,C46&lt;0),C45,"")</f>
        <v/>
      </c>
      <c r="R46" s="5">
        <f>IF(AND(I46&gt;0,J46&gt;0),C45,"")</f>
        <v/>
      </c>
      <c r="S46" s="5">
        <f>IF(AND(J46&gt;0,K46&lt;0),C45,"")</f>
        <v/>
      </c>
      <c r="T46" s="5">
        <f>IF(AND(ISNUMBER(Q46),0.408167&gt;=MAX(IF(ISNUMBER(R46),0.31868,-1),IF(ISNUMBER(S46),0.510996,-1))),Q46,IF(AND(ISNUMBER(R46),0.31868&gt;MAX(IF(ISNUMBER(Q46),0.408167,-1),IF(ISNUMBER(S46),0.510996,-1))),R46,IF(AND(ISNUMBER(S46),0.510996&gt;MAX(IF(ISNUMBER(Q46),0.408167,-1),IF(ISNUMBER(R46),0.31868,-1))),S46,"")))</f>
        <v/>
      </c>
    </row>
    <row r="47">
      <c r="A47" s="5" t="inlineStr">
        <is>
          <t>2026/06/16</t>
        </is>
      </c>
      <c r="B47" s="5" t="n">
        <v>-3.7719</v>
      </c>
      <c r="C47" s="5" t="n">
        <v>-1.1409</v>
      </c>
      <c r="D47" s="5" t="n">
        <v>-1.5914</v>
      </c>
      <c r="E47" s="5" t="n">
        <v>0.2723</v>
      </c>
      <c r="F47" s="5" t="n">
        <v>-0.0126</v>
      </c>
      <c r="G47" s="5" t="n">
        <v>0</v>
      </c>
      <c r="H47" s="5" t="n">
        <v>1.4751</v>
      </c>
      <c r="I47" s="5" t="n">
        <v>-0.08740000000000001</v>
      </c>
      <c r="J47" s="5" t="n">
        <v>2.3103</v>
      </c>
      <c r="K47" s="5" t="n">
        <v>0.1159</v>
      </c>
      <c r="L47" s="5" t="n">
        <v>1.2963</v>
      </c>
      <c r="M47" s="5">
        <f>IF(AND(L47&gt;0,B47&lt;=-2),B46,"")</f>
        <v/>
      </c>
      <c r="N47" s="5">
        <f>IF(AND(D47&gt;0,E47&lt;0,F47&gt;0),B46,"")</f>
        <v/>
      </c>
      <c r="O47" s="5">
        <f>IF(AND(F47&lt;0,G47&gt;0),B46,"")</f>
        <v/>
      </c>
      <c r="P47" s="5">
        <f>IF(AND(ISNUMBER(M47),0.549579&gt;=MAX(IF(ISNUMBER(N47),0.299732,-1),IF(ISNUMBER(O47),0.323835,-1))),M47,IF(AND(ISNUMBER(N47),0.299732&gt;MAX(IF(ISNUMBER(M47),0.549579,-1),IF(ISNUMBER(O47),0.323835,-1))),N47,IF(AND(ISNUMBER(O47),0.323835&gt;MAX(IF(ISNUMBER(M47),0.549579,-1),IF(ISNUMBER(N47),0.299732,-1))),O47,"")))</f>
        <v/>
      </c>
      <c r="Q47" s="5">
        <f>IF(AND(H47&lt;=-1,C47&lt;0),C46,"")</f>
        <v/>
      </c>
      <c r="R47" s="5">
        <f>IF(AND(I47&gt;0,J47&gt;0),C46,"")</f>
        <v/>
      </c>
      <c r="S47" s="5">
        <f>IF(AND(J47&gt;0,K47&lt;0),C46,"")</f>
        <v/>
      </c>
      <c r="T47" s="5">
        <f>IF(AND(ISNUMBER(Q47),0.408167&gt;=MAX(IF(ISNUMBER(R47),0.31868,-1),IF(ISNUMBER(S47),0.510996,-1))),Q47,IF(AND(ISNUMBER(R47),0.31868&gt;MAX(IF(ISNUMBER(Q47),0.408167,-1),IF(ISNUMBER(S47),0.510996,-1))),R47,IF(AND(ISNUMBER(S47),0.510996&gt;MAX(IF(ISNUMBER(Q47),0.408167,-1),IF(ISNUMBER(R47),0.31868,-1))),S47,"")))</f>
        <v/>
      </c>
    </row>
    <row r="48">
      <c r="A48" s="5" t="inlineStr">
        <is>
          <t>2026/06/15</t>
        </is>
      </c>
      <c r="B48" s="5" t="n">
        <v>6.0929</v>
      </c>
      <c r="C48" s="5" t="n">
        <v>3.3263</v>
      </c>
      <c r="D48" s="5" t="n">
        <v>3.289</v>
      </c>
      <c r="E48" s="5" t="n">
        <v>2.5896</v>
      </c>
      <c r="F48" s="5" t="n">
        <v>0.1252</v>
      </c>
      <c r="G48" s="5" t="n">
        <v>0.1368</v>
      </c>
      <c r="H48" s="5" t="n">
        <v>0.4124</v>
      </c>
      <c r="I48" s="5" t="n">
        <v>-0.0349</v>
      </c>
      <c r="J48" s="5" t="n">
        <v>6.5475</v>
      </c>
      <c r="K48" s="5" t="n">
        <v>0.4837</v>
      </c>
      <c r="L48" s="5" t="n">
        <v>-8.371</v>
      </c>
      <c r="M48" s="5">
        <f>IF(AND(L48&gt;0,B48&lt;=-2),B47,"")</f>
        <v/>
      </c>
      <c r="N48" s="5">
        <f>IF(AND(D48&gt;0,E48&lt;0,F48&gt;0),B47,"")</f>
        <v/>
      </c>
      <c r="O48" s="5">
        <f>IF(AND(F48&lt;0,G48&gt;0),B47,"")</f>
        <v/>
      </c>
      <c r="P48" s="5">
        <f>IF(AND(ISNUMBER(M48),0.549579&gt;=MAX(IF(ISNUMBER(N48),0.299732,-1),IF(ISNUMBER(O48),0.323835,-1))),M48,IF(AND(ISNUMBER(N48),0.299732&gt;MAX(IF(ISNUMBER(M48),0.549579,-1),IF(ISNUMBER(O48),0.323835,-1))),N48,IF(AND(ISNUMBER(O48),0.323835&gt;MAX(IF(ISNUMBER(M48),0.549579,-1),IF(ISNUMBER(N48),0.299732,-1))),O48,"")))</f>
        <v/>
      </c>
      <c r="Q48" s="5">
        <f>IF(AND(H48&lt;=-1,C48&lt;0),C47,"")</f>
        <v/>
      </c>
      <c r="R48" s="5">
        <f>IF(AND(I48&gt;0,J48&gt;0),C47,"")</f>
        <v/>
      </c>
      <c r="S48" s="5">
        <f>IF(AND(J48&gt;0,K48&lt;0),C47,"")</f>
        <v/>
      </c>
      <c r="T48" s="5">
        <f>IF(AND(ISNUMBER(Q48),0.408167&gt;=MAX(IF(ISNUMBER(R48),0.31868,-1),IF(ISNUMBER(S48),0.510996,-1))),Q48,IF(AND(ISNUMBER(R48),0.31868&gt;MAX(IF(ISNUMBER(Q48),0.408167,-1),IF(ISNUMBER(S48),0.510996,-1))),R48,IF(AND(ISNUMBER(S48),0.510996&gt;MAX(IF(ISNUMBER(Q48),0.408167,-1),IF(ISNUMBER(R48),0.31868,-1))),S48,"")))</f>
        <v/>
      </c>
    </row>
    <row r="49">
      <c r="A49" s="5" t="inlineStr">
        <is>
          <t>2026/06/12</t>
        </is>
      </c>
      <c r="B49" s="5" t="n">
        <v>1.2633</v>
      </c>
      <c r="C49" s="5" t="n">
        <v>1.0119</v>
      </c>
      <c r="D49" s="5" t="n">
        <v>0.5629</v>
      </c>
      <c r="E49" s="5" t="n">
        <v>0.0569</v>
      </c>
      <c r="F49" s="5" t="n">
        <v>0</v>
      </c>
      <c r="G49" s="5" t="n">
        <v>0.0091</v>
      </c>
      <c r="H49" s="5" t="n">
        <v>1.3683</v>
      </c>
      <c r="I49" s="5" t="n">
        <v>-0.296</v>
      </c>
      <c r="J49" s="5" t="n">
        <v>2.9722</v>
      </c>
      <c r="K49" s="5" t="n">
        <v>-0.4192</v>
      </c>
      <c r="L49" s="5" t="n">
        <v>-9.0535</v>
      </c>
      <c r="M49" s="5">
        <f>IF(AND(L49&gt;0,B49&lt;=-2),B48,"")</f>
        <v/>
      </c>
      <c r="N49" s="5">
        <f>IF(AND(D49&gt;0,E49&lt;0,F49&gt;0),B48,"")</f>
        <v/>
      </c>
      <c r="O49" s="5">
        <f>IF(AND(F49&lt;0,G49&gt;0),B48,"")</f>
        <v/>
      </c>
      <c r="P49" s="5">
        <f>IF(AND(ISNUMBER(M49),0.549579&gt;=MAX(IF(ISNUMBER(N49),0.299732,-1),IF(ISNUMBER(O49),0.323835,-1))),M49,IF(AND(ISNUMBER(N49),0.299732&gt;MAX(IF(ISNUMBER(M49),0.549579,-1),IF(ISNUMBER(O49),0.323835,-1))),N49,IF(AND(ISNUMBER(O49),0.323835&gt;MAX(IF(ISNUMBER(M49),0.549579,-1),IF(ISNUMBER(N49),0.299732,-1))),O49,"")))</f>
        <v/>
      </c>
      <c r="Q49" s="5">
        <f>IF(AND(H49&lt;=-1,C49&lt;0),C48,"")</f>
        <v/>
      </c>
      <c r="R49" s="5">
        <f>IF(AND(I49&gt;0,J49&gt;0),C48,"")</f>
        <v/>
      </c>
      <c r="S49" s="5">
        <f>IF(AND(J49&gt;0,K49&lt;0),C48,"")</f>
        <v/>
      </c>
      <c r="T49" s="5">
        <f>IF(AND(ISNUMBER(Q49),0.408167&gt;=MAX(IF(ISNUMBER(R49),0.31868,-1),IF(ISNUMBER(S49),0.510996,-1))),Q49,IF(AND(ISNUMBER(R49),0.31868&gt;MAX(IF(ISNUMBER(Q49),0.408167,-1),IF(ISNUMBER(S49),0.510996,-1))),R49,IF(AND(ISNUMBER(S49),0.510996&gt;MAX(IF(ISNUMBER(Q49),0.408167,-1),IF(ISNUMBER(R49),0.31868,-1))),S49,"")))</f>
        <v/>
      </c>
    </row>
    <row r="50">
      <c r="A50" s="5" t="inlineStr">
        <is>
          <t>2026/06/11</t>
        </is>
      </c>
      <c r="B50" s="5" t="n">
        <v>6.5687</v>
      </c>
      <c r="C50" s="5" t="n">
        <v>3.4588</v>
      </c>
      <c r="D50" s="5" t="n">
        <v>4.3922</v>
      </c>
      <c r="E50" s="5" t="n">
        <v>3.1342</v>
      </c>
      <c r="F50" s="5" t="n">
        <v>0.5914</v>
      </c>
      <c r="G50" s="5" t="n">
        <v>0.3572</v>
      </c>
      <c r="H50" s="5" t="n">
        <v>0.7466</v>
      </c>
      <c r="I50" s="5" t="n">
        <v>0.4548</v>
      </c>
      <c r="J50" s="5" t="n">
        <v>5.2974</v>
      </c>
      <c r="K50" s="5" t="n">
        <v>0.9999</v>
      </c>
      <c r="L50" s="5" t="n">
        <v>-12.5113</v>
      </c>
      <c r="M50" s="5">
        <f>IF(AND(L50&gt;0,B50&lt;=-2),B49,"")</f>
        <v/>
      </c>
      <c r="N50" s="5">
        <f>IF(AND(D50&gt;0,E50&lt;0,F50&gt;0),B49,"")</f>
        <v/>
      </c>
      <c r="O50" s="5">
        <f>IF(AND(F50&lt;0,G50&gt;0),B49,"")</f>
        <v/>
      </c>
      <c r="P50" s="5">
        <f>IF(AND(ISNUMBER(M50),0.549579&gt;=MAX(IF(ISNUMBER(N50),0.299732,-1),IF(ISNUMBER(O50),0.323835,-1))),M50,IF(AND(ISNUMBER(N50),0.299732&gt;MAX(IF(ISNUMBER(M50),0.549579,-1),IF(ISNUMBER(O50),0.323835,-1))),N50,IF(AND(ISNUMBER(O50),0.323835&gt;MAX(IF(ISNUMBER(M50),0.549579,-1),IF(ISNUMBER(N50),0.299732,-1))),O50,"")))</f>
        <v/>
      </c>
      <c r="Q50" s="5">
        <f>IF(AND(H50&lt;=-1,C50&lt;0),C49,"")</f>
        <v/>
      </c>
      <c r="R50" s="5">
        <f>IF(AND(I50&gt;0,J50&gt;0),C49,"")</f>
        <v/>
      </c>
      <c r="S50" s="5">
        <f>IF(AND(J50&gt;0,K50&lt;0),C49,"")</f>
        <v/>
      </c>
      <c r="T50" s="5">
        <f>IF(AND(ISNUMBER(Q50),0.408167&gt;=MAX(IF(ISNUMBER(R50),0.31868,-1),IF(ISNUMBER(S50),0.510996,-1))),Q50,IF(AND(ISNUMBER(R50),0.31868&gt;MAX(IF(ISNUMBER(Q50),0.408167,-1),IF(ISNUMBER(S50),0.510996,-1))),R50,IF(AND(ISNUMBER(S50),0.510996&gt;MAX(IF(ISNUMBER(Q50),0.408167,-1),IF(ISNUMBER(R50),0.31868,-1))),S50,"")))</f>
        <v/>
      </c>
    </row>
    <row r="51">
      <c r="A51" s="5" t="inlineStr">
        <is>
          <t>2026/06/10</t>
        </is>
      </c>
      <c r="B51" s="5" t="n">
        <v>-3.978</v>
      </c>
      <c r="C51" s="5" t="n">
        <v>-3.235</v>
      </c>
      <c r="D51" s="5" t="n">
        <v>-1.7624</v>
      </c>
      <c r="E51" s="5" t="n">
        <v>-4.1456</v>
      </c>
      <c r="F51" s="5" t="n">
        <v>-0.1884</v>
      </c>
      <c r="G51" s="5" t="n">
        <v>-0.1007</v>
      </c>
      <c r="H51" s="5" t="n">
        <v>-0.4384</v>
      </c>
      <c r="I51" s="5" t="n">
        <v>-0.1048</v>
      </c>
      <c r="J51" s="5" t="n">
        <v>-4.8718</v>
      </c>
      <c r="K51" s="5" t="n">
        <v>-0.4215</v>
      </c>
      <c r="L51" s="5" t="n">
        <v>11.8269</v>
      </c>
      <c r="M51" s="5">
        <f>IF(AND(L51&gt;0,B51&lt;=-2),B50,"")</f>
        <v/>
      </c>
      <c r="N51" s="5">
        <f>IF(AND(D51&gt;0,E51&lt;0,F51&gt;0),B50,"")</f>
        <v/>
      </c>
      <c r="O51" s="5">
        <f>IF(AND(F51&lt;0,G51&gt;0),B50,"")</f>
        <v/>
      </c>
      <c r="P51" s="5">
        <f>IF(AND(ISNUMBER(M51),0.549579&gt;=MAX(IF(ISNUMBER(N51),0.299732,-1),IF(ISNUMBER(O51),0.323835,-1))),M51,IF(AND(ISNUMBER(N51),0.299732&gt;MAX(IF(ISNUMBER(M51),0.549579,-1),IF(ISNUMBER(O51),0.323835,-1))),N51,IF(AND(ISNUMBER(O51),0.323835&gt;MAX(IF(ISNUMBER(M51),0.549579,-1),IF(ISNUMBER(N51),0.299732,-1))),O51,"")))</f>
        <v/>
      </c>
      <c r="Q51" s="5">
        <f>IF(AND(H51&lt;=-1,C51&lt;0),C50,"")</f>
        <v/>
      </c>
      <c r="R51" s="5">
        <f>IF(AND(I51&gt;0,J51&gt;0),C50,"")</f>
        <v/>
      </c>
      <c r="S51" s="5">
        <f>IF(AND(J51&gt;0,K51&lt;0),C50,"")</f>
        <v/>
      </c>
      <c r="T51" s="5">
        <f>IF(AND(ISNUMBER(Q51),0.408167&gt;=MAX(IF(ISNUMBER(R51),0.31868,-1),IF(ISNUMBER(S51),0.510996,-1))),Q51,IF(AND(ISNUMBER(R51),0.31868&gt;MAX(IF(ISNUMBER(Q51),0.408167,-1),IF(ISNUMBER(S51),0.510996,-1))),R51,IF(AND(ISNUMBER(S51),0.510996&gt;MAX(IF(ISNUMBER(Q51),0.408167,-1),IF(ISNUMBER(R51),0.31868,-1))),S51,"")))</f>
        <v/>
      </c>
    </row>
    <row r="52">
      <c r="A52" s="5" t="inlineStr">
        <is>
          <t>2026/06/09</t>
        </is>
      </c>
      <c r="B52" s="5" t="n">
        <v>-2.2704</v>
      </c>
      <c r="C52" s="5" t="n">
        <v>-0.5455</v>
      </c>
      <c r="D52" s="5" t="n">
        <v>0.1066</v>
      </c>
      <c r="E52" s="5" t="n">
        <v>-1.6336</v>
      </c>
      <c r="F52" s="5" t="n">
        <v>0.1005</v>
      </c>
      <c r="G52" s="5" t="n">
        <v>0.1741</v>
      </c>
      <c r="H52" s="5" t="n">
        <v>0.9429</v>
      </c>
      <c r="I52" s="5" t="n">
        <v>-0.0873</v>
      </c>
      <c r="J52" s="5" t="n">
        <v>-1.3728</v>
      </c>
      <c r="K52" s="5" t="n">
        <v>0.3511</v>
      </c>
      <c r="L52" s="5" t="n">
        <v>5.0211</v>
      </c>
      <c r="M52" s="5">
        <f>IF(AND(L52&gt;0,B52&lt;=-2),B51,"")</f>
        <v/>
      </c>
      <c r="N52" s="5">
        <f>IF(AND(D52&gt;0,E52&lt;0,F52&gt;0),B51,"")</f>
        <v/>
      </c>
      <c r="O52" s="5">
        <f>IF(AND(F52&lt;0,G52&gt;0),B51,"")</f>
        <v/>
      </c>
      <c r="P52" s="5">
        <f>IF(AND(ISNUMBER(M52),0.549579&gt;=MAX(IF(ISNUMBER(N52),0.299732,-1),IF(ISNUMBER(O52),0.323835,-1))),M52,IF(AND(ISNUMBER(N52),0.299732&gt;MAX(IF(ISNUMBER(M52),0.549579,-1),IF(ISNUMBER(O52),0.323835,-1))),N52,IF(AND(ISNUMBER(O52),0.323835&gt;MAX(IF(ISNUMBER(M52),0.549579,-1),IF(ISNUMBER(N52),0.299732,-1))),O52,"")))</f>
        <v/>
      </c>
      <c r="Q52" s="5">
        <f>IF(AND(H52&lt;=-1,C52&lt;0),C51,"")</f>
        <v/>
      </c>
      <c r="R52" s="5">
        <f>IF(AND(I52&gt;0,J52&gt;0),C51,"")</f>
        <v/>
      </c>
      <c r="S52" s="5">
        <f>IF(AND(J52&gt;0,K52&lt;0),C51,"")</f>
        <v/>
      </c>
      <c r="T52" s="5">
        <f>IF(AND(ISNUMBER(Q52),0.408167&gt;=MAX(IF(ISNUMBER(R52),0.31868,-1),IF(ISNUMBER(S52),0.510996,-1))),Q52,IF(AND(ISNUMBER(R52),0.31868&gt;MAX(IF(ISNUMBER(Q52),0.408167,-1),IF(ISNUMBER(S52),0.510996,-1))),R52,IF(AND(ISNUMBER(S52),0.510996&gt;MAX(IF(ISNUMBER(Q52),0.408167,-1),IF(ISNUMBER(R52),0.31868,-1))),S52,"")))</f>
        <v/>
      </c>
    </row>
    <row r="53">
      <c r="A53" s="5" t="inlineStr">
        <is>
          <t>2026/06/08</t>
        </is>
      </c>
      <c r="B53" s="5" t="n">
        <v>3.1087</v>
      </c>
      <c r="C53" s="5" t="n">
        <v>0.526</v>
      </c>
      <c r="D53" s="5" t="n">
        <v>1.7959</v>
      </c>
      <c r="E53" s="5" t="n">
        <v>0.2599</v>
      </c>
      <c r="F53" s="5" t="n">
        <v>0.1385</v>
      </c>
      <c r="G53" s="5" t="n">
        <v>-0.1098</v>
      </c>
      <c r="H53" s="5" t="n">
        <v>-0.6309</v>
      </c>
      <c r="I53" s="5" t="n">
        <v>-0.0523</v>
      </c>
      <c r="J53" s="5" t="n">
        <v>-0.2156</v>
      </c>
      <c r="K53" s="5" t="n">
        <v>-0.5194</v>
      </c>
      <c r="L53" s="5" t="n">
        <v>-12.0409</v>
      </c>
      <c r="M53" s="5">
        <f>IF(AND(L53&gt;0,B53&lt;=-2),B52,"")</f>
        <v/>
      </c>
      <c r="N53" s="5">
        <f>IF(AND(D53&gt;0,E53&lt;0,F53&gt;0),B52,"")</f>
        <v/>
      </c>
      <c r="O53" s="5">
        <f>IF(AND(F53&lt;0,G53&gt;0),B52,"")</f>
        <v/>
      </c>
      <c r="P53" s="5">
        <f>IF(AND(ISNUMBER(M53),0.549579&gt;=MAX(IF(ISNUMBER(N53),0.299732,-1),IF(ISNUMBER(O53),0.323835,-1))),M53,IF(AND(ISNUMBER(N53),0.299732&gt;MAX(IF(ISNUMBER(M53),0.549579,-1),IF(ISNUMBER(O53),0.323835,-1))),N53,IF(AND(ISNUMBER(O53),0.323835&gt;MAX(IF(ISNUMBER(M53),0.549579,-1),IF(ISNUMBER(N53),0.299732,-1))),O53,"")))</f>
        <v/>
      </c>
      <c r="Q53" s="5">
        <f>IF(AND(H53&lt;=-1,C53&lt;0),C52,"")</f>
        <v/>
      </c>
      <c r="R53" s="5">
        <f>IF(AND(I53&gt;0,J53&gt;0),C52,"")</f>
        <v/>
      </c>
      <c r="S53" s="5">
        <f>IF(AND(J53&gt;0,K53&lt;0),C52,"")</f>
        <v/>
      </c>
      <c r="T53" s="5">
        <f>IF(AND(ISNUMBER(Q53),0.408167&gt;=MAX(IF(ISNUMBER(R53),0.31868,-1),IF(ISNUMBER(S53),0.510996,-1))),Q53,IF(AND(ISNUMBER(R53),0.31868&gt;MAX(IF(ISNUMBER(Q53),0.408167,-1),IF(ISNUMBER(S53),0.510996,-1))),R53,IF(AND(ISNUMBER(S53),0.510996&gt;MAX(IF(ISNUMBER(Q53),0.408167,-1),IF(ISNUMBER(R53),0.31868,-1))),S53,"")))</f>
        <v/>
      </c>
    </row>
    <row r="54">
      <c r="A54" s="5" t="inlineStr">
        <is>
          <t>2026/06/05</t>
        </is>
      </c>
      <c r="B54" s="5" t="n">
        <v>-9.561199999999999</v>
      </c>
      <c r="C54" s="5" t="n">
        <v>-5.269</v>
      </c>
      <c r="D54" s="5" t="n">
        <v>-6.5268</v>
      </c>
      <c r="E54" s="5" t="n">
        <v>-3.6545</v>
      </c>
      <c r="F54" s="5" t="n">
        <v>-0.501</v>
      </c>
      <c r="G54" s="5" t="n">
        <v>-0.4828</v>
      </c>
      <c r="H54" s="5" t="n">
        <v>0.2107</v>
      </c>
      <c r="I54" s="5" t="n">
        <v>-0.0697</v>
      </c>
      <c r="J54" s="5" t="n">
        <v>-8.75</v>
      </c>
      <c r="K54" s="5" t="n">
        <v>-1.2731</v>
      </c>
      <c r="L54" s="5" t="n">
        <v>39.6753</v>
      </c>
      <c r="M54" s="5">
        <f>IF(AND(L54&gt;0,B54&lt;=-2),B53,"")</f>
        <v/>
      </c>
      <c r="N54" s="5">
        <f>IF(AND(D54&gt;0,E54&lt;0,F54&gt;0),B53,"")</f>
        <v/>
      </c>
      <c r="O54" s="5">
        <f>IF(AND(F54&lt;0,G54&gt;0),B53,"")</f>
        <v/>
      </c>
      <c r="P54" s="5">
        <f>IF(AND(ISNUMBER(M54),0.549579&gt;=MAX(IF(ISNUMBER(N54),0.299732,-1),IF(ISNUMBER(O54),0.323835,-1))),M54,IF(AND(ISNUMBER(N54),0.299732&gt;MAX(IF(ISNUMBER(M54),0.549579,-1),IF(ISNUMBER(O54),0.323835,-1))),N54,IF(AND(ISNUMBER(O54),0.323835&gt;MAX(IF(ISNUMBER(M54),0.549579,-1),IF(ISNUMBER(N54),0.299732,-1))),O54,"")))</f>
        <v/>
      </c>
      <c r="Q54" s="5">
        <f>IF(AND(H54&lt;=-1,C54&lt;0),C53,"")</f>
        <v/>
      </c>
      <c r="R54" s="5">
        <f>IF(AND(I54&gt;0,J54&gt;0),C53,"")</f>
        <v/>
      </c>
      <c r="S54" s="5">
        <f>IF(AND(J54&gt;0,K54&lt;0),C53,"")</f>
        <v/>
      </c>
      <c r="T54" s="5">
        <f>IF(AND(ISNUMBER(Q54),0.408167&gt;=MAX(IF(ISNUMBER(R54),0.31868,-1),IF(ISNUMBER(S54),0.510996,-1))),Q54,IF(AND(ISNUMBER(R54),0.31868&gt;MAX(IF(ISNUMBER(Q54),0.408167,-1),IF(ISNUMBER(S54),0.510996,-1))),R54,IF(AND(ISNUMBER(S54),0.510996&gt;MAX(IF(ISNUMBER(Q54),0.408167,-1),IF(ISNUMBER(R54),0.31868,-1))),S54,"")))</f>
        <v/>
      </c>
    </row>
    <row r="55">
      <c r="A55" s="5" t="inlineStr">
        <is>
          <t>2026/06/04</t>
        </is>
      </c>
      <c r="B55" s="5" t="n">
        <v>-1.0308</v>
      </c>
      <c r="C55" s="5" t="n">
        <v>0.8123</v>
      </c>
      <c r="D55" s="5" t="n">
        <v>-1.1727</v>
      </c>
      <c r="E55" s="5" t="n">
        <v>0.8336</v>
      </c>
      <c r="F55" s="5" t="n">
        <v>0.1882</v>
      </c>
      <c r="G55" s="5" t="n">
        <v>0.0091</v>
      </c>
      <c r="H55" s="5" t="n">
        <v>2.5949</v>
      </c>
      <c r="I55" s="5" t="n">
        <v>0.0174</v>
      </c>
      <c r="J55" s="5" t="n">
        <v>1.6471</v>
      </c>
      <c r="K55" s="5" t="n">
        <v>0.919</v>
      </c>
      <c r="L55" s="5" t="n">
        <v>-4.1096</v>
      </c>
      <c r="M55" s="5">
        <f>IF(AND(L55&gt;0,B55&lt;=-2),B54,"")</f>
        <v/>
      </c>
      <c r="N55" s="5">
        <f>IF(AND(D55&gt;0,E55&lt;0,F55&gt;0),B54,"")</f>
        <v/>
      </c>
      <c r="O55" s="5">
        <f>IF(AND(F55&lt;0,G55&gt;0),B54,"")</f>
        <v/>
      </c>
      <c r="P55" s="5">
        <f>IF(AND(ISNUMBER(M55),0.549579&gt;=MAX(IF(ISNUMBER(N55),0.299732,-1),IF(ISNUMBER(O55),0.323835,-1))),M55,IF(AND(ISNUMBER(N55),0.299732&gt;MAX(IF(ISNUMBER(M55),0.549579,-1),IF(ISNUMBER(O55),0.323835,-1))),N55,IF(AND(ISNUMBER(O55),0.323835&gt;MAX(IF(ISNUMBER(M55),0.549579,-1),IF(ISNUMBER(N55),0.299732,-1))),O55,"")))</f>
        <v/>
      </c>
      <c r="Q55" s="5">
        <f>IF(AND(H55&lt;=-1,C55&lt;0),C54,"")</f>
        <v/>
      </c>
      <c r="R55" s="5">
        <f>IF(AND(I55&gt;0,J55&gt;0),C54,"")</f>
        <v/>
      </c>
      <c r="S55" s="5">
        <f>IF(AND(J55&gt;0,K55&lt;0),C54,"")</f>
        <v/>
      </c>
      <c r="T55" s="5">
        <f>IF(AND(ISNUMBER(Q55),0.408167&gt;=MAX(IF(ISNUMBER(R55),0.31868,-1),IF(ISNUMBER(S55),0.510996,-1))),Q55,IF(AND(ISNUMBER(R55),0.31868&gt;MAX(IF(ISNUMBER(Q55),0.408167,-1),IF(ISNUMBER(S55),0.510996,-1))),R55,IF(AND(ISNUMBER(S55),0.510996&gt;MAX(IF(ISNUMBER(Q55),0.408167,-1),IF(ISNUMBER(R55),0.31868,-1))),S55,"")))</f>
        <v/>
      </c>
    </row>
    <row r="56">
      <c r="A56" s="5" t="inlineStr">
        <is>
          <t>2026/06/03</t>
        </is>
      </c>
      <c r="B56" s="5" t="n">
        <v>-0.5824</v>
      </c>
      <c r="C56" s="5" t="n">
        <v>-1.4587</v>
      </c>
      <c r="D56" s="5" t="n">
        <v>-1.243</v>
      </c>
      <c r="E56" s="5" t="n">
        <v>-0.9903999999999999</v>
      </c>
      <c r="F56" s="5" t="n">
        <v>-0.2754</v>
      </c>
      <c r="G56" s="5" t="n">
        <v>-0.1819</v>
      </c>
      <c r="H56" s="5" t="n">
        <v>-1.1466</v>
      </c>
      <c r="I56" s="5" t="n">
        <v>-0.1567</v>
      </c>
      <c r="J56" s="5" t="n">
        <v>-3.4639</v>
      </c>
      <c r="K56" s="5" t="n">
        <v>-1.3119</v>
      </c>
      <c r="L56" s="5" t="n">
        <v>1.8389</v>
      </c>
      <c r="M56" s="5">
        <f>IF(AND(L56&gt;0,B56&lt;=-2),B55,"")</f>
        <v/>
      </c>
      <c r="N56" s="5">
        <f>IF(AND(D56&gt;0,E56&lt;0,F56&gt;0),B55,"")</f>
        <v/>
      </c>
      <c r="O56" s="5">
        <f>IF(AND(F56&lt;0,G56&gt;0),B55,"")</f>
        <v/>
      </c>
      <c r="P56" s="5">
        <f>IF(AND(ISNUMBER(M56),0.549579&gt;=MAX(IF(ISNUMBER(N56),0.299732,-1),IF(ISNUMBER(O56),0.323835,-1))),M56,IF(AND(ISNUMBER(N56),0.299732&gt;MAX(IF(ISNUMBER(M56),0.549579,-1),IF(ISNUMBER(O56),0.323835,-1))),N56,IF(AND(ISNUMBER(O56),0.323835&gt;MAX(IF(ISNUMBER(M56),0.549579,-1),IF(ISNUMBER(N56),0.299732,-1))),O56,"")))</f>
        <v/>
      </c>
      <c r="Q56" s="5">
        <f>IF(AND(H56&lt;=-1,C56&lt;0),C55,"")</f>
        <v/>
      </c>
      <c r="R56" s="5">
        <f>IF(AND(I56&gt;0,J56&gt;0),C55,"")</f>
        <v/>
      </c>
      <c r="S56" s="5">
        <f>IF(AND(J56&gt;0,K56&lt;0),C55,"")</f>
        <v/>
      </c>
      <c r="T56" s="5">
        <f>IF(AND(ISNUMBER(Q56),0.408167&gt;=MAX(IF(ISNUMBER(R56),0.31868,-1),IF(ISNUMBER(S56),0.510996,-1))),Q56,IF(AND(ISNUMBER(R56),0.31868&gt;MAX(IF(ISNUMBER(Q56),0.408167,-1),IF(ISNUMBER(S56),0.510996,-1))),R56,IF(AND(ISNUMBER(S56),0.510996&gt;MAX(IF(ISNUMBER(Q56),0.408167,-1),IF(ISNUMBER(R56),0.31868,-1))),S56,"")))</f>
        <v/>
      </c>
    </row>
    <row r="57">
      <c r="A57" s="5" t="inlineStr">
        <is>
          <t>2026/06/02</t>
        </is>
      </c>
      <c r="B57" s="5" t="n">
        <v>0.9383</v>
      </c>
      <c r="C57" s="5" t="n">
        <v>0.2534</v>
      </c>
      <c r="D57" s="5" t="n">
        <v>1.0274</v>
      </c>
      <c r="E57" s="5" t="n">
        <v>0.1678</v>
      </c>
      <c r="F57" s="5" t="n">
        <v>0.0751</v>
      </c>
      <c r="G57" s="5" t="n">
        <v>-0.0091</v>
      </c>
      <c r="H57" s="5" t="n">
        <v>0.0583</v>
      </c>
      <c r="I57" s="5" t="n">
        <v>-0.1391</v>
      </c>
      <c r="J57" s="5" t="n">
        <v>1.5805</v>
      </c>
      <c r="K57" s="5" t="n">
        <v>-1.7645</v>
      </c>
      <c r="L57" s="5" t="n">
        <v>-1.7445</v>
      </c>
      <c r="M57" s="5">
        <f>IF(AND(L57&gt;0,B57&lt;=-2),B56,"")</f>
        <v/>
      </c>
      <c r="N57" s="5">
        <f>IF(AND(D57&gt;0,E57&lt;0,F57&gt;0),B56,"")</f>
        <v/>
      </c>
      <c r="O57" s="5">
        <f>IF(AND(F57&lt;0,G57&gt;0),B56,"")</f>
        <v/>
      </c>
      <c r="P57" s="5">
        <f>IF(AND(ISNUMBER(M57),0.549579&gt;=MAX(IF(ISNUMBER(N57),0.299732,-1),IF(ISNUMBER(O57),0.323835,-1))),M57,IF(AND(ISNUMBER(N57),0.299732&gt;MAX(IF(ISNUMBER(M57),0.549579,-1),IF(ISNUMBER(O57),0.323835,-1))),N57,IF(AND(ISNUMBER(O57),0.323835&gt;MAX(IF(ISNUMBER(M57),0.549579,-1),IF(ISNUMBER(N57),0.299732,-1))),O57,"")))</f>
        <v/>
      </c>
      <c r="Q57" s="5">
        <f>IF(AND(H57&lt;=-1,C57&lt;0),C56,"")</f>
        <v/>
      </c>
      <c r="R57" s="5">
        <f>IF(AND(I57&gt;0,J57&gt;0),C56,"")</f>
        <v/>
      </c>
      <c r="S57" s="5">
        <f>IF(AND(J57&gt;0,K57&lt;0),C56,"")</f>
        <v/>
      </c>
      <c r="T57" s="5">
        <f>IF(AND(ISNUMBER(Q57),0.408167&gt;=MAX(IF(ISNUMBER(R57),0.31868,-1),IF(ISNUMBER(S57),0.510996,-1))),Q57,IF(AND(ISNUMBER(R57),0.31868&gt;MAX(IF(ISNUMBER(Q57),0.408167,-1),IF(ISNUMBER(S57),0.510996,-1))),R57,IF(AND(ISNUMBER(S57),0.510996&gt;MAX(IF(ISNUMBER(Q57),0.408167,-1),IF(ISNUMBER(R57),0.31868,-1))),S57,"")))</f>
        <v/>
      </c>
    </row>
    <row r="58">
      <c r="A58" s="5" t="inlineStr">
        <is>
          <t>2026/06/01</t>
        </is>
      </c>
      <c r="B58" s="5" t="n">
        <v>1.1434</v>
      </c>
      <c r="C58" s="5" t="n">
        <v>0.4881</v>
      </c>
      <c r="D58" s="5" t="n">
        <v>2.1574</v>
      </c>
      <c r="E58" s="5" t="n">
        <v>-1.4049</v>
      </c>
      <c r="F58" s="5" t="n">
        <v>-0.07630000000000001</v>
      </c>
      <c r="G58" s="5" t="n">
        <v>0.0437</v>
      </c>
      <c r="H58" s="5" t="n">
        <v>-0.2907</v>
      </c>
      <c r="I58" s="5" t="n">
        <v>-0.1909</v>
      </c>
      <c r="J58" s="5" t="n">
        <v>-3.14</v>
      </c>
      <c r="K58" s="5" t="n">
        <v>-0.0692</v>
      </c>
      <c r="L58" s="5" t="n">
        <v>4.765</v>
      </c>
      <c r="M58" s="5">
        <f>IF(AND(L58&gt;0,B58&lt;=-2),B57,"")</f>
        <v/>
      </c>
      <c r="N58" s="5">
        <f>IF(AND(D58&gt;0,E58&lt;0,F58&gt;0),B57,"")</f>
        <v/>
      </c>
      <c r="O58" s="5">
        <f>IF(AND(F58&lt;0,G58&gt;0),B57,"")</f>
        <v/>
      </c>
      <c r="P58" s="5">
        <f>IF(AND(ISNUMBER(M58),0.549579&gt;=MAX(IF(ISNUMBER(N58),0.299732,-1),IF(ISNUMBER(O58),0.323835,-1))),M58,IF(AND(ISNUMBER(N58),0.299732&gt;MAX(IF(ISNUMBER(M58),0.549579,-1),IF(ISNUMBER(O58),0.323835,-1))),N58,IF(AND(ISNUMBER(O58),0.323835&gt;MAX(IF(ISNUMBER(M58),0.549579,-1),IF(ISNUMBER(N58),0.299732,-1))),O58,"")))</f>
        <v/>
      </c>
      <c r="Q58" s="5">
        <f>IF(AND(H58&lt;=-1,C58&lt;0),C57,"")</f>
        <v/>
      </c>
      <c r="R58" s="5">
        <f>IF(AND(I58&gt;0,J58&gt;0),C57,"")</f>
        <v/>
      </c>
      <c r="S58" s="5">
        <f>IF(AND(J58&gt;0,K58&lt;0),C57,"")</f>
        <v/>
      </c>
      <c r="T58" s="5">
        <f>IF(AND(ISNUMBER(Q58),0.408167&gt;=MAX(IF(ISNUMBER(R58),0.31868,-1),IF(ISNUMBER(S58),0.510996,-1))),Q58,IF(AND(ISNUMBER(R58),0.31868&gt;MAX(IF(ISNUMBER(Q58),0.408167,-1),IF(ISNUMBER(S58),0.510996,-1))),R58,IF(AND(ISNUMBER(S58),0.510996&gt;MAX(IF(ISNUMBER(Q58),0.408167,-1),IF(ISNUMBER(R58),0.31868,-1))),S58,"")))</f>
        <v/>
      </c>
    </row>
    <row r="59">
      <c r="A59" s="5" t="inlineStr">
        <is>
          <t>2026/05/29</t>
        </is>
      </c>
      <c r="B59" s="5" t="n">
        <v>0.714</v>
      </c>
      <c r="C59" s="5" t="n">
        <v>0.4369</v>
      </c>
      <c r="D59" s="5" t="n">
        <v>-0.0145</v>
      </c>
      <c r="E59" s="5" t="n">
        <v>1.0539</v>
      </c>
      <c r="F59" s="5" t="n">
        <v>0.0997</v>
      </c>
      <c r="G59" s="5" t="n">
        <v>0.0269</v>
      </c>
      <c r="H59" s="5" t="n">
        <v>0.6046</v>
      </c>
      <c r="I59" s="5" t="n">
        <v>-0.052</v>
      </c>
      <c r="J59" s="5" t="n">
        <v>2.6497</v>
      </c>
      <c r="K59" s="5" t="n">
        <v>-0.84</v>
      </c>
      <c r="L59" s="5" t="n">
        <v>-2.6684</v>
      </c>
      <c r="M59" s="5">
        <f>IF(AND(L59&gt;0,B59&lt;=-2),B58,"")</f>
        <v/>
      </c>
      <c r="N59" s="5">
        <f>IF(AND(D59&gt;0,E59&lt;0,F59&gt;0),B58,"")</f>
        <v/>
      </c>
      <c r="O59" s="5">
        <f>IF(AND(F59&lt;0,G59&gt;0),B58,"")</f>
        <v/>
      </c>
      <c r="P59" s="5">
        <f>IF(AND(ISNUMBER(M59),0.549579&gt;=MAX(IF(ISNUMBER(N59),0.299732,-1),IF(ISNUMBER(O59),0.323835,-1))),M59,IF(AND(ISNUMBER(N59),0.299732&gt;MAX(IF(ISNUMBER(M59),0.549579,-1),IF(ISNUMBER(O59),0.323835,-1))),N59,IF(AND(ISNUMBER(O59),0.323835&gt;MAX(IF(ISNUMBER(M59),0.549579,-1),IF(ISNUMBER(N59),0.299732,-1))),O59,"")))</f>
        <v/>
      </c>
      <c r="Q59" s="5">
        <f>IF(AND(H59&lt;=-1,C59&lt;0),C58,"")</f>
        <v/>
      </c>
      <c r="R59" s="5">
        <f>IF(AND(I59&gt;0,J59&gt;0),C58,"")</f>
        <v/>
      </c>
      <c r="S59" s="5">
        <f>IF(AND(J59&gt;0,K59&lt;0),C58,"")</f>
        <v/>
      </c>
      <c r="T59" s="5">
        <f>IF(AND(ISNUMBER(Q59),0.408167&gt;=MAX(IF(ISNUMBER(R59),0.31868,-1),IF(ISNUMBER(S59),0.510996,-1))),Q59,IF(AND(ISNUMBER(R59),0.31868&gt;MAX(IF(ISNUMBER(Q59),0.408167,-1),IF(ISNUMBER(S59),0.510996,-1))),R59,IF(AND(ISNUMBER(S59),0.510996&gt;MAX(IF(ISNUMBER(Q59),0.408167,-1),IF(ISNUMBER(R59),0.31868,-1))),S59,"")))</f>
        <v/>
      </c>
    </row>
    <row r="60">
      <c r="A60" s="5" t="inlineStr">
        <is>
          <t>2026/05/28</t>
        </is>
      </c>
      <c r="B60" s="5" t="n">
        <v>1.6624</v>
      </c>
      <c r="C60" s="5" t="n">
        <v>1.1261</v>
      </c>
      <c r="D60" s="5" t="n">
        <v>0.3216</v>
      </c>
      <c r="E60" s="5" t="n">
        <v>1.0478</v>
      </c>
      <c r="F60" s="5" t="n">
        <v>0.1248</v>
      </c>
      <c r="G60" s="5" t="n">
        <v>0.2706</v>
      </c>
      <c r="H60" s="5" t="n">
        <v>-0.2918</v>
      </c>
      <c r="I60" s="5" t="n">
        <v>0.1912</v>
      </c>
      <c r="J60" s="5" t="n">
        <v>2.0365</v>
      </c>
      <c r="K60" s="5" t="n">
        <v>0.3527</v>
      </c>
      <c r="L60" s="5" t="n">
        <v>-3.3763</v>
      </c>
      <c r="M60" s="5">
        <f>IF(AND(L60&gt;0,B60&lt;=-2),B59,"")</f>
        <v/>
      </c>
      <c r="N60" s="5">
        <f>IF(AND(D60&gt;0,E60&lt;0,F60&gt;0),B59,"")</f>
        <v/>
      </c>
      <c r="O60" s="5">
        <f>IF(AND(F60&lt;0,G60&gt;0),B59,"")</f>
        <v/>
      </c>
      <c r="P60" s="5">
        <f>IF(AND(ISNUMBER(M60),0.549579&gt;=MAX(IF(ISNUMBER(N60),0.299732,-1),IF(ISNUMBER(O60),0.323835,-1))),M60,IF(AND(ISNUMBER(N60),0.299732&gt;MAX(IF(ISNUMBER(M60),0.549579,-1),IF(ISNUMBER(O60),0.323835,-1))),N60,IF(AND(ISNUMBER(O60),0.323835&gt;MAX(IF(ISNUMBER(M60),0.549579,-1),IF(ISNUMBER(N60),0.299732,-1))),O60,"")))</f>
        <v/>
      </c>
      <c r="Q60" s="5">
        <f>IF(AND(H60&lt;=-1,C60&lt;0),C59,"")</f>
        <v/>
      </c>
      <c r="R60" s="5">
        <f>IF(AND(I60&gt;0,J60&gt;0),C59,"")</f>
        <v/>
      </c>
      <c r="S60" s="5">
        <f>IF(AND(J60&gt;0,K60&lt;0),C59,"")</f>
        <v/>
      </c>
      <c r="T60" s="5">
        <f>IF(AND(ISNUMBER(Q60),0.408167&gt;=MAX(IF(ISNUMBER(R60),0.31868,-1),IF(ISNUMBER(S60),0.510996,-1))),Q60,IF(AND(ISNUMBER(R60),0.31868&gt;MAX(IF(ISNUMBER(Q60),0.408167,-1),IF(ISNUMBER(S60),0.510996,-1))),R60,IF(AND(ISNUMBER(S60),0.510996&gt;MAX(IF(ISNUMBER(Q60),0.408167,-1),IF(ISNUMBER(R60),0.31868,-1))),S60,"")))</f>
        <v/>
      </c>
    </row>
    <row r="61">
      <c r="A61" s="5" t="inlineStr">
        <is>
          <t>2026/05/27</t>
        </is>
      </c>
      <c r="B61" s="5" t="n">
        <v>-0.2045</v>
      </c>
      <c r="C61" s="5" t="n">
        <v>0.0108</v>
      </c>
      <c r="D61" s="5" t="n">
        <v>-0.0145</v>
      </c>
      <c r="E61" s="5" t="n">
        <v>-1.3309</v>
      </c>
      <c r="F61" s="5" t="n">
        <v>-0.0623</v>
      </c>
      <c r="G61" s="5" t="n">
        <v>0.0541</v>
      </c>
      <c r="H61" s="5" t="n">
        <v>-0.8293</v>
      </c>
      <c r="I61" s="5" t="n">
        <v>-0.1562</v>
      </c>
      <c r="J61" s="5" t="n">
        <v>-3.4576</v>
      </c>
      <c r="K61" s="5" t="n">
        <v>0.6143999999999999</v>
      </c>
      <c r="L61" s="5" t="n">
        <v>-4.2328</v>
      </c>
      <c r="M61" s="5">
        <f>IF(AND(L61&gt;0,B61&lt;=-2),B60,"")</f>
        <v/>
      </c>
      <c r="N61" s="5">
        <f>IF(AND(D61&gt;0,E61&lt;0,F61&gt;0),B60,"")</f>
        <v/>
      </c>
      <c r="O61" s="5">
        <f>IF(AND(F61&lt;0,G61&gt;0),B60,"")</f>
        <v/>
      </c>
      <c r="P61" s="5">
        <f>IF(AND(ISNUMBER(M61),0.549579&gt;=MAX(IF(ISNUMBER(N61),0.299732,-1),IF(ISNUMBER(O61),0.323835,-1))),M61,IF(AND(ISNUMBER(N61),0.299732&gt;MAX(IF(ISNUMBER(M61),0.549579,-1),IF(ISNUMBER(O61),0.323835,-1))),N61,IF(AND(ISNUMBER(O61),0.323835&gt;MAX(IF(ISNUMBER(M61),0.549579,-1),IF(ISNUMBER(N61),0.299732,-1))),O61,"")))</f>
        <v/>
      </c>
      <c r="Q61" s="5">
        <f>IF(AND(H61&lt;=-1,C61&lt;0),C60,"")</f>
        <v/>
      </c>
      <c r="R61" s="5">
        <f>IF(AND(I61&gt;0,J61&gt;0),C60,"")</f>
        <v/>
      </c>
      <c r="S61" s="5">
        <f>IF(AND(J61&gt;0,K61&lt;0),C60,"")</f>
        <v/>
      </c>
      <c r="T61" s="5">
        <f>IF(AND(ISNUMBER(Q61),0.408167&gt;=MAX(IF(ISNUMBER(R61),0.31868,-1),IF(ISNUMBER(S61),0.510996,-1))),Q61,IF(AND(ISNUMBER(R61),0.31868&gt;MAX(IF(ISNUMBER(Q61),0.408167,-1),IF(ISNUMBER(S61),0.510996,-1))),R61,IF(AND(ISNUMBER(S61),0.510996&gt;MAX(IF(ISNUMBER(Q61),0.408167,-1),IF(ISNUMBER(R61),0.31868,-1))),S61,"")))</f>
        <v/>
      </c>
    </row>
    <row r="62">
      <c r="A62" s="5" t="inlineStr">
        <is>
          <t>2026/05/26</t>
        </is>
      </c>
      <c r="B62" s="5" t="n">
        <v>3.4631</v>
      </c>
      <c r="C62" s="5" t="n">
        <v>1.1887</v>
      </c>
      <c r="D62" s="5" t="n">
        <v>3.8252</v>
      </c>
      <c r="E62" s="5" t="n">
        <v>0.0435</v>
      </c>
      <c r="F62" s="5" t="n">
        <v>0.3379</v>
      </c>
      <c r="G62" s="5" t="n">
        <v>0.3987</v>
      </c>
      <c r="H62" s="5" t="n">
        <v>-0.1733</v>
      </c>
      <c r="I62" s="5" t="n">
        <v>-0.1213</v>
      </c>
      <c r="J62" s="5" t="n">
        <v>4.0932</v>
      </c>
      <c r="K62" s="5" t="n">
        <v>0.078</v>
      </c>
      <c r="L62" s="5" t="n">
        <v>1.8563</v>
      </c>
      <c r="M62" s="5">
        <f>IF(AND(L62&gt;0,B62&lt;=-2),B61,"")</f>
        <v/>
      </c>
      <c r="N62" s="5">
        <f>IF(AND(D62&gt;0,E62&lt;0,F62&gt;0),B61,"")</f>
        <v/>
      </c>
      <c r="O62" s="5">
        <f>IF(AND(F62&lt;0,G62&gt;0),B61,"")</f>
        <v/>
      </c>
      <c r="P62" s="5">
        <f>IF(AND(ISNUMBER(M62),0.549579&gt;=MAX(IF(ISNUMBER(N62),0.299732,-1),IF(ISNUMBER(O62),0.323835,-1))),M62,IF(AND(ISNUMBER(N62),0.299732&gt;MAX(IF(ISNUMBER(M62),0.549579,-1),IF(ISNUMBER(O62),0.323835,-1))),N62,IF(AND(ISNUMBER(O62),0.323835&gt;MAX(IF(ISNUMBER(M62),0.549579,-1),IF(ISNUMBER(N62),0.299732,-1))),O62,"")))</f>
        <v/>
      </c>
      <c r="Q62" s="5">
        <f>IF(AND(H62&lt;=-1,C62&lt;0),C61,"")</f>
        <v/>
      </c>
      <c r="R62" s="5">
        <f>IF(AND(I62&gt;0,J62&gt;0),C61,"")</f>
        <v/>
      </c>
      <c r="S62" s="5">
        <f>IF(AND(J62&gt;0,K62&lt;0),C61,"")</f>
        <v/>
      </c>
      <c r="T62" s="5">
        <f>IF(AND(ISNUMBER(Q62),0.408167&gt;=MAX(IF(ISNUMBER(R62),0.31868,-1),IF(ISNUMBER(S62),0.510996,-1))),Q62,IF(AND(ISNUMBER(R62),0.31868&gt;MAX(IF(ISNUMBER(Q62),0.408167,-1),IF(ISNUMBER(S62),0.510996,-1))),R62,IF(AND(ISNUMBER(S62),0.510996&gt;MAX(IF(ISNUMBER(Q62),0.408167,-1),IF(ISNUMBER(R62),0.31868,-1))),S62,"")))</f>
        <v/>
      </c>
    </row>
    <row r="63">
      <c r="A63" s="5" t="inlineStr">
        <is>
          <t>2026/05/22</t>
        </is>
      </c>
      <c r="B63" s="5" t="n">
        <v>0.8288</v>
      </c>
      <c r="C63" s="5" t="n">
        <v>0.7416</v>
      </c>
      <c r="D63" s="5" t="n">
        <v>-0.2273</v>
      </c>
      <c r="E63" s="5" t="n">
        <v>-0.7602</v>
      </c>
      <c r="F63" s="5" t="n">
        <v>0.0125</v>
      </c>
      <c r="G63" s="5" t="n">
        <v>0.0091</v>
      </c>
      <c r="H63" s="5" t="n">
        <v>0.406</v>
      </c>
      <c r="I63" s="5" t="n">
        <v>-0.1212</v>
      </c>
      <c r="J63" s="5" t="n">
        <v>-1.128</v>
      </c>
      <c r="K63" s="5" t="n">
        <v>-0.5512</v>
      </c>
      <c r="L63" s="5" t="n">
        <v>-0.358</v>
      </c>
      <c r="M63" s="5">
        <f>IF(AND(L63&gt;0,B63&lt;=-2),B62,"")</f>
        <v/>
      </c>
      <c r="N63" s="5">
        <f>IF(AND(D63&gt;0,E63&lt;0,F63&gt;0),B62,"")</f>
        <v/>
      </c>
      <c r="O63" s="5">
        <f>IF(AND(F63&lt;0,G63&gt;0),B62,"")</f>
        <v/>
      </c>
      <c r="P63" s="5">
        <f>IF(AND(ISNUMBER(M63),0.549579&gt;=MAX(IF(ISNUMBER(N63),0.299732,-1),IF(ISNUMBER(O63),0.323835,-1))),M63,IF(AND(ISNUMBER(N63),0.299732&gt;MAX(IF(ISNUMBER(M63),0.549579,-1),IF(ISNUMBER(O63),0.323835,-1))),N63,IF(AND(ISNUMBER(O63),0.323835&gt;MAX(IF(ISNUMBER(M63),0.549579,-1),IF(ISNUMBER(N63),0.299732,-1))),O63,"")))</f>
        <v/>
      </c>
      <c r="Q63" s="5">
        <f>IF(AND(H63&lt;=-1,C63&lt;0),C62,"")</f>
        <v/>
      </c>
      <c r="R63" s="5">
        <f>IF(AND(I63&gt;0,J63&gt;0),C62,"")</f>
        <v/>
      </c>
      <c r="S63" s="5">
        <f>IF(AND(J63&gt;0,K63&lt;0),C62,"")</f>
        <v/>
      </c>
      <c r="T63" s="5">
        <f>IF(AND(ISNUMBER(Q63),0.408167&gt;=MAX(IF(ISNUMBER(R63),0.31868,-1),IF(ISNUMBER(S63),0.510996,-1))),Q63,IF(AND(ISNUMBER(R63),0.31868&gt;MAX(IF(ISNUMBER(Q63),0.408167,-1),IF(ISNUMBER(S63),0.510996,-1))),R63,IF(AND(ISNUMBER(S63),0.510996&gt;MAX(IF(ISNUMBER(Q63),0.408167,-1),IF(ISNUMBER(R63),0.31868,-1))),S63,"")))</f>
        <v/>
      </c>
    </row>
    <row r="64">
      <c r="A64" s="5" t="inlineStr">
        <is>
          <t>2026/05/21</t>
        </is>
      </c>
      <c r="B64" s="5" t="n">
        <v>0.4038</v>
      </c>
      <c r="C64" s="5" t="n">
        <v>0.3528</v>
      </c>
      <c r="D64" s="5" t="n">
        <v>0.8708</v>
      </c>
      <c r="E64" s="5" t="n">
        <v>-0.0982</v>
      </c>
      <c r="F64" s="5" t="n">
        <v>0.0501</v>
      </c>
      <c r="G64" s="5" t="n">
        <v>0</v>
      </c>
      <c r="H64" s="5" t="n">
        <v>0.1354</v>
      </c>
      <c r="I64" s="5" t="n">
        <v>-0.0173</v>
      </c>
      <c r="J64" s="5" t="n">
        <v>-0.4284</v>
      </c>
      <c r="K64" s="5" t="n">
        <v>0</v>
      </c>
      <c r="L64" s="5" t="n">
        <v>-3.8991</v>
      </c>
      <c r="M64" s="5">
        <f>IF(AND(L64&gt;0,B64&lt;=-2),B63,"")</f>
        <v/>
      </c>
      <c r="N64" s="5">
        <f>IF(AND(D64&gt;0,E64&lt;0,F64&gt;0),B63,"")</f>
        <v/>
      </c>
      <c r="O64" s="5">
        <f>IF(AND(F64&lt;0,G64&gt;0),B63,"")</f>
        <v/>
      </c>
      <c r="P64" s="5">
        <f>IF(AND(ISNUMBER(M64),0.549579&gt;=MAX(IF(ISNUMBER(N64),0.299732,-1),IF(ISNUMBER(O64),0.323835,-1))),M64,IF(AND(ISNUMBER(N64),0.299732&gt;MAX(IF(ISNUMBER(M64),0.549579,-1),IF(ISNUMBER(O64),0.323835,-1))),N64,IF(AND(ISNUMBER(O64),0.323835&gt;MAX(IF(ISNUMBER(M64),0.549579,-1),IF(ISNUMBER(N64),0.299732,-1))),O64,"")))</f>
        <v/>
      </c>
      <c r="Q64" s="5">
        <f>IF(AND(H64&lt;=-1,C64&lt;0),C63,"")</f>
        <v/>
      </c>
      <c r="R64" s="5">
        <f>IF(AND(I64&gt;0,J64&gt;0),C63,"")</f>
        <v/>
      </c>
      <c r="S64" s="5">
        <f>IF(AND(J64&gt;0,K64&lt;0),C63,"")</f>
        <v/>
      </c>
      <c r="T64" s="5">
        <f>IF(AND(ISNUMBER(Q64),0.408167&gt;=MAX(IF(ISNUMBER(R64),0.31868,-1),IF(ISNUMBER(S64),0.510996,-1))),Q64,IF(AND(ISNUMBER(R64),0.31868&gt;MAX(IF(ISNUMBER(Q64),0.408167,-1),IF(ISNUMBER(S64),0.510996,-1))),R64,IF(AND(ISNUMBER(S64),0.510996&gt;MAX(IF(ISNUMBER(Q64),0.408167,-1),IF(ISNUMBER(R64),0.31868,-1))),S64,"")))</f>
        <v/>
      </c>
    </row>
    <row r="65">
      <c r="A65" s="5" t="inlineStr">
        <is>
          <t>2026/05/20</t>
        </is>
      </c>
      <c r="B65" s="5" t="n">
        <v>3.3188</v>
      </c>
      <c r="C65" s="5" t="n">
        <v>2.1166</v>
      </c>
      <c r="D65" s="5" t="n">
        <v>1.8674</v>
      </c>
      <c r="E65" s="5" t="n">
        <v>1.4338</v>
      </c>
      <c r="F65" s="5" t="n">
        <v>0.6428</v>
      </c>
      <c r="G65" s="5" t="n">
        <v>0.2361</v>
      </c>
      <c r="H65" s="5" t="n">
        <v>1.096</v>
      </c>
      <c r="I65" s="5" t="n">
        <v>0.104</v>
      </c>
      <c r="J65" s="5" t="n">
        <v>3.0795</v>
      </c>
      <c r="K65" s="5" t="n">
        <v>0.2158</v>
      </c>
      <c r="L65" s="5" t="n">
        <v>-3.433</v>
      </c>
      <c r="M65" s="5">
        <f>IF(AND(L65&gt;0,B65&lt;=-2),B64,"")</f>
        <v/>
      </c>
      <c r="N65" s="5">
        <f>IF(AND(D65&gt;0,E65&lt;0,F65&gt;0),B64,"")</f>
        <v/>
      </c>
      <c r="O65" s="5">
        <f>IF(AND(F65&lt;0,G65&gt;0),B64,"")</f>
        <v/>
      </c>
      <c r="P65" s="5">
        <f>IF(AND(ISNUMBER(M65),0.549579&gt;=MAX(IF(ISNUMBER(N65),0.299732,-1),IF(ISNUMBER(O65),0.323835,-1))),M65,IF(AND(ISNUMBER(N65),0.299732&gt;MAX(IF(ISNUMBER(M65),0.549579,-1),IF(ISNUMBER(O65),0.323835,-1))),N65,IF(AND(ISNUMBER(O65),0.323835&gt;MAX(IF(ISNUMBER(M65),0.549579,-1),IF(ISNUMBER(N65),0.299732,-1))),O65,"")))</f>
        <v/>
      </c>
      <c r="Q65" s="5">
        <f>IF(AND(H65&lt;=-1,C65&lt;0),C64,"")</f>
        <v/>
      </c>
      <c r="R65" s="5">
        <f>IF(AND(I65&gt;0,J65&gt;0),C64,"")</f>
        <v/>
      </c>
      <c r="S65" s="5">
        <f>IF(AND(J65&gt;0,K65&lt;0),C64,"")</f>
        <v/>
      </c>
      <c r="T65" s="5">
        <f>IF(AND(ISNUMBER(Q65),0.408167&gt;=MAX(IF(ISNUMBER(R65),0.31868,-1),IF(ISNUMBER(S65),0.510996,-1))),Q65,IF(AND(ISNUMBER(R65),0.31868&gt;MAX(IF(ISNUMBER(Q65),0.408167,-1),IF(ISNUMBER(S65),0.510996,-1))),R65,IF(AND(ISNUMBER(S65),0.510996&gt;MAX(IF(ISNUMBER(Q65),0.408167,-1),IF(ISNUMBER(R65),0.31868,-1))),S65,"")))</f>
        <v/>
      </c>
    </row>
    <row r="66">
      <c r="A66" s="5" t="inlineStr">
        <is>
          <t>2026/05/19</t>
        </is>
      </c>
      <c r="B66" s="5" t="n">
        <v>-1.23</v>
      </c>
      <c r="C66" s="5" t="n">
        <v>-1.333</v>
      </c>
      <c r="D66" s="5" t="n">
        <v>-1.0928</v>
      </c>
      <c r="E66" s="5" t="n">
        <v>-1.6562</v>
      </c>
      <c r="F66" s="5" t="n">
        <v>-0.2389</v>
      </c>
      <c r="G66" s="5" t="n">
        <v>-0.3349</v>
      </c>
      <c r="H66" s="5" t="n">
        <v>-1.237</v>
      </c>
      <c r="I66" s="5" t="n">
        <v>-0.1384</v>
      </c>
      <c r="J66" s="5" t="n">
        <v>-3.8559</v>
      </c>
      <c r="K66" s="5" t="n">
        <v>-0.966</v>
      </c>
      <c r="L66" s="5" t="n">
        <v>1.3468</v>
      </c>
      <c r="M66" s="5">
        <f>IF(AND(L66&gt;0,B66&lt;=-2),B65,"")</f>
        <v/>
      </c>
      <c r="N66" s="5">
        <f>IF(AND(D66&gt;0,E66&lt;0,F66&gt;0),B65,"")</f>
        <v/>
      </c>
      <c r="O66" s="5">
        <f>IF(AND(F66&lt;0,G66&gt;0),B65,"")</f>
        <v/>
      </c>
      <c r="P66" s="5">
        <f>IF(AND(ISNUMBER(M66),0.549579&gt;=MAX(IF(ISNUMBER(N66),0.299732,-1),IF(ISNUMBER(O66),0.323835,-1))),M66,IF(AND(ISNUMBER(N66),0.299732&gt;MAX(IF(ISNUMBER(M66),0.549579,-1),IF(ISNUMBER(O66),0.323835,-1))),N66,IF(AND(ISNUMBER(O66),0.323835&gt;MAX(IF(ISNUMBER(M66),0.549579,-1),IF(ISNUMBER(N66),0.299732,-1))),O66,"")))</f>
        <v/>
      </c>
      <c r="Q66" s="5">
        <f>IF(AND(H66&lt;=-1,C66&lt;0),C65,"")</f>
        <v/>
      </c>
      <c r="R66" s="5">
        <f>IF(AND(I66&gt;0,J66&gt;0),C65,"")</f>
        <v/>
      </c>
      <c r="S66" s="5">
        <f>IF(AND(J66&gt;0,K66&lt;0),C65,"")</f>
        <v/>
      </c>
      <c r="T66" s="5">
        <f>IF(AND(ISNUMBER(Q66),0.408167&gt;=MAX(IF(ISNUMBER(R66),0.31868,-1),IF(ISNUMBER(S66),0.510996,-1))),Q66,IF(AND(ISNUMBER(R66),0.31868&gt;MAX(IF(ISNUMBER(Q66),0.408167,-1),IF(ISNUMBER(S66),0.510996,-1))),R66,IF(AND(ISNUMBER(S66),0.510996&gt;MAX(IF(ISNUMBER(Q66),0.408167,-1),IF(ISNUMBER(R66),0.31868,-1))),S66,"")))</f>
        <v/>
      </c>
    </row>
    <row r="67">
      <c r="A67" s="5" t="inlineStr">
        <is>
          <t>2026/05/18</t>
        </is>
      </c>
      <c r="B67" s="5" t="n">
        <v>-0.9278999999999999</v>
      </c>
      <c r="C67" s="5" t="n">
        <v>-0.183</v>
      </c>
      <c r="D67" s="5" t="n">
        <v>-0.1537</v>
      </c>
      <c r="E67" s="5" t="n">
        <v>0.2732</v>
      </c>
      <c r="F67" s="5" t="n">
        <v>0.1006</v>
      </c>
      <c r="G67" s="5" t="n">
        <v>-0.1176</v>
      </c>
      <c r="H67" s="5" t="n">
        <v>1.2525</v>
      </c>
      <c r="I67" s="5" t="n">
        <v>-0.0864</v>
      </c>
      <c r="J67" s="5" t="n">
        <v>-0.2404</v>
      </c>
      <c r="K67" s="5" t="n">
        <v>0.7754</v>
      </c>
      <c r="L67" s="5" t="n">
        <v>-3.3098</v>
      </c>
      <c r="M67" s="5">
        <f>IF(AND(L67&gt;0,B67&lt;=-2),B66,"")</f>
        <v/>
      </c>
      <c r="N67" s="5">
        <f>IF(AND(D67&gt;0,E67&lt;0,F67&gt;0),B66,"")</f>
        <v/>
      </c>
      <c r="O67" s="5">
        <f>IF(AND(F67&lt;0,G67&gt;0),B66,"")</f>
        <v/>
      </c>
      <c r="P67" s="5">
        <f>IF(AND(ISNUMBER(M67),0.549579&gt;=MAX(IF(ISNUMBER(N67),0.299732,-1),IF(ISNUMBER(O67),0.323835,-1))),M67,IF(AND(ISNUMBER(N67),0.299732&gt;MAX(IF(ISNUMBER(M67),0.549579,-1),IF(ISNUMBER(O67),0.323835,-1))),N67,IF(AND(ISNUMBER(O67),0.323835&gt;MAX(IF(ISNUMBER(M67),0.549579,-1),IF(ISNUMBER(N67),0.299732,-1))),O67,"")))</f>
        <v/>
      </c>
      <c r="Q67" s="5">
        <f>IF(AND(H67&lt;=-1,C67&lt;0),C66,"")</f>
        <v/>
      </c>
      <c r="R67" s="5">
        <f>IF(AND(I67&gt;0,J67&gt;0),C66,"")</f>
        <v/>
      </c>
      <c r="S67" s="5">
        <f>IF(AND(J67&gt;0,K67&lt;0),C66,"")</f>
        <v/>
      </c>
      <c r="T67" s="5">
        <f>IF(AND(ISNUMBER(Q67),0.408167&gt;=MAX(IF(ISNUMBER(R67),0.31868,-1),IF(ISNUMBER(S67),0.510996,-1))),Q67,IF(AND(ISNUMBER(R67),0.31868&gt;MAX(IF(ISNUMBER(Q67),0.408167,-1),IF(ISNUMBER(S67),0.510996,-1))),R67,IF(AND(ISNUMBER(S67),0.510996&gt;MAX(IF(ISNUMBER(Q67),0.408167,-1),IF(ISNUMBER(R67),0.31868,-1))),S67,"")))</f>
        <v/>
      </c>
    </row>
    <row r="68">
      <c r="A68" s="5" t="inlineStr">
        <is>
          <t>2026/05/15</t>
        </is>
      </c>
      <c r="B68" s="5" t="n">
        <v>-3.0641</v>
      </c>
      <c r="C68" s="5" t="n">
        <v>-2.45</v>
      </c>
      <c r="D68" s="5" t="n">
        <v>-3.4284</v>
      </c>
      <c r="E68" s="5" t="n">
        <v>-2.322</v>
      </c>
      <c r="F68" s="5" t="n">
        <v>-0.4884</v>
      </c>
      <c r="G68" s="5" t="n">
        <v>-0.3603</v>
      </c>
      <c r="H68" s="5" t="n">
        <v>-0.3706</v>
      </c>
      <c r="I68" s="5" t="n">
        <v>-0.2586</v>
      </c>
      <c r="J68" s="5" t="n">
        <v>-7.025</v>
      </c>
      <c r="K68" s="5" t="n">
        <v>-0.8794999999999999</v>
      </c>
      <c r="L68" s="5" t="n">
        <v>6.7787</v>
      </c>
      <c r="M68" s="5">
        <f>IF(AND(L68&gt;0,B68&lt;=-2),B67,"")</f>
        <v/>
      </c>
      <c r="N68" s="5">
        <f>IF(AND(D68&gt;0,E68&lt;0,F68&gt;0),B67,"")</f>
        <v/>
      </c>
      <c r="O68" s="5">
        <f>IF(AND(F68&lt;0,G68&gt;0),B67,"")</f>
        <v/>
      </c>
      <c r="P68" s="5">
        <f>IF(AND(ISNUMBER(M68),0.549579&gt;=MAX(IF(ISNUMBER(N68),0.299732,-1),IF(ISNUMBER(O68),0.323835,-1))),M68,IF(AND(ISNUMBER(N68),0.299732&gt;MAX(IF(ISNUMBER(M68),0.549579,-1),IF(ISNUMBER(O68),0.323835,-1))),N68,IF(AND(ISNUMBER(O68),0.323835&gt;MAX(IF(ISNUMBER(M68),0.549579,-1),IF(ISNUMBER(N68),0.299732,-1))),O68,"")))</f>
        <v/>
      </c>
      <c r="Q68" s="5">
        <f>IF(AND(H68&lt;=-1,C68&lt;0),C67,"")</f>
        <v/>
      </c>
      <c r="R68" s="5">
        <f>IF(AND(I68&gt;0,J68&gt;0),C67,"")</f>
        <v/>
      </c>
      <c r="S68" s="5">
        <f>IF(AND(J68&gt;0,K68&lt;0),C67,"")</f>
        <v/>
      </c>
      <c r="T68" s="5">
        <f>IF(AND(ISNUMBER(Q68),0.408167&gt;=MAX(IF(ISNUMBER(R68),0.31868,-1),IF(ISNUMBER(S68),0.510996,-1))),Q68,IF(AND(ISNUMBER(R68),0.31868&gt;MAX(IF(ISNUMBER(Q68),0.408167,-1),IF(ISNUMBER(S68),0.510996,-1))),R68,IF(AND(ISNUMBER(S68),0.510996&gt;MAX(IF(ISNUMBER(Q68),0.408167,-1),IF(ISNUMBER(R68),0.31868,-1))),S68,"")))</f>
        <v/>
      </c>
    </row>
    <row r="69">
      <c r="A69" s="5" t="inlineStr">
        <is>
          <t>2026/05/14</t>
        </is>
      </c>
      <c r="B69" s="5" t="n">
        <v>1.4354</v>
      </c>
      <c r="C69" s="5" t="n">
        <v>1.5209</v>
      </c>
      <c r="D69" s="5" t="n">
        <v>0.2529</v>
      </c>
      <c r="E69" s="5" t="n">
        <v>-0.7642</v>
      </c>
      <c r="F69" s="5" t="n">
        <v>-0.0751</v>
      </c>
      <c r="G69" s="5" t="n">
        <v>-0.0989</v>
      </c>
      <c r="H69" s="5" t="n">
        <v>0.5884</v>
      </c>
      <c r="I69" s="5" t="n">
        <v>-0.2922</v>
      </c>
      <c r="J69" s="5" t="n">
        <v>-2.3693</v>
      </c>
      <c r="K69" s="5" t="n">
        <v>0.2998</v>
      </c>
      <c r="L69" s="5" t="n">
        <v>-3.4135</v>
      </c>
      <c r="M69" s="5">
        <f>IF(AND(L69&gt;0,B69&lt;=-2),B68,"")</f>
        <v/>
      </c>
      <c r="N69" s="5">
        <f>IF(AND(D69&gt;0,E69&lt;0,F69&gt;0),B68,"")</f>
        <v/>
      </c>
      <c r="O69" s="5">
        <f>IF(AND(F69&lt;0,G69&gt;0),B68,"")</f>
        <v/>
      </c>
      <c r="P69" s="5">
        <f>IF(AND(ISNUMBER(M69),0.549579&gt;=MAX(IF(ISNUMBER(N69),0.299732,-1),IF(ISNUMBER(O69),0.323835,-1))),M69,IF(AND(ISNUMBER(N69),0.299732&gt;MAX(IF(ISNUMBER(M69),0.549579,-1),IF(ISNUMBER(O69),0.323835,-1))),N69,IF(AND(ISNUMBER(O69),0.323835&gt;MAX(IF(ISNUMBER(M69),0.549579,-1),IF(ISNUMBER(N69),0.299732,-1))),O69,"")))</f>
        <v/>
      </c>
      <c r="Q69" s="5">
        <f>IF(AND(H69&lt;=-1,C69&lt;0),C68,"")</f>
        <v/>
      </c>
      <c r="R69" s="5">
        <f>IF(AND(I69&gt;0,J69&gt;0),C68,"")</f>
        <v/>
      </c>
      <c r="S69" s="5">
        <f>IF(AND(J69&gt;0,K69&lt;0),C68,"")</f>
        <v/>
      </c>
      <c r="T69" s="5">
        <f>IF(AND(ISNUMBER(Q69),0.408167&gt;=MAX(IF(ISNUMBER(R69),0.31868,-1),IF(ISNUMBER(S69),0.510996,-1))),Q69,IF(AND(ISNUMBER(R69),0.31868&gt;MAX(IF(ISNUMBER(Q69),0.408167,-1),IF(ISNUMBER(S69),0.510996,-1))),R69,IF(AND(ISNUMBER(S69),0.510996&gt;MAX(IF(ISNUMBER(Q69),0.408167,-1),IF(ISNUMBER(R69),0.31868,-1))),S69,"")))</f>
        <v/>
      </c>
    </row>
    <row r="70">
      <c r="A70" s="5" t="inlineStr">
        <is>
          <t>2026/05/13</t>
        </is>
      </c>
      <c r="B70" s="5" t="n">
        <v>2.0736</v>
      </c>
      <c r="C70" s="5" t="n">
        <v>1.1552</v>
      </c>
      <c r="D70" s="5" t="n">
        <v>2.1118</v>
      </c>
      <c r="E70" s="5" t="n">
        <v>-0.5613</v>
      </c>
      <c r="F70" s="5" t="n">
        <v>0.0501</v>
      </c>
      <c r="G70" s="5" t="n">
        <v>0</v>
      </c>
      <c r="H70" s="5" t="n">
        <v>-1.1438</v>
      </c>
      <c r="I70" s="5" t="n">
        <v>-0.1716</v>
      </c>
      <c r="J70" s="5" t="n">
        <v>-0.9368</v>
      </c>
      <c r="K70" s="5" t="n">
        <v>0.7766999999999999</v>
      </c>
      <c r="L70" s="5" t="n">
        <v>-0.667</v>
      </c>
      <c r="M70" s="5">
        <f>IF(AND(L70&gt;0,B70&lt;=-2),B69,"")</f>
        <v/>
      </c>
      <c r="N70" s="5">
        <f>IF(AND(D70&gt;0,E70&lt;0,F70&gt;0),B69,"")</f>
        <v/>
      </c>
      <c r="O70" s="5">
        <f>IF(AND(F70&lt;0,G70&gt;0),B69,"")</f>
        <v/>
      </c>
      <c r="P70" s="5">
        <f>IF(AND(ISNUMBER(M70),0.549579&gt;=MAX(IF(ISNUMBER(N70),0.299732,-1),IF(ISNUMBER(O70),0.323835,-1))),M70,IF(AND(ISNUMBER(N70),0.299732&gt;MAX(IF(ISNUMBER(M70),0.549579,-1),IF(ISNUMBER(O70),0.323835,-1))),N70,IF(AND(ISNUMBER(O70),0.323835&gt;MAX(IF(ISNUMBER(M70),0.549579,-1),IF(ISNUMBER(N70),0.299732,-1))),O70,"")))</f>
        <v/>
      </c>
      <c r="Q70" s="5">
        <f>IF(AND(H70&lt;=-1,C70&lt;0),C69,"")</f>
        <v/>
      </c>
      <c r="R70" s="5">
        <f>IF(AND(I70&gt;0,J70&gt;0),C69,"")</f>
        <v/>
      </c>
      <c r="S70" s="5">
        <f>IF(AND(J70&gt;0,K70&lt;0),C69,"")</f>
        <v/>
      </c>
      <c r="T70" s="5">
        <f>IF(AND(ISNUMBER(Q70),0.408167&gt;=MAX(IF(ISNUMBER(R70),0.31868,-1),IF(ISNUMBER(S70),0.510996,-1))),Q70,IF(AND(ISNUMBER(R70),0.31868&gt;MAX(IF(ISNUMBER(Q70),0.408167,-1),IF(ISNUMBER(S70),0.510996,-1))),R70,IF(AND(ISNUMBER(S70),0.510996&gt;MAX(IF(ISNUMBER(Q70),0.408167,-1),IF(ISNUMBER(R70),0.31868,-1))),S70,"")))</f>
        <v/>
      </c>
    </row>
    <row r="71">
      <c r="A71" s="5" t="inlineStr">
        <is>
          <t>2026/05/12</t>
        </is>
      </c>
      <c r="B71" s="5" t="n">
        <v>-1.7566</v>
      </c>
      <c r="C71" s="5" t="n">
        <v>-0.3266</v>
      </c>
      <c r="D71" s="5" t="n">
        <v>-3.0489</v>
      </c>
      <c r="E71" s="5" t="n">
        <v>-0.3957</v>
      </c>
      <c r="F71" s="5" t="n">
        <v>-0.1375</v>
      </c>
      <c r="G71" s="5" t="n">
        <v>-0.1707</v>
      </c>
      <c r="H71" s="5" t="n">
        <v>0.7815</v>
      </c>
      <c r="I71" s="5" t="n">
        <v>-0.2568</v>
      </c>
      <c r="J71" s="5" t="n">
        <v>-0.4713</v>
      </c>
      <c r="K71" s="5" t="n">
        <v>0.2423</v>
      </c>
      <c r="L71" s="5" t="n">
        <v>-2.1219</v>
      </c>
      <c r="M71" s="5">
        <f>IF(AND(L71&gt;0,B71&lt;=-2),B70,"")</f>
        <v/>
      </c>
      <c r="N71" s="5">
        <f>IF(AND(D71&gt;0,E71&lt;0,F71&gt;0),B70,"")</f>
        <v/>
      </c>
      <c r="O71" s="5">
        <f>IF(AND(F71&lt;0,G71&gt;0),B70,"")</f>
        <v/>
      </c>
      <c r="P71" s="5">
        <f>IF(AND(ISNUMBER(M71),0.549579&gt;=MAX(IF(ISNUMBER(N71),0.299732,-1),IF(ISNUMBER(O71),0.323835,-1))),M71,IF(AND(ISNUMBER(N71),0.299732&gt;MAX(IF(ISNUMBER(M71),0.549579,-1),IF(ISNUMBER(O71),0.323835,-1))),N71,IF(AND(ISNUMBER(O71),0.323835&gt;MAX(IF(ISNUMBER(M71),0.549579,-1),IF(ISNUMBER(N71),0.299732,-1))),O71,"")))</f>
        <v/>
      </c>
      <c r="Q71" s="5">
        <f>IF(AND(H71&lt;=-1,C71&lt;0),C70,"")</f>
        <v/>
      </c>
      <c r="R71" s="5">
        <f>IF(AND(I71&gt;0,J71&gt;0),C70,"")</f>
        <v/>
      </c>
      <c r="S71" s="5">
        <f>IF(AND(J71&gt;0,K71&lt;0),C70,"")</f>
        <v/>
      </c>
      <c r="T71" s="5">
        <f>IF(AND(ISNUMBER(Q71),0.408167&gt;=MAX(IF(ISNUMBER(R71),0.31868,-1),IF(ISNUMBER(S71),0.510996,-1))),Q71,IF(AND(ISNUMBER(R71),0.31868&gt;MAX(IF(ISNUMBER(Q71),0.408167,-1),IF(ISNUMBER(S71),0.510996,-1))),R71,IF(AND(ISNUMBER(S71),0.510996&gt;MAX(IF(ISNUMBER(Q71),0.408167,-1),IF(ISNUMBER(R71),0.31868,-1))),S71,"")))</f>
        <v/>
      </c>
    </row>
    <row r="72">
      <c r="A72" s="5" t="inlineStr">
        <is>
          <t>2026/05/11</t>
        </is>
      </c>
      <c r="B72" s="5" t="n">
        <v>0.5458</v>
      </c>
      <c r="C72" s="5" t="n">
        <v>0.3667</v>
      </c>
      <c r="D72" s="5" t="n">
        <v>-0.0737</v>
      </c>
      <c r="E72" s="5" t="n">
        <v>0.2029</v>
      </c>
      <c r="F72" s="5" t="n">
        <v>-0.1997</v>
      </c>
      <c r="G72" s="5" t="n">
        <v>-0.0808</v>
      </c>
      <c r="H72" s="5" t="n">
        <v>-0.1171</v>
      </c>
      <c r="I72" s="5" t="n">
        <v>-0.3072</v>
      </c>
      <c r="J72" s="5" t="n">
        <v>3.1822</v>
      </c>
      <c r="K72" s="5" t="n">
        <v>-1.163</v>
      </c>
      <c r="L72" s="5" t="n">
        <v>6.9226</v>
      </c>
      <c r="M72" s="5">
        <f>IF(AND(L72&gt;0,B72&lt;=-2),B71,"")</f>
        <v/>
      </c>
      <c r="N72" s="5">
        <f>IF(AND(D72&gt;0,E72&lt;0,F72&gt;0),B71,"")</f>
        <v/>
      </c>
      <c r="O72" s="5">
        <f>IF(AND(F72&lt;0,G72&gt;0),B71,"")</f>
        <v/>
      </c>
      <c r="P72" s="5">
        <f>IF(AND(ISNUMBER(M72),0.549579&gt;=MAX(IF(ISNUMBER(N72),0.299732,-1),IF(ISNUMBER(O72),0.323835,-1))),M72,IF(AND(ISNUMBER(N72),0.299732&gt;MAX(IF(ISNUMBER(M72),0.549579,-1),IF(ISNUMBER(O72),0.323835,-1))),N72,IF(AND(ISNUMBER(O72),0.323835&gt;MAX(IF(ISNUMBER(M72),0.549579,-1),IF(ISNUMBER(N72),0.299732,-1))),O72,"")))</f>
        <v/>
      </c>
      <c r="Q72" s="5">
        <f>IF(AND(H72&lt;=-1,C72&lt;0),C71,"")</f>
        <v/>
      </c>
      <c r="R72" s="5">
        <f>IF(AND(I72&gt;0,J72&gt;0),C71,"")</f>
        <v/>
      </c>
      <c r="S72" s="5">
        <f>IF(AND(J72&gt;0,K72&lt;0),C71,"")</f>
        <v/>
      </c>
      <c r="T72" s="5">
        <f>IF(AND(ISNUMBER(Q72),0.408167&gt;=MAX(IF(ISNUMBER(R72),0.31868,-1),IF(ISNUMBER(S72),0.510996,-1))),Q72,IF(AND(ISNUMBER(R72),0.31868&gt;MAX(IF(ISNUMBER(Q72),0.408167,-1),IF(ISNUMBER(S72),0.510996,-1))),R72,IF(AND(ISNUMBER(S72),0.510996&gt;MAX(IF(ISNUMBER(Q72),0.408167,-1),IF(ISNUMBER(R72),0.31868,-1))),S72,"")))</f>
        <v/>
      </c>
    </row>
    <row r="73">
      <c r="A73" s="5" t="inlineStr">
        <is>
          <t>2026/05/08</t>
        </is>
      </c>
      <c r="B73" s="5" t="n">
        <v>4.6934</v>
      </c>
      <c r="C73" s="5" t="n">
        <v>1.6951</v>
      </c>
      <c r="D73" s="5" t="n">
        <v>2.0273</v>
      </c>
      <c r="E73" s="5" t="n">
        <v>0.4842</v>
      </c>
      <c r="F73" s="5" t="n">
        <v>0.3506</v>
      </c>
      <c r="G73" s="5" t="n">
        <v>0.3332</v>
      </c>
      <c r="H73" s="5" t="n">
        <v>-0.6015</v>
      </c>
      <c r="I73" s="5" t="n">
        <v>0.0683</v>
      </c>
      <c r="J73" s="5" t="n">
        <v>3.1291</v>
      </c>
      <c r="K73" s="5" t="n">
        <v>-0.3748</v>
      </c>
      <c r="L73" s="5" t="n">
        <v>0.644</v>
      </c>
      <c r="M73" s="5">
        <f>IF(AND(L73&gt;0,B73&lt;=-2),B72,"")</f>
        <v/>
      </c>
      <c r="N73" s="5">
        <f>IF(AND(D73&gt;0,E73&lt;0,F73&gt;0),B72,"")</f>
        <v/>
      </c>
      <c r="O73" s="5">
        <f>IF(AND(F73&lt;0,G73&gt;0),B72,"")</f>
        <v/>
      </c>
      <c r="P73" s="5">
        <f>IF(AND(ISNUMBER(M73),0.549579&gt;=MAX(IF(ISNUMBER(N73),0.299732,-1),IF(ISNUMBER(O73),0.323835,-1))),M73,IF(AND(ISNUMBER(N73),0.299732&gt;MAX(IF(ISNUMBER(M73),0.549579,-1),IF(ISNUMBER(O73),0.323835,-1))),N73,IF(AND(ISNUMBER(O73),0.323835&gt;MAX(IF(ISNUMBER(M73),0.549579,-1),IF(ISNUMBER(N73),0.299732,-1))),O73,"")))</f>
        <v/>
      </c>
      <c r="Q73" s="5">
        <f>IF(AND(H73&lt;=-1,C73&lt;0),C72,"")</f>
        <v/>
      </c>
      <c r="R73" s="5">
        <f>IF(AND(I73&gt;0,J73&gt;0),C72,"")</f>
        <v/>
      </c>
      <c r="S73" s="5">
        <f>IF(AND(J73&gt;0,K73&lt;0),C72,"")</f>
        <v/>
      </c>
      <c r="T73" s="5">
        <f>IF(AND(ISNUMBER(Q73),0.408167&gt;=MAX(IF(ISNUMBER(R73),0.31868,-1),IF(ISNUMBER(S73),0.510996,-1))),Q73,IF(AND(ISNUMBER(R73),0.31868&gt;MAX(IF(ISNUMBER(Q73),0.408167,-1),IF(ISNUMBER(S73),0.510996,-1))),R73,IF(AND(ISNUMBER(S73),0.510996&gt;MAX(IF(ISNUMBER(Q73),0.408167,-1),IF(ISNUMBER(R73),0.31868,-1))),S73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2026-08-10T04:22:12Z</dcterms:created>
  <dcterms:modified xmlns:dcterms="http://purl.org/dc/terms/" xmlns:xsi="http://www.w3.org/2001/XMLSchema-instance" xsi:type="dcterms:W3CDTF">2026-08-10T04:22:12Z</dcterms:modified>
</cp:coreProperties>
</file>