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vanessacen\Desktop\新基金预测\04_结果\示例审批\"/>
    </mc:Choice>
  </mc:AlternateContent>
  <bookViews>
    <workbookView windowWidth="13530" windowHeight="8080" activeTab="1"/>
  </bookViews>
  <sheets>
    <sheet name="说明" sheetId="1" r:id="rId1"/>
    <sheet name="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<sst xmlns="http://schemas.openxmlformats.org/spreadsheetml/2006/main" count="102" uniqueCount="97">
  <si>
    <t>两基金 m30 新版式示例</t>
  </si>
  <si>
    <t>用途：审批新版式，确认后再全量生成 m30。</t>
  </si>
  <si>
    <t>版式：最左侧为基础数据，每支基金前为单独策略列，最后一列为合并效果。</t>
  </si>
  <si>
    <t>策略列/合并列全部是 Excel 公式，引用左侧基础数据计算。</t>
  </si>
  <si>
    <t>日期格式：YYYY/MM/DD，按公司格式降序。</t>
  </si>
  <si>
    <t>策略名写清阈值，并统一标注“买基金第二天”。</t>
  </si>
  <si>
    <t>示例基金：Ultra NASDAQ-100 ProFunds Investor Class（UOPIX）、UltraBull ProFund Investor Shares（ULPIX），最近 60 个交易日。</t>
  </si>
  <si>
    <t>Hit Ratio</t>
  </si>
  <si>
    <t>Up Count</t>
  </si>
  <si>
    <t>Down Count</t>
  </si>
  <si>
    <t>Average</t>
  </si>
  <si>
    <t>Max</t>
  </si>
  <si>
    <t>Min</t>
  </si>
  <si>
    <t>Count</t>
  </si>
  <si>
    <t>Std</t>
  </si>
  <si>
    <t>Sum</t>
  </si>
  <si>
    <t>日期</t>
  </si>
  <si>
    <t>Ultra NASDAQ-100 ProFunds Investor Class（UOPIX）回报</t>
  </si>
  <si>
    <t>UltraBull ProFund Investor Shares（ULPIX）回报</t>
  </si>
  <si>
    <t>EEM</t>
  </si>
  <si>
    <t>GLD</t>
  </si>
  <si>
    <t>HYG</t>
  </si>
  <si>
    <t>TIP</t>
  </si>
  <si>
    <t>XLF</t>
  </si>
  <si>
    <t>FXY</t>
  </si>
  <si>
    <t>GDX</t>
  </si>
  <si>
    <t>XLC</t>
  </si>
  <si>
    <t>VIX_Chg%</t>
  </si>
  <si>
    <t>VIX&gt;0 且 基金&lt;=-2%，买基金第二天</t>
  </si>
  <si>
    <t>EEM&gt;0 且 GLD&lt;0 且 HYG&gt;0，买基金第二天</t>
  </si>
  <si>
    <t>HYG&lt;0 且 TIP&gt;0，买基金第二天</t>
  </si>
  <si>
    <t>Ultra NASDAQ-100 ProFunds Investor Class（UOPIX）合并效果</t>
  </si>
  <si>
    <t>XLF&lt;=-1% 且 基金&lt;0，买基金第二天</t>
  </si>
  <si>
    <t>FXY&gt;0 且 GDX&gt;0，买基金第二天</t>
  </si>
  <si>
    <t>GDX&gt;0 且 XLC&lt;0，买基金第二天</t>
  </si>
  <si>
    <t>UltraBull ProFund Investor Shares（ULPIX）合并效果</t>
  </si>
  <si>
    <t>2026/08/04</t>
  </si>
  <si>
    <t/>
  </si>
  <si>
    <t>2026/08/03</t>
  </si>
  <si>
    <t>2026/07/31</t>
  </si>
  <si>
    <t>2026/07/30</t>
  </si>
  <si>
    <t>2026/07/29</t>
  </si>
  <si>
    <t>2026/07/28</t>
  </si>
  <si>
    <t>2026/07/27</t>
  </si>
  <si>
    <t>2026/07/24</t>
  </si>
  <si>
    <t>2026/07/23</t>
  </si>
  <si>
    <t>2026/07/22</t>
  </si>
  <si>
    <t>2026/07/21</t>
  </si>
  <si>
    <t>2026/07/20</t>
  </si>
  <si>
    <t>2026/07/17</t>
  </si>
  <si>
    <t>2026/07/16</t>
  </si>
  <si>
    <t>2026/07/15</t>
  </si>
  <si>
    <t>2026/07/14</t>
  </si>
  <si>
    <t>2026/07/13</t>
  </si>
  <si>
    <t>2026/07/10</t>
  </si>
  <si>
    <t>2026/07/09</t>
  </si>
  <si>
    <t>2026/07/08</t>
  </si>
  <si>
    <t>2026/07/07</t>
  </si>
  <si>
    <t>2026/07/06</t>
  </si>
  <si>
    <t>2026/07/02</t>
  </si>
  <si>
    <t>2026/07/01</t>
  </si>
  <si>
    <t>2026/06/30</t>
  </si>
  <si>
    <t>2026/06/29</t>
  </si>
  <si>
    <t>2026/06/26</t>
  </si>
  <si>
    <t>2026/06/25</t>
  </si>
  <si>
    <t>2026/06/24</t>
  </si>
  <si>
    <t>2026/06/23</t>
  </si>
  <si>
    <t>2026/06/22</t>
  </si>
  <si>
    <t>2026/06/18</t>
  </si>
  <si>
    <t>2026/06/17</t>
  </si>
  <si>
    <t>2026/06/16</t>
  </si>
  <si>
    <t>2026/06/15</t>
  </si>
  <si>
    <t>2026/06/12</t>
  </si>
  <si>
    <t>2026/06/11</t>
  </si>
  <si>
    <t>2026/06/10</t>
  </si>
  <si>
    <t>2026/06/09</t>
  </si>
  <si>
    <t>2026/06/08</t>
  </si>
  <si>
    <t>2026/06/05</t>
  </si>
  <si>
    <t>2026/06/04</t>
  </si>
  <si>
    <t>2026/06/03</t>
  </si>
  <si>
    <t>2026/06/02</t>
  </si>
  <si>
    <t>2026/06/01</t>
  </si>
  <si>
    <t>2026/05/29</t>
  </si>
  <si>
    <t>2026/05/28</t>
  </si>
  <si>
    <t>2026/05/27</t>
  </si>
  <si>
    <t>2026/05/26</t>
  </si>
  <si>
    <t>2026/05/22</t>
  </si>
  <si>
    <t>2026/05/21</t>
  </si>
  <si>
    <t>2026/05/20</t>
  </si>
  <si>
    <t>2026/05/19</t>
  </si>
  <si>
    <t>2026/05/18</t>
  </si>
  <si>
    <t>2026/05/15</t>
  </si>
  <si>
    <t>2026/05/14</t>
  </si>
  <si>
    <t>2026/05/13</t>
  </si>
  <si>
    <t>2026/05/12</t>
  </si>
  <si>
    <t>2026/05/11</t>
  </si>
  <si>
    <t>2026/05/08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</si>
</sst>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9"/>
      <name val="Arial"/>
      <charset val="134"/>
    </font>
    <font>
      <sz val="9"/>
      <name val="Arial"/>
      <charset val="134"/>
    </font>
    <font>
      <b/>
      <sz val="14"/>
      <name val="Arial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 applyAlignment="1">
      <alignment vertical="top" wrapText="1"/>
    </xf>
    <xf numFmtId="0" fontId="2" fillId="0" borderId="1" xfId="0" applyFont="1" applyBorder="1"/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topLeftCell="A2" workbookViewId="0">
      <selection activeCell="A27" sqref="A27:A28"/>
    </sheetView>
  </sheetViews>
  <sheetFormatPr defaultColWidth="9" defaultRowHeight="14" outlineLevelRow="7"/>
  <cols>
    <col min="1" max="1" width="110" customWidth="1"/>
  </cols>
  <sheetData>
    <row r="1" ht="18" spans="1:1">
      <c r="A1" s="5" t="s">
        <v>0</v>
      </c>
    </row>
    <row r="3" spans="1:1">
      <c r="A3" t="s">
        <v>1</v>
      </c>
    </row>
    <row r="4" spans="1:1">
      <c r="A4" t="s">
        <v>2</v>
      </c>
    </row>
    <row r="5" spans="1:1">
      <c r="A5" t="s">
        <v>3</v>
      </c>
    </row>
    <row r="6" spans="1:1">
      <c r="A6" t="s">
        <v>4</v>
      </c>
    </row>
    <row r="7" spans="1:1">
      <c r="A7" t="s">
        <v>5</v>
      </c>
    </row>
    <row r="8" spans="1:1">
      <c r="A8" t="s">
        <v>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U73"/>
  <sheetViews>
    <sheetView tabSelected="1" workbookViewId="0">
      <pane xSplit="2" ySplit="13" topLeftCell="P47" activePane="bottomRight" state="frozen"/>
      <selection/>
      <selection pane="topRight"/>
      <selection pane="bottomLeft"/>
      <selection pane="bottomRight" activeCell="U6" sqref="U6"/>
    </sheetView>
  </sheetViews>
  <sheetFormatPr defaultColWidth="9" defaultRowHeight="14"/>
  <cols>
    <col min="2" max="2" width="12" customWidth="1"/>
    <col min="3" max="21" width="16" customWidth="1"/>
  </cols>
  <sheetData>
    <row r="2" spans="2:21">
      <c r="B2" s="1" t="s">
        <v>7</v>
      </c>
      <c r="C2" s="2">
        <f t="shared" ref="C2:U2" si="0">C3/(C3+C4)</f>
        <v>0.516666666666667</v>
      </c>
      <c r="D2" s="2">
        <f t="shared" si="0"/>
        <v>0.559322033898305</v>
      </c>
      <c r="E2" s="2">
        <f t="shared" si="0"/>
        <v>0.518518518518518</v>
      </c>
      <c r="F2" s="2">
        <f t="shared" si="0"/>
        <v>0.5</v>
      </c>
      <c r="G2" s="2">
        <f t="shared" si="0"/>
        <v>0.480769230769231</v>
      </c>
      <c r="H2" s="2">
        <f t="shared" si="0"/>
        <v>0.509803921568627</v>
      </c>
      <c r="I2" s="2">
        <f t="shared" si="0"/>
        <v>0.574074074074074</v>
      </c>
      <c r="J2" s="2">
        <f t="shared" si="0"/>
        <v>0.277777777777778</v>
      </c>
      <c r="K2" s="2">
        <f t="shared" si="0"/>
        <v>0.407407407407407</v>
      </c>
      <c r="L2" s="2">
        <f t="shared" si="0"/>
        <v>0.508474576271186</v>
      </c>
      <c r="M2" s="2">
        <f t="shared" si="0"/>
        <v>0.415094339622642</v>
      </c>
      <c r="N2" s="2">
        <f t="shared" si="0"/>
        <v>0.461538461538462</v>
      </c>
      <c r="O2" s="2">
        <f t="shared" si="0"/>
        <v>0.666666666666667</v>
      </c>
      <c r="P2" s="2">
        <f t="shared" si="0"/>
        <v>0.833333333333333</v>
      </c>
      <c r="Q2" s="2">
        <f t="shared" si="0"/>
        <v>0.608695652173913</v>
      </c>
      <c r="R2" s="2">
        <f t="shared" si="0"/>
        <v>1</v>
      </c>
      <c r="S2" s="2">
        <f t="shared" si="0"/>
        <v>0.727272727272727</v>
      </c>
      <c r="T2" s="2">
        <f t="shared" si="0"/>
        <v>0.5</v>
      </c>
      <c r="U2" s="2">
        <f t="shared" si="0"/>
        <v>0.65</v>
      </c>
    </row>
    <row r="3" spans="2:21">
      <c r="B3" s="1" t="s">
        <v>8</v>
      </c>
      <c r="C3" s="2">
        <f t="shared" ref="C3:U3" si="1">COUNTIF(C14:C73,"&gt;0")</f>
        <v>31</v>
      </c>
      <c r="D3" s="2">
        <f t="shared" si="1"/>
        <v>33</v>
      </c>
      <c r="E3" s="2">
        <f t="shared" si="1"/>
        <v>28</v>
      </c>
      <c r="F3" s="2">
        <f t="shared" si="1"/>
        <v>27</v>
      </c>
      <c r="G3" s="2">
        <f t="shared" si="1"/>
        <v>25</v>
      </c>
      <c r="H3" s="2">
        <f t="shared" si="1"/>
        <v>26</v>
      </c>
      <c r="I3" s="2">
        <f t="shared" si="1"/>
        <v>31</v>
      </c>
      <c r="J3" s="2">
        <f t="shared" si="1"/>
        <v>15</v>
      </c>
      <c r="K3" s="2">
        <f t="shared" si="1"/>
        <v>22</v>
      </c>
      <c r="L3" s="2">
        <f t="shared" si="1"/>
        <v>30</v>
      </c>
      <c r="M3" s="2">
        <f t="shared" si="1"/>
        <v>22</v>
      </c>
      <c r="N3" s="2">
        <f t="shared" si="1"/>
        <v>6</v>
      </c>
      <c r="O3" s="2">
        <f t="shared" si="1"/>
        <v>4</v>
      </c>
      <c r="P3" s="2">
        <f t="shared" si="1"/>
        <v>5</v>
      </c>
      <c r="Q3" s="2">
        <f t="shared" si="1"/>
        <v>14</v>
      </c>
      <c r="R3" s="2">
        <f t="shared" si="1"/>
        <v>3</v>
      </c>
      <c r="S3" s="2">
        <f t="shared" si="1"/>
        <v>8</v>
      </c>
      <c r="T3" s="2">
        <f t="shared" si="1"/>
        <v>5</v>
      </c>
      <c r="U3" s="2">
        <f t="shared" si="1"/>
        <v>13</v>
      </c>
    </row>
    <row r="4" spans="2:21">
      <c r="B4" s="1" t="s">
        <v>9</v>
      </c>
      <c r="C4" s="2">
        <f t="shared" ref="C4:U4" si="2">COUNTIF(C14:C73,"&lt;0")</f>
        <v>29</v>
      </c>
      <c r="D4" s="2">
        <f t="shared" si="2"/>
        <v>26</v>
      </c>
      <c r="E4" s="2">
        <f t="shared" si="2"/>
        <v>26</v>
      </c>
      <c r="F4" s="2">
        <f t="shared" si="2"/>
        <v>27</v>
      </c>
      <c r="G4" s="2">
        <f t="shared" si="2"/>
        <v>27</v>
      </c>
      <c r="H4" s="2">
        <f t="shared" si="2"/>
        <v>25</v>
      </c>
      <c r="I4" s="2">
        <f t="shared" si="2"/>
        <v>23</v>
      </c>
      <c r="J4" s="2">
        <f t="shared" si="2"/>
        <v>39</v>
      </c>
      <c r="K4" s="2">
        <f t="shared" si="2"/>
        <v>32</v>
      </c>
      <c r="L4" s="2">
        <f t="shared" si="2"/>
        <v>29</v>
      </c>
      <c r="M4" s="2">
        <f t="shared" si="2"/>
        <v>31</v>
      </c>
      <c r="N4" s="2">
        <f t="shared" si="2"/>
        <v>7</v>
      </c>
      <c r="O4" s="2">
        <f t="shared" si="2"/>
        <v>2</v>
      </c>
      <c r="P4" s="2">
        <f t="shared" si="2"/>
        <v>1</v>
      </c>
      <c r="Q4" s="2">
        <f t="shared" si="2"/>
        <v>9</v>
      </c>
      <c r="R4" s="2">
        <f t="shared" si="2"/>
        <v>0</v>
      </c>
      <c r="S4" s="2">
        <f t="shared" si="2"/>
        <v>3</v>
      </c>
      <c r="T4" s="2">
        <f t="shared" si="2"/>
        <v>5</v>
      </c>
      <c r="U4" s="2">
        <f t="shared" si="2"/>
        <v>7</v>
      </c>
    </row>
    <row r="5" spans="2:21">
      <c r="B5" s="1" t="s">
        <v>10</v>
      </c>
      <c r="C5" s="2">
        <f t="shared" ref="C5:U5" si="3">AVERAGE(C14:C73)</f>
        <v>0.140783333333333</v>
      </c>
      <c r="D5" s="2">
        <f t="shared" si="3"/>
        <v>0.168875</v>
      </c>
      <c r="E5" s="2">
        <f t="shared" si="3"/>
        <v>-0.0515259259259259</v>
      </c>
      <c r="F5" s="2">
        <f t="shared" si="3"/>
        <v>-0.250874074074074</v>
      </c>
      <c r="G5" s="2">
        <f t="shared" si="3"/>
        <v>0.00453148148148148</v>
      </c>
      <c r="H5" s="2">
        <f t="shared" si="3"/>
        <v>-0.0220722222222222</v>
      </c>
      <c r="I5" s="2">
        <f t="shared" si="3"/>
        <v>0.192518518518519</v>
      </c>
      <c r="J5" s="2">
        <f t="shared" si="3"/>
        <v>-0.0821185185185185</v>
      </c>
      <c r="K5" s="2">
        <f t="shared" si="3"/>
        <v>-0.304316666666667</v>
      </c>
      <c r="L5" s="2">
        <f t="shared" si="3"/>
        <v>-0.0659716666666667</v>
      </c>
      <c r="M5" s="2">
        <f t="shared" si="3"/>
        <v>0.483015094339623</v>
      </c>
      <c r="N5" s="2">
        <f t="shared" si="3"/>
        <v>0.0766461538461538</v>
      </c>
      <c r="O5" s="2">
        <f t="shared" si="3"/>
        <v>0.83365</v>
      </c>
      <c r="P5" s="2">
        <f t="shared" si="3"/>
        <v>0.81575</v>
      </c>
      <c r="Q5" s="2">
        <f t="shared" si="3"/>
        <v>0.644278260869565</v>
      </c>
      <c r="R5" s="2">
        <f t="shared" si="3"/>
        <v>1.51716666666667</v>
      </c>
      <c r="S5" s="2">
        <f t="shared" si="3"/>
        <v>-0.00366363636363634</v>
      </c>
      <c r="T5" s="2">
        <f t="shared" si="3"/>
        <v>0.15913</v>
      </c>
      <c r="U5" s="2">
        <f t="shared" si="3"/>
        <v>0.298095</v>
      </c>
    </row>
    <row r="6" spans="2:21">
      <c r="B6" s="1" t="s">
        <v>11</v>
      </c>
      <c r="C6" s="2">
        <f t="shared" ref="C6:U6" si="4">MAX(C14:C73)</f>
        <v>6.6764</v>
      </c>
      <c r="D6" s="2">
        <f t="shared" si="4"/>
        <v>3.571</v>
      </c>
      <c r="E6" s="2">
        <f t="shared" si="4"/>
        <v>4.3922</v>
      </c>
      <c r="F6" s="2">
        <f t="shared" si="4"/>
        <v>3.1342</v>
      </c>
      <c r="G6" s="2">
        <f t="shared" si="4"/>
        <v>0.6428</v>
      </c>
      <c r="H6" s="2">
        <f t="shared" si="4"/>
        <v>0.3987</v>
      </c>
      <c r="I6" s="2">
        <f t="shared" si="4"/>
        <v>2.5949</v>
      </c>
      <c r="J6" s="2">
        <f t="shared" si="4"/>
        <v>0.9215</v>
      </c>
      <c r="K6" s="2">
        <f t="shared" si="4"/>
        <v>6.5475</v>
      </c>
      <c r="L6" s="2">
        <f t="shared" si="4"/>
        <v>2.864</v>
      </c>
      <c r="M6" s="2">
        <f t="shared" si="4"/>
        <v>39.6753</v>
      </c>
      <c r="N6" s="2">
        <f t="shared" si="4"/>
        <v>6.5687</v>
      </c>
      <c r="O6" s="2">
        <f t="shared" si="4"/>
        <v>3.8099</v>
      </c>
      <c r="P6" s="2">
        <f t="shared" si="4"/>
        <v>4.548</v>
      </c>
      <c r="Q6" s="2">
        <f t="shared" si="4"/>
        <v>6.5687</v>
      </c>
      <c r="R6" s="2">
        <f t="shared" si="4"/>
        <v>2.1166</v>
      </c>
      <c r="S6" s="2">
        <f t="shared" si="4"/>
        <v>2.4508</v>
      </c>
      <c r="T6" s="2">
        <f t="shared" si="4"/>
        <v>3.3263</v>
      </c>
      <c r="U6" s="2">
        <f t="shared" si="4"/>
        <v>3.3263</v>
      </c>
    </row>
    <row r="7" spans="2:21">
      <c r="B7" s="1" t="s">
        <v>12</v>
      </c>
      <c r="C7" s="2">
        <f t="shared" ref="C7:U7" si="5">MIN(C14:C73)</f>
        <v>-9.5612</v>
      </c>
      <c r="D7" s="2">
        <f t="shared" si="5"/>
        <v>-5.269</v>
      </c>
      <c r="E7" s="2">
        <f t="shared" si="5"/>
        <v>-6.5268</v>
      </c>
      <c r="F7" s="2">
        <f t="shared" si="5"/>
        <v>-4.1456</v>
      </c>
      <c r="G7" s="2">
        <f t="shared" si="5"/>
        <v>-0.501</v>
      </c>
      <c r="H7" s="2">
        <f t="shared" si="5"/>
        <v>-0.665</v>
      </c>
      <c r="I7" s="2">
        <f t="shared" si="5"/>
        <v>-1.9269</v>
      </c>
      <c r="J7" s="2">
        <f t="shared" si="5"/>
        <v>-0.6321</v>
      </c>
      <c r="K7" s="2">
        <f t="shared" si="5"/>
        <v>-8.75</v>
      </c>
      <c r="L7" s="2">
        <f t="shared" si="5"/>
        <v>-3.4982</v>
      </c>
      <c r="M7" s="2">
        <f t="shared" si="5"/>
        <v>-12.5113</v>
      </c>
      <c r="N7" s="2">
        <f t="shared" si="5"/>
        <v>-3.978</v>
      </c>
      <c r="O7" s="2">
        <f t="shared" si="5"/>
        <v>-3.978</v>
      </c>
      <c r="P7" s="2">
        <f t="shared" si="5"/>
        <v>-3.808</v>
      </c>
      <c r="Q7" s="2">
        <f t="shared" si="5"/>
        <v>-3.978</v>
      </c>
      <c r="R7" s="2">
        <f t="shared" si="5"/>
        <v>0.8123</v>
      </c>
      <c r="S7" s="2">
        <f t="shared" si="5"/>
        <v>-5.269</v>
      </c>
      <c r="T7" s="2">
        <f t="shared" si="5"/>
        <v>-2.4501</v>
      </c>
      <c r="U7" s="2">
        <f t="shared" si="5"/>
        <v>-5.269</v>
      </c>
    </row>
    <row r="8" spans="2:21">
      <c r="B8" s="1" t="s">
        <v>13</v>
      </c>
      <c r="C8" s="2">
        <f t="shared" ref="C8:U8" si="6">COUNT(C14:C73)</f>
        <v>60</v>
      </c>
      <c r="D8" s="2">
        <f t="shared" si="6"/>
        <v>60</v>
      </c>
      <c r="E8" s="2">
        <f t="shared" si="6"/>
        <v>54</v>
      </c>
      <c r="F8" s="2">
        <f t="shared" si="6"/>
        <v>54</v>
      </c>
      <c r="G8" s="2">
        <f t="shared" si="6"/>
        <v>54</v>
      </c>
      <c r="H8" s="2">
        <f t="shared" si="6"/>
        <v>54</v>
      </c>
      <c r="I8" s="2">
        <f t="shared" si="6"/>
        <v>54</v>
      </c>
      <c r="J8" s="2">
        <f t="shared" si="6"/>
        <v>54</v>
      </c>
      <c r="K8" s="2">
        <f t="shared" si="6"/>
        <v>54</v>
      </c>
      <c r="L8" s="2">
        <f t="shared" si="6"/>
        <v>60</v>
      </c>
      <c r="M8" s="2">
        <f t="shared" si="6"/>
        <v>53</v>
      </c>
      <c r="N8" s="2">
        <f t="shared" si="6"/>
        <v>13</v>
      </c>
      <c r="O8" s="2">
        <f t="shared" si="6"/>
        <v>6</v>
      </c>
      <c r="P8" s="2">
        <f t="shared" si="6"/>
        <v>6</v>
      </c>
      <c r="Q8" s="2">
        <f t="shared" si="6"/>
        <v>23</v>
      </c>
      <c r="R8" s="2">
        <f t="shared" si="6"/>
        <v>3</v>
      </c>
      <c r="S8" s="2">
        <f t="shared" si="6"/>
        <v>11</v>
      </c>
      <c r="T8" s="2">
        <f t="shared" si="6"/>
        <v>10</v>
      </c>
      <c r="U8" s="2">
        <f t="shared" si="6"/>
        <v>20</v>
      </c>
    </row>
    <row r="9" spans="2:21">
      <c r="B9" s="1" t="s">
        <v>14</v>
      </c>
      <c r="C9" s="2">
        <f t="shared" ref="C9:U9" si="7">STDEV(C14:C73)</f>
        <v>3.32570741515891</v>
      </c>
      <c r="D9" s="2">
        <f t="shared" si="7"/>
        <v>1.77045939558023</v>
      </c>
      <c r="E9" s="2">
        <f t="shared" si="7"/>
        <v>2.17053103155375</v>
      </c>
      <c r="F9" s="2">
        <f t="shared" si="7"/>
        <v>1.51083471295877</v>
      </c>
      <c r="G9" s="2">
        <f t="shared" si="7"/>
        <v>0.222934917166655</v>
      </c>
      <c r="H9" s="2">
        <f t="shared" si="7"/>
        <v>0.228508061388426</v>
      </c>
      <c r="I9" s="2">
        <f t="shared" si="7"/>
        <v>0.86547317826268</v>
      </c>
      <c r="J9" s="2">
        <f t="shared" si="7"/>
        <v>0.24402990079247</v>
      </c>
      <c r="K9" s="2">
        <f t="shared" si="7"/>
        <v>3.17380816606801</v>
      </c>
      <c r="L9" s="2">
        <f t="shared" si="7"/>
        <v>1.21361528264453</v>
      </c>
      <c r="M9" s="2">
        <f t="shared" si="7"/>
        <v>8.51287864291501</v>
      </c>
      <c r="N9" s="2">
        <f t="shared" si="7"/>
        <v>3.27712914317175</v>
      </c>
      <c r="O9" s="2">
        <f t="shared" si="7"/>
        <v>2.84590190677753</v>
      </c>
      <c r="P9" s="2">
        <f t="shared" si="7"/>
        <v>2.72372568350779</v>
      </c>
      <c r="Q9" s="2">
        <f t="shared" si="7"/>
        <v>2.93357206366023</v>
      </c>
      <c r="R9" s="2">
        <f t="shared" si="7"/>
        <v>0.65851101990273</v>
      </c>
      <c r="S9" s="2">
        <f t="shared" si="7"/>
        <v>2.11399471109685</v>
      </c>
      <c r="T9" s="2">
        <f t="shared" si="7"/>
        <v>1.57467604290886</v>
      </c>
      <c r="U9" s="2">
        <f t="shared" si="7"/>
        <v>1.84091722146583</v>
      </c>
    </row>
    <row r="10" spans="2:21">
      <c r="B10" s="1" t="s">
        <v>15</v>
      </c>
      <c r="C10" s="2">
        <f t="shared" ref="C10:U10" si="8">SUM(C14:C73)</f>
        <v>8.447</v>
      </c>
      <c r="D10" s="2">
        <f t="shared" si="8"/>
        <v>10.1325</v>
      </c>
      <c r="E10" s="2">
        <f t="shared" si="8"/>
        <v>-2.7824</v>
      </c>
      <c r="F10" s="2">
        <f t="shared" si="8"/>
        <v>-13.5472</v>
      </c>
      <c r="G10" s="2">
        <f t="shared" si="8"/>
        <v>0.2447</v>
      </c>
      <c r="H10" s="2">
        <f t="shared" si="8"/>
        <v>-1.1919</v>
      </c>
      <c r="I10" s="2">
        <f t="shared" si="8"/>
        <v>10.396</v>
      </c>
      <c r="J10" s="2">
        <f t="shared" si="8"/>
        <v>-4.4344</v>
      </c>
      <c r="K10" s="2">
        <f t="shared" si="8"/>
        <v>-16.4331</v>
      </c>
      <c r="L10" s="2">
        <f t="shared" si="8"/>
        <v>-3.9583</v>
      </c>
      <c r="M10" s="2">
        <f t="shared" si="8"/>
        <v>25.5998</v>
      </c>
      <c r="N10" s="2">
        <f t="shared" si="8"/>
        <v>0.996399999999999</v>
      </c>
      <c r="O10" s="2">
        <f t="shared" si="8"/>
        <v>5.0019</v>
      </c>
      <c r="P10" s="2">
        <f t="shared" si="8"/>
        <v>4.8945</v>
      </c>
      <c r="Q10" s="2">
        <f t="shared" si="8"/>
        <v>14.8184</v>
      </c>
      <c r="R10" s="2">
        <f t="shared" si="8"/>
        <v>4.5515</v>
      </c>
      <c r="S10" s="2">
        <f t="shared" si="8"/>
        <v>-0.0402999999999998</v>
      </c>
      <c r="T10" s="2">
        <f t="shared" si="8"/>
        <v>1.5913</v>
      </c>
      <c r="U10" s="2">
        <f t="shared" si="8"/>
        <v>5.9619</v>
      </c>
    </row>
    <row r="13" ht="47" spans="2:21">
      <c r="B13" s="3" t="s">
        <v>16</v>
      </c>
      <c r="C13" s="3" t="s">
        <v>17</v>
      </c>
      <c r="D13" s="3" t="s">
        <v>18</v>
      </c>
      <c r="E13" s="3" t="s">
        <v>19</v>
      </c>
      <c r="F13" s="3" t="s">
        <v>20</v>
      </c>
      <c r="G13" s="3" t="s">
        <v>21</v>
      </c>
      <c r="H13" s="3" t="s">
        <v>22</v>
      </c>
      <c r="I13" s="3" t="s">
        <v>23</v>
      </c>
      <c r="J13" s="3" t="s">
        <v>24</v>
      </c>
      <c r="K13" s="3" t="s">
        <v>25</v>
      </c>
      <c r="L13" s="3" t="s">
        <v>26</v>
      </c>
      <c r="M13" s="3" t="s">
        <v>27</v>
      </c>
      <c r="N13" s="3" t="s">
        <v>28</v>
      </c>
      <c r="O13" s="3" t="s">
        <v>29</v>
      </c>
      <c r="P13" s="3" t="s">
        <v>30</v>
      </c>
      <c r="Q13" s="3" t="s">
        <v>31</v>
      </c>
      <c r="R13" s="3" t="s">
        <v>32</v>
      </c>
      <c r="S13" s="3" t="s">
        <v>33</v>
      </c>
      <c r="T13" s="3" t="s">
        <v>34</v>
      </c>
      <c r="U13" s="3" t="s">
        <v>35</v>
      </c>
    </row>
    <row r="14" spans="2:21">
      <c r="B14" s="4" t="s">
        <v>36</v>
      </c>
      <c r="C14" s="4">
        <v>6.645</v>
      </c>
      <c r="D14" s="4">
        <v>3.571</v>
      </c>
      <c r="E14" s="4"/>
      <c r="F14" s="4"/>
      <c r="G14" s="4"/>
      <c r="H14" s="4"/>
      <c r="I14" s="4"/>
      <c r="J14" s="4"/>
      <c r="K14" s="4"/>
      <c r="L14" s="4">
        <v>0.6287</v>
      </c>
      <c r="M14" s="4"/>
      <c r="N14" s="4" t="s">
        <v>37</v>
      </c>
      <c r="O14" s="4" t="s">
        <v>37</v>
      </c>
      <c r="P14" s="4" t="s">
        <v>37</v>
      </c>
      <c r="Q14" s="4" t="str">
        <f t="shared" ref="Q14:Q73" si="9">IF(AND(ISNUMBER(N14),0.549579&gt;=MAX(IF(ISNUMBER(O14),0.299732,-1),IF(ISNUMBER(P14),0.323835,-1))),N14,IF(AND(ISNUMBER(O14),0.299732&gt;MAX(IF(ISNUMBER(N14),0.549579,-1),IF(ISNUMBER(P14),0.323835,-1))),O14,IF(AND(ISNUMBER(P14),0.323835&gt;MAX(IF(ISNUMBER(N14),0.549579,-1),IF(ISNUMBER(O14),0.299732,-1))),P14,"")))</f>
        <v/>
      </c>
      <c r="R14" s="4" t="s">
        <v>37</v>
      </c>
      <c r="S14" s="4" t="s">
        <v>37</v>
      </c>
      <c r="T14" s="4" t="s">
        <v>37</v>
      </c>
      <c r="U14" s="4" t="str">
        <f t="shared" ref="U14:U73" si="10">IF(AND(ISNUMBER(R14),0.408167&gt;=MAX(IF(ISNUMBER(S14),0.31868,-1),IF(ISNUMBER(T14),0.510996,-1))),R14,IF(AND(ISNUMBER(S14),0.31868&gt;MAX(IF(ISNUMBER(R14),0.408167,-1),IF(ISNUMBER(T14),0.510996,-1))),S14,IF(AND(ISNUMBER(T14),0.510996&gt;MAX(IF(ISNUMBER(R14),0.408167,-1),IF(ISNUMBER(S14),0.31868,-1))),T14,"")))</f>
        <v/>
      </c>
    </row>
    <row r="15" spans="2:21">
      <c r="B15" s="4" t="s">
        <v>38</v>
      </c>
      <c r="C15" s="4">
        <v>3.4993</v>
      </c>
      <c r="D15" s="4">
        <v>2.9058</v>
      </c>
      <c r="E15" s="4"/>
      <c r="F15" s="4"/>
      <c r="G15" s="4"/>
      <c r="H15" s="4"/>
      <c r="I15" s="4"/>
      <c r="J15" s="4"/>
      <c r="K15" s="4"/>
      <c r="L15" s="4">
        <v>2.864</v>
      </c>
      <c r="M15" s="4"/>
      <c r="N15" s="4" t="str">
        <f t="shared" ref="N15:N73" si="11">IF(AND(M15&gt;0,C15&lt;=-2),C14,"")</f>
        <v/>
      </c>
      <c r="O15" s="4" t="str">
        <f t="shared" ref="O15:O73" si="12">IF(AND(E15&gt;0,F15&lt;0,G15&gt;0),C14,"")</f>
        <v/>
      </c>
      <c r="P15" s="4" t="str">
        <f t="shared" ref="P15:P73" si="13">IF(AND(G15&lt;0,H15&gt;0),C14,"")</f>
        <v/>
      </c>
      <c r="Q15" s="4" t="str">
        <f t="shared" si="9"/>
        <v/>
      </c>
      <c r="R15" s="4" t="str">
        <f t="shared" ref="R15:R73" si="14">IF(AND(I15&lt;=-1,D15&lt;0),D14,"")</f>
        <v/>
      </c>
      <c r="S15" s="4" t="str">
        <f t="shared" ref="S15:S73" si="15">IF(AND(J15&gt;0,K15&gt;0),D14,"")</f>
        <v/>
      </c>
      <c r="T15" s="4" t="str">
        <f t="shared" ref="T15:T73" si="16">IF(AND(K15&gt;0,L15&lt;0),D14,"")</f>
        <v/>
      </c>
      <c r="U15" s="4" t="str">
        <f t="shared" si="10"/>
        <v/>
      </c>
    </row>
    <row r="16" spans="2:21">
      <c r="B16" s="4" t="s">
        <v>39</v>
      </c>
      <c r="C16" s="4">
        <v>1.1986</v>
      </c>
      <c r="D16" s="4">
        <v>1.3924</v>
      </c>
      <c r="E16" s="4"/>
      <c r="F16" s="4"/>
      <c r="G16" s="4"/>
      <c r="H16" s="4"/>
      <c r="I16" s="4"/>
      <c r="J16" s="4"/>
      <c r="K16" s="4"/>
      <c r="L16" s="4">
        <v>1.5575</v>
      </c>
      <c r="M16" s="4"/>
      <c r="N16" s="4" t="str">
        <f t="shared" si="11"/>
        <v/>
      </c>
      <c r="O16" s="4" t="str">
        <f t="shared" si="12"/>
        <v/>
      </c>
      <c r="P16" s="4" t="str">
        <f t="shared" si="13"/>
        <v/>
      </c>
      <c r="Q16" s="4" t="str">
        <f t="shared" si="9"/>
        <v/>
      </c>
      <c r="R16" s="4" t="str">
        <f t="shared" si="14"/>
        <v/>
      </c>
      <c r="S16" s="4" t="str">
        <f t="shared" si="15"/>
        <v/>
      </c>
      <c r="T16" s="4" t="str">
        <f t="shared" si="16"/>
        <v/>
      </c>
      <c r="U16" s="4" t="str">
        <f t="shared" si="10"/>
        <v/>
      </c>
    </row>
    <row r="17" spans="2:21">
      <c r="B17" s="4" t="s">
        <v>40</v>
      </c>
      <c r="C17" s="4">
        <v>6.6764</v>
      </c>
      <c r="D17" s="4">
        <v>3.3084</v>
      </c>
      <c r="E17" s="4"/>
      <c r="F17" s="4"/>
      <c r="G17" s="4"/>
      <c r="H17" s="4"/>
      <c r="I17" s="4"/>
      <c r="J17" s="4"/>
      <c r="K17" s="4"/>
      <c r="L17" s="4">
        <v>-2.6756</v>
      </c>
      <c r="M17" s="4"/>
      <c r="N17" s="4" t="str">
        <f t="shared" si="11"/>
        <v/>
      </c>
      <c r="O17" s="4" t="str">
        <f t="shared" si="12"/>
        <v/>
      </c>
      <c r="P17" s="4" t="str">
        <f t="shared" si="13"/>
        <v/>
      </c>
      <c r="Q17" s="4" t="str">
        <f t="shared" si="9"/>
        <v/>
      </c>
      <c r="R17" s="4" t="str">
        <f t="shared" si="14"/>
        <v/>
      </c>
      <c r="S17" s="4" t="str">
        <f t="shared" si="15"/>
        <v/>
      </c>
      <c r="T17" s="4" t="str">
        <f t="shared" si="16"/>
        <v/>
      </c>
      <c r="U17" s="4" t="str">
        <f t="shared" si="10"/>
        <v/>
      </c>
    </row>
    <row r="18" spans="2:21">
      <c r="B18" s="4" t="s">
        <v>41</v>
      </c>
      <c r="C18" s="4">
        <v>-4.1234</v>
      </c>
      <c r="D18" s="4">
        <v>-3.0621</v>
      </c>
      <c r="E18" s="4"/>
      <c r="F18" s="4"/>
      <c r="G18" s="4"/>
      <c r="H18" s="4"/>
      <c r="I18" s="4"/>
      <c r="J18" s="4"/>
      <c r="K18" s="4"/>
      <c r="L18" s="4">
        <v>-0.1459</v>
      </c>
      <c r="M18" s="4"/>
      <c r="N18" s="4" t="str">
        <f t="shared" si="11"/>
        <v/>
      </c>
      <c r="O18" s="4" t="str">
        <f t="shared" si="12"/>
        <v/>
      </c>
      <c r="P18" s="4" t="str">
        <f t="shared" si="13"/>
        <v/>
      </c>
      <c r="Q18" s="4" t="str">
        <f t="shared" si="9"/>
        <v/>
      </c>
      <c r="R18" s="4" t="str">
        <f t="shared" si="14"/>
        <v/>
      </c>
      <c r="S18" s="4" t="str">
        <f t="shared" si="15"/>
        <v/>
      </c>
      <c r="T18" s="4" t="str">
        <f t="shared" si="16"/>
        <v/>
      </c>
      <c r="U18" s="4" t="str">
        <f t="shared" si="10"/>
        <v/>
      </c>
    </row>
    <row r="19" spans="2:21">
      <c r="B19" s="4" t="s">
        <v>42</v>
      </c>
      <c r="C19" s="4">
        <v>-1.9732</v>
      </c>
      <c r="D19" s="4">
        <v>0.4201</v>
      </c>
      <c r="E19" s="4"/>
      <c r="F19" s="4"/>
      <c r="G19" s="4"/>
      <c r="H19" s="4"/>
      <c r="I19" s="4"/>
      <c r="J19" s="4"/>
      <c r="K19" s="4"/>
      <c r="L19" s="4">
        <v>1.867</v>
      </c>
      <c r="M19" s="4"/>
      <c r="N19" s="4" t="str">
        <f t="shared" si="11"/>
        <v/>
      </c>
      <c r="O19" s="4" t="str">
        <f t="shared" si="12"/>
        <v/>
      </c>
      <c r="P19" s="4" t="str">
        <f t="shared" si="13"/>
        <v/>
      </c>
      <c r="Q19" s="4" t="str">
        <f t="shared" si="9"/>
        <v/>
      </c>
      <c r="R19" s="4" t="str">
        <f t="shared" si="14"/>
        <v/>
      </c>
      <c r="S19" s="4" t="str">
        <f t="shared" si="15"/>
        <v/>
      </c>
      <c r="T19" s="4" t="str">
        <f t="shared" si="16"/>
        <v/>
      </c>
      <c r="U19" s="4" t="str">
        <f t="shared" si="10"/>
        <v/>
      </c>
    </row>
    <row r="20" spans="2:21">
      <c r="B20" s="4" t="s">
        <v>43</v>
      </c>
      <c r="C20" s="4">
        <v>-0.6849</v>
      </c>
      <c r="D20" s="4">
        <v>-0.0112</v>
      </c>
      <c r="E20" s="4">
        <v>0.4579</v>
      </c>
      <c r="F20" s="4">
        <v>0.7341</v>
      </c>
      <c r="G20" s="4">
        <v>0.0505</v>
      </c>
      <c r="H20" s="4">
        <v>-0.1023</v>
      </c>
      <c r="I20" s="4">
        <v>1.0123</v>
      </c>
      <c r="J20" s="4">
        <v>-0.0535</v>
      </c>
      <c r="K20" s="4">
        <v>0.6646</v>
      </c>
      <c r="L20" s="4">
        <v>1.2794</v>
      </c>
      <c r="M20" s="4"/>
      <c r="N20" s="4" t="str">
        <f t="shared" si="11"/>
        <v/>
      </c>
      <c r="O20" s="4" t="str">
        <f t="shared" si="12"/>
        <v/>
      </c>
      <c r="P20" s="4" t="str">
        <f t="shared" si="13"/>
        <v/>
      </c>
      <c r="Q20" s="4" t="str">
        <f t="shared" si="9"/>
        <v/>
      </c>
      <c r="R20" s="4" t="str">
        <f t="shared" si="14"/>
        <v/>
      </c>
      <c r="S20" s="4" t="str">
        <f t="shared" si="15"/>
        <v/>
      </c>
      <c r="T20" s="4" t="str">
        <f t="shared" si="16"/>
        <v/>
      </c>
      <c r="U20" s="4" t="str">
        <f t="shared" si="10"/>
        <v/>
      </c>
    </row>
    <row r="21" spans="2:21">
      <c r="B21" s="4" t="s">
        <v>44</v>
      </c>
      <c r="C21" s="4">
        <v>-2.2989</v>
      </c>
      <c r="D21" s="4">
        <v>0.1065</v>
      </c>
      <c r="E21" s="4">
        <v>-1.9659</v>
      </c>
      <c r="F21" s="4">
        <v>0.1023</v>
      </c>
      <c r="G21" s="4">
        <v>0</v>
      </c>
      <c r="H21" s="4">
        <v>0.0093</v>
      </c>
      <c r="I21" s="4">
        <v>0.8598</v>
      </c>
      <c r="J21" s="4">
        <v>0.0536</v>
      </c>
      <c r="K21" s="4">
        <v>0.2799</v>
      </c>
      <c r="L21" s="4">
        <v>0.873</v>
      </c>
      <c r="M21" s="4">
        <v>-0.6417</v>
      </c>
      <c r="N21" s="4" t="str">
        <f t="shared" si="11"/>
        <v/>
      </c>
      <c r="O21" s="4" t="str">
        <f t="shared" si="12"/>
        <v/>
      </c>
      <c r="P21" s="4" t="str">
        <f t="shared" si="13"/>
        <v/>
      </c>
      <c r="Q21" s="4" t="str">
        <f t="shared" si="9"/>
        <v/>
      </c>
      <c r="R21" s="4" t="str">
        <f t="shared" si="14"/>
        <v/>
      </c>
      <c r="S21" s="4">
        <f t="shared" si="15"/>
        <v>-0.0112</v>
      </c>
      <c r="T21" s="4" t="str">
        <f t="shared" si="16"/>
        <v/>
      </c>
      <c r="U21" s="4">
        <f t="shared" si="10"/>
        <v>-0.0112</v>
      </c>
    </row>
    <row r="22" spans="2:21">
      <c r="B22" s="4" t="s">
        <v>45</v>
      </c>
      <c r="C22" s="4">
        <v>-3.7802</v>
      </c>
      <c r="D22" s="4">
        <v>-2.4501</v>
      </c>
      <c r="E22" s="4">
        <v>-0.6001</v>
      </c>
      <c r="F22" s="4">
        <v>-2.0046</v>
      </c>
      <c r="G22" s="4">
        <v>-0.3647</v>
      </c>
      <c r="H22" s="4">
        <v>-0.2598</v>
      </c>
      <c r="I22" s="4">
        <v>-0.3925</v>
      </c>
      <c r="J22" s="4">
        <v>-0.3913</v>
      </c>
      <c r="K22" s="4">
        <v>-2.1648</v>
      </c>
      <c r="L22" s="4">
        <v>-3.4982</v>
      </c>
      <c r="M22" s="4">
        <v>12.3798</v>
      </c>
      <c r="N22" s="4">
        <f t="shared" si="11"/>
        <v>-2.2989</v>
      </c>
      <c r="O22" s="4" t="str">
        <f t="shared" si="12"/>
        <v/>
      </c>
      <c r="P22" s="4" t="str">
        <f t="shared" si="13"/>
        <v/>
      </c>
      <c r="Q22" s="4">
        <f t="shared" si="9"/>
        <v>-2.2989</v>
      </c>
      <c r="R22" s="4" t="str">
        <f t="shared" si="14"/>
        <v/>
      </c>
      <c r="S22" s="4" t="str">
        <f t="shared" si="15"/>
        <v/>
      </c>
      <c r="T22" s="4" t="str">
        <f t="shared" si="16"/>
        <v/>
      </c>
      <c r="U22" s="4" t="str">
        <f t="shared" si="10"/>
        <v/>
      </c>
    </row>
    <row r="23" spans="2:21">
      <c r="B23" s="4" t="s">
        <v>46</v>
      </c>
      <c r="C23" s="4">
        <v>-1.0783</v>
      </c>
      <c r="D23" s="4">
        <v>-0.2673</v>
      </c>
      <c r="E23" s="4">
        <v>-0.5357</v>
      </c>
      <c r="F23" s="4">
        <v>1.1499</v>
      </c>
      <c r="G23" s="4">
        <v>-0.1632</v>
      </c>
      <c r="H23" s="4">
        <v>-0.102</v>
      </c>
      <c r="I23" s="4">
        <v>-0.1069</v>
      </c>
      <c r="J23" s="4">
        <v>0.0178</v>
      </c>
      <c r="K23" s="4">
        <v>3.3562</v>
      </c>
      <c r="L23" s="4">
        <v>-0.7543</v>
      </c>
      <c r="M23" s="4">
        <v>-2.4047</v>
      </c>
      <c r="N23" s="4" t="str">
        <f t="shared" si="11"/>
        <v/>
      </c>
      <c r="O23" s="4" t="str">
        <f t="shared" si="12"/>
        <v/>
      </c>
      <c r="P23" s="4" t="str">
        <f t="shared" si="13"/>
        <v/>
      </c>
      <c r="Q23" s="4" t="str">
        <f t="shared" si="9"/>
        <v/>
      </c>
      <c r="R23" s="4" t="str">
        <f t="shared" si="14"/>
        <v/>
      </c>
      <c r="S23" s="4">
        <f t="shared" si="15"/>
        <v>-2.4501</v>
      </c>
      <c r="T23" s="4">
        <f t="shared" si="16"/>
        <v>-2.4501</v>
      </c>
      <c r="U23" s="4">
        <f t="shared" si="10"/>
        <v>-2.4501</v>
      </c>
    </row>
    <row r="24" spans="2:21">
      <c r="B24" s="4" t="s">
        <v>47</v>
      </c>
      <c r="C24" s="4">
        <v>3.8099</v>
      </c>
      <c r="D24" s="4">
        <v>1.7256</v>
      </c>
      <c r="E24" s="4">
        <v>2.8005</v>
      </c>
      <c r="F24" s="4">
        <v>1.9614</v>
      </c>
      <c r="G24" s="4">
        <v>-0.0377</v>
      </c>
      <c r="H24" s="4">
        <v>-0.1573</v>
      </c>
      <c r="I24" s="4">
        <v>0.1249</v>
      </c>
      <c r="J24" s="4">
        <v>-0.4251</v>
      </c>
      <c r="K24" s="4">
        <v>4.877</v>
      </c>
      <c r="L24" s="4">
        <v>-0.6949</v>
      </c>
      <c r="M24" s="4">
        <v>-8.5791</v>
      </c>
      <c r="N24" s="4" t="str">
        <f t="shared" si="11"/>
        <v/>
      </c>
      <c r="O24" s="4" t="str">
        <f t="shared" si="12"/>
        <v/>
      </c>
      <c r="P24" s="4" t="str">
        <f t="shared" si="13"/>
        <v/>
      </c>
      <c r="Q24" s="4" t="str">
        <f t="shared" si="9"/>
        <v/>
      </c>
      <c r="R24" s="4" t="str">
        <f t="shared" si="14"/>
        <v/>
      </c>
      <c r="S24" s="4" t="str">
        <f t="shared" si="15"/>
        <v/>
      </c>
      <c r="T24" s="4">
        <f t="shared" si="16"/>
        <v>-0.2673</v>
      </c>
      <c r="U24" s="4">
        <f t="shared" si="10"/>
        <v>-0.2673</v>
      </c>
    </row>
    <row r="25" spans="2:21">
      <c r="B25" s="4" t="s">
        <v>48</v>
      </c>
      <c r="C25" s="4">
        <v>0.0524</v>
      </c>
      <c r="D25" s="4">
        <v>-0.4144</v>
      </c>
      <c r="E25" s="4">
        <v>0.4266</v>
      </c>
      <c r="F25" s="4">
        <v>-0.2199</v>
      </c>
      <c r="G25" s="4">
        <v>0.0377</v>
      </c>
      <c r="H25" s="4">
        <v>-0.2032</v>
      </c>
      <c r="I25" s="4">
        <v>-0.391</v>
      </c>
      <c r="J25" s="4">
        <v>-0.0885</v>
      </c>
      <c r="K25" s="4">
        <v>-0.8132</v>
      </c>
      <c r="L25" s="4">
        <v>0.1356</v>
      </c>
      <c r="M25" s="4">
        <v>-0.6393</v>
      </c>
      <c r="N25" s="4" t="str">
        <f t="shared" si="11"/>
        <v/>
      </c>
      <c r="O25" s="4">
        <f t="shared" si="12"/>
        <v>3.8099</v>
      </c>
      <c r="P25" s="4" t="str">
        <f t="shared" si="13"/>
        <v/>
      </c>
      <c r="Q25" s="4">
        <f t="shared" si="9"/>
        <v>3.8099</v>
      </c>
      <c r="R25" s="4" t="str">
        <f t="shared" si="14"/>
        <v/>
      </c>
      <c r="S25" s="4" t="str">
        <f t="shared" si="15"/>
        <v/>
      </c>
      <c r="T25" s="4" t="str">
        <f t="shared" si="16"/>
        <v/>
      </c>
      <c r="U25" s="4" t="str">
        <f t="shared" si="10"/>
        <v/>
      </c>
    </row>
    <row r="26" spans="2:21">
      <c r="B26" s="4" t="s">
        <v>49</v>
      </c>
      <c r="C26" s="4">
        <v>-3.0049</v>
      </c>
      <c r="D26" s="4">
        <v>-2.03</v>
      </c>
      <c r="E26" s="4">
        <v>-1.4021</v>
      </c>
      <c r="F26" s="4">
        <v>0.9453</v>
      </c>
      <c r="G26" s="4">
        <v>-0.188</v>
      </c>
      <c r="H26" s="4">
        <v>0.2779</v>
      </c>
      <c r="I26" s="4">
        <v>-0.8634</v>
      </c>
      <c r="J26" s="4">
        <v>0.1063</v>
      </c>
      <c r="K26" s="4">
        <v>-0.112</v>
      </c>
      <c r="L26" s="4">
        <v>-1.7754</v>
      </c>
      <c r="M26" s="4">
        <v>12.1937</v>
      </c>
      <c r="N26" s="4">
        <f t="shared" si="11"/>
        <v>0.0524</v>
      </c>
      <c r="O26" s="4" t="str">
        <f t="shared" si="12"/>
        <v/>
      </c>
      <c r="P26" s="4">
        <f t="shared" si="13"/>
        <v>0.0524</v>
      </c>
      <c r="Q26" s="4">
        <f t="shared" si="9"/>
        <v>0.0524</v>
      </c>
      <c r="R26" s="4" t="str">
        <f t="shared" si="14"/>
        <v/>
      </c>
      <c r="S26" s="4" t="str">
        <f t="shared" si="15"/>
        <v/>
      </c>
      <c r="T26" s="4" t="str">
        <f t="shared" si="16"/>
        <v/>
      </c>
      <c r="U26" s="4" t="str">
        <f t="shared" si="10"/>
        <v/>
      </c>
    </row>
    <row r="27" spans="2:21">
      <c r="B27" s="4" t="s">
        <v>50</v>
      </c>
      <c r="C27" s="4">
        <v>-3.2514</v>
      </c>
      <c r="D27" s="4">
        <v>-1.0393</v>
      </c>
      <c r="E27" s="4">
        <v>-2.1046</v>
      </c>
      <c r="F27" s="4">
        <v>-1.9847</v>
      </c>
      <c r="G27" s="4">
        <v>-0.0125</v>
      </c>
      <c r="H27" s="4">
        <v>-0.0925</v>
      </c>
      <c r="I27" s="4">
        <v>0.3359</v>
      </c>
      <c r="J27" s="4">
        <v>-0.1415</v>
      </c>
      <c r="K27" s="4">
        <v>-3.5135</v>
      </c>
      <c r="L27" s="4">
        <v>-0.6439</v>
      </c>
      <c r="M27" s="4">
        <v>6.7645</v>
      </c>
      <c r="N27" s="4">
        <f t="shared" si="11"/>
        <v>-3.0049</v>
      </c>
      <c r="O27" s="4" t="str">
        <f t="shared" si="12"/>
        <v/>
      </c>
      <c r="P27" s="4" t="str">
        <f t="shared" si="13"/>
        <v/>
      </c>
      <c r="Q27" s="4">
        <f t="shared" si="9"/>
        <v>-3.0049</v>
      </c>
      <c r="R27" s="4" t="str">
        <f t="shared" si="14"/>
        <v/>
      </c>
      <c r="S27" s="4" t="str">
        <f t="shared" si="15"/>
        <v/>
      </c>
      <c r="T27" s="4" t="str">
        <f t="shared" si="16"/>
        <v/>
      </c>
      <c r="U27" s="4" t="str">
        <f t="shared" si="10"/>
        <v/>
      </c>
    </row>
    <row r="28" spans="2:21">
      <c r="B28" s="4" t="s">
        <v>51</v>
      </c>
      <c r="C28" s="4">
        <v>-0.5866</v>
      </c>
      <c r="D28" s="4">
        <v>0.7557</v>
      </c>
      <c r="E28" s="4">
        <v>-0.1523</v>
      </c>
      <c r="F28" s="4">
        <v>0.0537</v>
      </c>
      <c r="G28" s="4">
        <v>0.1632</v>
      </c>
      <c r="H28" s="4">
        <v>0.0556</v>
      </c>
      <c r="I28" s="4">
        <v>0.6764</v>
      </c>
      <c r="J28" s="4">
        <v>-0.0707</v>
      </c>
      <c r="K28" s="4">
        <v>-1.1752</v>
      </c>
      <c r="L28" s="4">
        <v>1.7317</v>
      </c>
      <c r="M28" s="4">
        <v>-5.0303</v>
      </c>
      <c r="N28" s="4" t="str">
        <f t="shared" si="11"/>
        <v/>
      </c>
      <c r="O28" s="4" t="str">
        <f t="shared" si="12"/>
        <v/>
      </c>
      <c r="P28" s="4" t="str">
        <f t="shared" si="13"/>
        <v/>
      </c>
      <c r="Q28" s="4" t="str">
        <f t="shared" si="9"/>
        <v/>
      </c>
      <c r="R28" s="4" t="str">
        <f t="shared" si="14"/>
        <v/>
      </c>
      <c r="S28" s="4" t="str">
        <f t="shared" si="15"/>
        <v/>
      </c>
      <c r="T28" s="4" t="str">
        <f t="shared" si="16"/>
        <v/>
      </c>
      <c r="U28" s="4" t="str">
        <f t="shared" si="10"/>
        <v/>
      </c>
    </row>
    <row r="29" spans="2:21">
      <c r="B29" s="4" t="s">
        <v>52</v>
      </c>
      <c r="C29" s="4">
        <v>2.1917</v>
      </c>
      <c r="D29" s="4">
        <v>0.7285</v>
      </c>
      <c r="E29" s="4">
        <v>1.814</v>
      </c>
      <c r="F29" s="4">
        <v>1.3674</v>
      </c>
      <c r="G29" s="4">
        <v>0.2012</v>
      </c>
      <c r="H29" s="4">
        <v>0.0927</v>
      </c>
      <c r="I29" s="4">
        <v>0.1962</v>
      </c>
      <c r="J29" s="4">
        <v>0.1948</v>
      </c>
      <c r="K29" s="4">
        <v>2.0581</v>
      </c>
      <c r="L29" s="4">
        <v>-0.1255</v>
      </c>
      <c r="M29" s="4">
        <v>-3.8462</v>
      </c>
      <c r="N29" s="4" t="str">
        <f t="shared" si="11"/>
        <v/>
      </c>
      <c r="O29" s="4" t="str">
        <f t="shared" si="12"/>
        <v/>
      </c>
      <c r="P29" s="4" t="str">
        <f t="shared" si="13"/>
        <v/>
      </c>
      <c r="Q29" s="4" t="str">
        <f t="shared" si="9"/>
        <v/>
      </c>
      <c r="R29" s="4" t="str">
        <f t="shared" si="14"/>
        <v/>
      </c>
      <c r="S29" s="4">
        <f t="shared" si="15"/>
        <v>0.7557</v>
      </c>
      <c r="T29" s="4">
        <f t="shared" si="16"/>
        <v>0.7557</v>
      </c>
      <c r="U29" s="4">
        <f t="shared" si="10"/>
        <v>0.7557</v>
      </c>
    </row>
    <row r="30" spans="2:21">
      <c r="B30" s="4" t="s">
        <v>53</v>
      </c>
      <c r="C30" s="4">
        <v>-3.808</v>
      </c>
      <c r="D30" s="4">
        <v>-1.6154</v>
      </c>
      <c r="E30" s="4">
        <v>-3.5874</v>
      </c>
      <c r="F30" s="4">
        <v>-2.6206</v>
      </c>
      <c r="G30" s="4">
        <v>-0.2384</v>
      </c>
      <c r="H30" s="4">
        <v>-0.2035</v>
      </c>
      <c r="I30" s="4">
        <v>0.6462</v>
      </c>
      <c r="J30" s="4">
        <v>-0.4935</v>
      </c>
      <c r="K30" s="4">
        <v>-2.8598</v>
      </c>
      <c r="L30" s="4">
        <v>-0.0448</v>
      </c>
      <c r="M30" s="4">
        <v>14.1717</v>
      </c>
      <c r="N30" s="4">
        <f t="shared" si="11"/>
        <v>2.1917</v>
      </c>
      <c r="O30" s="4" t="str">
        <f t="shared" si="12"/>
        <v/>
      </c>
      <c r="P30" s="4" t="str">
        <f t="shared" si="13"/>
        <v/>
      </c>
      <c r="Q30" s="4">
        <f t="shared" si="9"/>
        <v>2.1917</v>
      </c>
      <c r="R30" s="4" t="str">
        <f t="shared" si="14"/>
        <v/>
      </c>
      <c r="S30" s="4" t="str">
        <f t="shared" si="15"/>
        <v/>
      </c>
      <c r="T30" s="4" t="str">
        <f t="shared" si="16"/>
        <v/>
      </c>
      <c r="U30" s="4" t="str">
        <f t="shared" si="10"/>
        <v/>
      </c>
    </row>
    <row r="31" spans="2:21">
      <c r="B31" s="4" t="s">
        <v>54</v>
      </c>
      <c r="C31" s="4">
        <v>0.6408</v>
      </c>
      <c r="D31" s="4">
        <v>0.8469</v>
      </c>
      <c r="E31" s="4">
        <v>0.1797</v>
      </c>
      <c r="F31" s="4">
        <v>-0.3094</v>
      </c>
      <c r="G31" s="4">
        <v>-0.0502</v>
      </c>
      <c r="H31" s="4">
        <v>0.0092</v>
      </c>
      <c r="I31" s="4">
        <v>0.3061</v>
      </c>
      <c r="J31" s="4">
        <v>0.4603</v>
      </c>
      <c r="K31" s="4">
        <v>-0.3299</v>
      </c>
      <c r="L31" s="4">
        <v>1.0225</v>
      </c>
      <c r="M31" s="4">
        <v>-5.1136</v>
      </c>
      <c r="N31" s="4" t="str">
        <f t="shared" si="11"/>
        <v/>
      </c>
      <c r="O31" s="4" t="str">
        <f t="shared" si="12"/>
        <v/>
      </c>
      <c r="P31" s="4">
        <f t="shared" si="13"/>
        <v>-3.808</v>
      </c>
      <c r="Q31" s="4">
        <f t="shared" si="9"/>
        <v>-3.808</v>
      </c>
      <c r="R31" s="4" t="str">
        <f t="shared" si="14"/>
        <v/>
      </c>
      <c r="S31" s="4" t="str">
        <f t="shared" si="15"/>
        <v/>
      </c>
      <c r="T31" s="4" t="str">
        <f t="shared" si="16"/>
        <v/>
      </c>
      <c r="U31" s="4" t="str">
        <f t="shared" si="10"/>
        <v/>
      </c>
    </row>
    <row r="32" spans="2:21">
      <c r="B32" s="4" t="s">
        <v>55</v>
      </c>
      <c r="C32" s="4">
        <v>3.2324</v>
      </c>
      <c r="D32" s="4">
        <v>1.6226</v>
      </c>
      <c r="E32" s="4">
        <v>0.8304</v>
      </c>
      <c r="F32" s="4">
        <v>0.9961</v>
      </c>
      <c r="G32" s="4">
        <v>0.113</v>
      </c>
      <c r="H32" s="4">
        <v>0.0648</v>
      </c>
      <c r="I32" s="4">
        <v>1.0369</v>
      </c>
      <c r="J32" s="4">
        <v>0.0354</v>
      </c>
      <c r="K32" s="4">
        <v>3.06</v>
      </c>
      <c r="L32" s="4">
        <v>0.9593</v>
      </c>
      <c r="M32" s="4">
        <v>-6.2722</v>
      </c>
      <c r="N32" s="4" t="str">
        <f t="shared" si="11"/>
        <v/>
      </c>
      <c r="O32" s="4" t="str">
        <f t="shared" si="12"/>
        <v/>
      </c>
      <c r="P32" s="4" t="str">
        <f t="shared" si="13"/>
        <v/>
      </c>
      <c r="Q32" s="4" t="str">
        <f t="shared" si="9"/>
        <v/>
      </c>
      <c r="R32" s="4" t="str">
        <f t="shared" si="14"/>
        <v/>
      </c>
      <c r="S32" s="4">
        <f t="shared" si="15"/>
        <v>0.8469</v>
      </c>
      <c r="T32" s="4" t="str">
        <f t="shared" si="16"/>
        <v/>
      </c>
      <c r="U32" s="4">
        <f t="shared" si="10"/>
        <v>0.8469</v>
      </c>
    </row>
    <row r="33" spans="2:21">
      <c r="B33" s="4" t="s">
        <v>56</v>
      </c>
      <c r="C33" s="4">
        <v>0.5332</v>
      </c>
      <c r="D33" s="4">
        <v>-0.5886</v>
      </c>
      <c r="E33" s="4">
        <v>0.776</v>
      </c>
      <c r="F33" s="4">
        <v>-0.8053</v>
      </c>
      <c r="G33" s="4">
        <v>-0.1254</v>
      </c>
      <c r="H33" s="4">
        <v>-0.1109</v>
      </c>
      <c r="I33" s="4">
        <v>-1.9269</v>
      </c>
      <c r="J33" s="4">
        <v>-0.3002</v>
      </c>
      <c r="K33" s="4">
        <v>-2.9435</v>
      </c>
      <c r="L33" s="4">
        <v>-1.4052</v>
      </c>
      <c r="M33" s="4">
        <v>4.7737</v>
      </c>
      <c r="N33" s="4" t="str">
        <f t="shared" si="11"/>
        <v/>
      </c>
      <c r="O33" s="4" t="str">
        <f t="shared" si="12"/>
        <v/>
      </c>
      <c r="P33" s="4" t="str">
        <f t="shared" si="13"/>
        <v/>
      </c>
      <c r="Q33" s="4" t="str">
        <f t="shared" si="9"/>
        <v/>
      </c>
      <c r="R33" s="4">
        <f t="shared" si="14"/>
        <v>1.6226</v>
      </c>
      <c r="S33" s="4" t="str">
        <f t="shared" si="15"/>
        <v/>
      </c>
      <c r="T33" s="4" t="str">
        <f t="shared" si="16"/>
        <v/>
      </c>
      <c r="U33" s="4">
        <f t="shared" si="10"/>
        <v>1.6226</v>
      </c>
    </row>
    <row r="34" spans="2:21">
      <c r="B34" s="4" t="s">
        <v>57</v>
      </c>
      <c r="C34" s="4">
        <v>-3.5809</v>
      </c>
      <c r="D34" s="4">
        <v>-0.9233</v>
      </c>
      <c r="E34" s="4">
        <v>-2.7379</v>
      </c>
      <c r="F34" s="4">
        <v>-1.2142</v>
      </c>
      <c r="G34" s="4">
        <v>-0.1377</v>
      </c>
      <c r="H34" s="4">
        <v>-0.295</v>
      </c>
      <c r="I34" s="4">
        <v>-0.1603</v>
      </c>
      <c r="J34" s="4">
        <v>0.0707</v>
      </c>
      <c r="K34" s="4">
        <v>-3.7846</v>
      </c>
      <c r="L34" s="4">
        <v>0.735</v>
      </c>
      <c r="M34" s="4">
        <v>3.5967</v>
      </c>
      <c r="N34" s="4">
        <f t="shared" si="11"/>
        <v>0.5332</v>
      </c>
      <c r="O34" s="4" t="str">
        <f t="shared" si="12"/>
        <v/>
      </c>
      <c r="P34" s="4" t="str">
        <f t="shared" si="13"/>
        <v/>
      </c>
      <c r="Q34" s="4">
        <f t="shared" si="9"/>
        <v>0.5332</v>
      </c>
      <c r="R34" s="4" t="str">
        <f t="shared" si="14"/>
        <v/>
      </c>
      <c r="S34" s="4" t="str">
        <f t="shared" si="15"/>
        <v/>
      </c>
      <c r="T34" s="4" t="str">
        <f t="shared" si="16"/>
        <v/>
      </c>
      <c r="U34" s="4" t="str">
        <f t="shared" si="10"/>
        <v/>
      </c>
    </row>
    <row r="35" spans="2:21">
      <c r="B35" s="4" t="s">
        <v>58</v>
      </c>
      <c r="C35" s="4">
        <v>2.5177</v>
      </c>
      <c r="D35" s="4">
        <v>1.4683</v>
      </c>
      <c r="E35" s="4">
        <v>2.8463</v>
      </c>
      <c r="F35" s="4">
        <v>1.0578</v>
      </c>
      <c r="G35" s="4">
        <v>0.2007</v>
      </c>
      <c r="H35" s="4">
        <v>0.1477</v>
      </c>
      <c r="I35" s="4">
        <v>0.9349</v>
      </c>
      <c r="J35" s="4">
        <v>-0.6321</v>
      </c>
      <c r="K35" s="4">
        <v>0.3953</v>
      </c>
      <c r="L35" s="4">
        <v>0.5566</v>
      </c>
      <c r="M35" s="4">
        <v>-3.5913</v>
      </c>
      <c r="N35" s="4" t="str">
        <f t="shared" si="11"/>
        <v/>
      </c>
      <c r="O35" s="4" t="str">
        <f t="shared" si="12"/>
        <v/>
      </c>
      <c r="P35" s="4" t="str">
        <f t="shared" si="13"/>
        <v/>
      </c>
      <c r="Q35" s="4" t="str">
        <f t="shared" si="9"/>
        <v/>
      </c>
      <c r="R35" s="4" t="str">
        <f t="shared" si="14"/>
        <v/>
      </c>
      <c r="S35" s="4" t="str">
        <f t="shared" si="15"/>
        <v/>
      </c>
      <c r="T35" s="4" t="str">
        <f t="shared" si="16"/>
        <v/>
      </c>
      <c r="U35" s="4" t="str">
        <f t="shared" si="10"/>
        <v/>
      </c>
    </row>
    <row r="36" spans="2:21">
      <c r="B36" s="4" t="s">
        <v>59</v>
      </c>
      <c r="C36" s="4">
        <v>-3.2866</v>
      </c>
      <c r="D36" s="4">
        <v>-0.0821</v>
      </c>
      <c r="E36" s="4">
        <v>-1.1733</v>
      </c>
      <c r="F36" s="4">
        <v>2.0318</v>
      </c>
      <c r="G36" s="4">
        <v>0.1508</v>
      </c>
      <c r="H36" s="4">
        <v>0.1479</v>
      </c>
      <c r="I36" s="4">
        <v>1.5334</v>
      </c>
      <c r="J36" s="4">
        <v>0.9215</v>
      </c>
      <c r="K36" s="4">
        <v>4.4758</v>
      </c>
      <c r="L36" s="4">
        <v>-0.1276</v>
      </c>
      <c r="M36" s="4">
        <v>-2.6522</v>
      </c>
      <c r="N36" s="4" t="str">
        <f t="shared" si="11"/>
        <v/>
      </c>
      <c r="O36" s="4" t="str">
        <f t="shared" si="12"/>
        <v/>
      </c>
      <c r="P36" s="4" t="str">
        <f t="shared" si="13"/>
        <v/>
      </c>
      <c r="Q36" s="4" t="str">
        <f t="shared" si="9"/>
        <v/>
      </c>
      <c r="R36" s="4" t="str">
        <f t="shared" si="14"/>
        <v/>
      </c>
      <c r="S36" s="4">
        <f t="shared" si="15"/>
        <v>1.4683</v>
      </c>
      <c r="T36" s="4">
        <f t="shared" si="16"/>
        <v>1.4683</v>
      </c>
      <c r="U36" s="4">
        <f t="shared" si="10"/>
        <v>1.4683</v>
      </c>
    </row>
    <row r="37" spans="2:21">
      <c r="B37" s="4" t="s">
        <v>60</v>
      </c>
      <c r="C37" s="4">
        <v>-3.0807</v>
      </c>
      <c r="D37" s="4">
        <v>-0.3926</v>
      </c>
      <c r="E37" s="4">
        <v>-2.8212</v>
      </c>
      <c r="F37" s="4">
        <v>0.6026</v>
      </c>
      <c r="G37" s="4">
        <v>-0.0138</v>
      </c>
      <c r="H37" s="4">
        <v>-0.1864</v>
      </c>
      <c r="I37" s="4">
        <v>2.1824</v>
      </c>
      <c r="J37" s="4">
        <v>-0.0177</v>
      </c>
      <c r="K37" s="4">
        <v>-0.5036</v>
      </c>
      <c r="L37" s="4">
        <v>2.4363</v>
      </c>
      <c r="M37" s="4">
        <v>0.8511</v>
      </c>
      <c r="N37" s="4">
        <f t="shared" si="11"/>
        <v>-3.2866</v>
      </c>
      <c r="O37" s="4" t="str">
        <f t="shared" si="12"/>
        <v/>
      </c>
      <c r="P37" s="4" t="str">
        <f t="shared" si="13"/>
        <v/>
      </c>
      <c r="Q37" s="4">
        <f t="shared" si="9"/>
        <v>-3.2866</v>
      </c>
      <c r="R37" s="4" t="str">
        <f t="shared" si="14"/>
        <v/>
      </c>
      <c r="S37" s="4" t="str">
        <f t="shared" si="15"/>
        <v/>
      </c>
      <c r="T37" s="4" t="str">
        <f t="shared" si="16"/>
        <v/>
      </c>
      <c r="U37" s="4" t="str">
        <f t="shared" si="10"/>
        <v/>
      </c>
    </row>
    <row r="38" spans="2:21">
      <c r="B38" s="4" t="s">
        <v>61</v>
      </c>
      <c r="C38" s="4">
        <v>3.3708</v>
      </c>
      <c r="D38" s="4">
        <v>1.556</v>
      </c>
      <c r="E38" s="4">
        <v>1.4534</v>
      </c>
      <c r="F38" s="4">
        <v>-0.0543</v>
      </c>
      <c r="G38" s="4">
        <v>-0.05</v>
      </c>
      <c r="H38" s="4">
        <v>-0.4277</v>
      </c>
      <c r="I38" s="4">
        <v>-0.2048</v>
      </c>
      <c r="J38" s="4">
        <v>-0.3883</v>
      </c>
      <c r="K38" s="4">
        <v>-0.3039</v>
      </c>
      <c r="L38" s="4">
        <v>-0.6952</v>
      </c>
      <c r="M38" s="4">
        <v>-6.7989</v>
      </c>
      <c r="N38" s="4" t="str">
        <f t="shared" si="11"/>
        <v/>
      </c>
      <c r="O38" s="4" t="str">
        <f t="shared" si="12"/>
        <v/>
      </c>
      <c r="P38" s="4" t="str">
        <f t="shared" si="13"/>
        <v/>
      </c>
      <c r="Q38" s="4" t="str">
        <f t="shared" si="9"/>
        <v/>
      </c>
      <c r="R38" s="4" t="str">
        <f t="shared" si="14"/>
        <v/>
      </c>
      <c r="S38" s="4" t="str">
        <f t="shared" si="15"/>
        <v/>
      </c>
      <c r="T38" s="4" t="str">
        <f t="shared" si="16"/>
        <v/>
      </c>
      <c r="U38" s="4" t="str">
        <f t="shared" si="10"/>
        <v/>
      </c>
    </row>
    <row r="39" spans="2:21">
      <c r="B39" s="4" t="s">
        <v>62</v>
      </c>
      <c r="C39" s="4">
        <v>4.548</v>
      </c>
      <c r="D39" s="4">
        <v>2.4508</v>
      </c>
      <c r="E39" s="4">
        <v>0.3572</v>
      </c>
      <c r="F39" s="4">
        <v>-1.3516</v>
      </c>
      <c r="G39" s="4">
        <v>0.2255</v>
      </c>
      <c r="H39" s="4">
        <v>0.1823</v>
      </c>
      <c r="I39" s="4">
        <v>0.28</v>
      </c>
      <c r="J39" s="4">
        <v>-0.0882</v>
      </c>
      <c r="K39" s="4">
        <v>-1.7143</v>
      </c>
      <c r="L39" s="4">
        <v>1.6011</v>
      </c>
      <c r="M39" s="4">
        <v>-4.1282</v>
      </c>
      <c r="N39" s="4" t="str">
        <f t="shared" si="11"/>
        <v/>
      </c>
      <c r="O39" s="4">
        <f t="shared" si="12"/>
        <v>3.3708</v>
      </c>
      <c r="P39" s="4" t="str">
        <f t="shared" si="13"/>
        <v/>
      </c>
      <c r="Q39" s="4">
        <f t="shared" si="9"/>
        <v>3.3708</v>
      </c>
      <c r="R39" s="4" t="str">
        <f t="shared" si="14"/>
        <v/>
      </c>
      <c r="S39" s="4" t="str">
        <f t="shared" si="15"/>
        <v/>
      </c>
      <c r="T39" s="4" t="str">
        <f t="shared" si="16"/>
        <v/>
      </c>
      <c r="U39" s="4" t="str">
        <f t="shared" si="10"/>
        <v/>
      </c>
    </row>
    <row r="40" spans="2:21">
      <c r="B40" s="4" t="s">
        <v>63</v>
      </c>
      <c r="C40" s="4">
        <v>-2.2955</v>
      </c>
      <c r="D40" s="4">
        <v>-0.3111</v>
      </c>
      <c r="E40" s="4">
        <v>-1.133</v>
      </c>
      <c r="F40" s="4">
        <v>1.1287</v>
      </c>
      <c r="G40" s="4">
        <v>-0.0626</v>
      </c>
      <c r="H40" s="4">
        <v>0.1827</v>
      </c>
      <c r="I40" s="4">
        <v>0.2245</v>
      </c>
      <c r="J40" s="4">
        <v>0.0353</v>
      </c>
      <c r="K40" s="4">
        <v>1.7576</v>
      </c>
      <c r="L40" s="4">
        <v>0.5683</v>
      </c>
      <c r="M40" s="4">
        <v>-2.541</v>
      </c>
      <c r="N40" s="4" t="str">
        <f t="shared" si="11"/>
        <v/>
      </c>
      <c r="O40" s="4" t="str">
        <f t="shared" si="12"/>
        <v/>
      </c>
      <c r="P40" s="4">
        <f t="shared" si="13"/>
        <v>4.548</v>
      </c>
      <c r="Q40" s="4">
        <f t="shared" si="9"/>
        <v>4.548</v>
      </c>
      <c r="R40" s="4" t="str">
        <f t="shared" si="14"/>
        <v/>
      </c>
      <c r="S40" s="4">
        <f t="shared" si="15"/>
        <v>2.4508</v>
      </c>
      <c r="T40" s="4" t="str">
        <f t="shared" si="16"/>
        <v/>
      </c>
      <c r="U40" s="4">
        <f t="shared" si="10"/>
        <v>2.4508</v>
      </c>
    </row>
    <row r="41" spans="2:21">
      <c r="B41" s="4" t="s">
        <v>64</v>
      </c>
      <c r="C41" s="4">
        <v>1.5014</v>
      </c>
      <c r="D41" s="4">
        <v>0</v>
      </c>
      <c r="E41" s="4">
        <v>1.0558</v>
      </c>
      <c r="F41" s="4">
        <v>0.9674</v>
      </c>
      <c r="G41" s="4">
        <v>0.0375</v>
      </c>
      <c r="H41" s="4">
        <v>0.1646</v>
      </c>
      <c r="I41" s="4">
        <v>-0.5026</v>
      </c>
      <c r="J41" s="4">
        <v>-0.0176</v>
      </c>
      <c r="K41" s="4">
        <v>1.4479</v>
      </c>
      <c r="L41" s="4">
        <v>-0.9011</v>
      </c>
      <c r="M41" s="4">
        <v>1.3956</v>
      </c>
      <c r="N41" s="4" t="str">
        <f t="shared" si="11"/>
        <v/>
      </c>
      <c r="O41" s="4" t="str">
        <f t="shared" si="12"/>
        <v/>
      </c>
      <c r="P41" s="4" t="str">
        <f t="shared" si="13"/>
        <v/>
      </c>
      <c r="Q41" s="4" t="str">
        <f t="shared" si="9"/>
        <v/>
      </c>
      <c r="R41" s="4" t="str">
        <f t="shared" si="14"/>
        <v/>
      </c>
      <c r="S41" s="4" t="str">
        <f t="shared" si="15"/>
        <v/>
      </c>
      <c r="T41" s="4">
        <f t="shared" si="16"/>
        <v>-0.3111</v>
      </c>
      <c r="U41" s="4">
        <f t="shared" si="10"/>
        <v>-0.3111</v>
      </c>
    </row>
    <row r="42" spans="2:21">
      <c r="B42" s="4" t="s">
        <v>65</v>
      </c>
      <c r="C42" s="4">
        <v>-0.8891</v>
      </c>
      <c r="D42" s="4">
        <v>-0.2032</v>
      </c>
      <c r="E42" s="4">
        <v>0.1191</v>
      </c>
      <c r="F42" s="4">
        <v>-3.0213</v>
      </c>
      <c r="G42" s="4">
        <v>-0.025</v>
      </c>
      <c r="H42" s="4">
        <v>0.3857</v>
      </c>
      <c r="I42" s="4">
        <v>-0.297</v>
      </c>
      <c r="J42" s="4">
        <v>-0.1761</v>
      </c>
      <c r="K42" s="4">
        <v>-3.9531</v>
      </c>
      <c r="L42" s="4">
        <v>-0.6805</v>
      </c>
      <c r="M42" s="4">
        <v>-4.4125</v>
      </c>
      <c r="N42" s="4" t="str">
        <f t="shared" si="11"/>
        <v/>
      </c>
      <c r="O42" s="4" t="str">
        <f t="shared" si="12"/>
        <v/>
      </c>
      <c r="P42" s="4">
        <f t="shared" si="13"/>
        <v>1.5014</v>
      </c>
      <c r="Q42" s="4">
        <f t="shared" si="9"/>
        <v>1.5014</v>
      </c>
      <c r="R42" s="4" t="str">
        <f t="shared" si="14"/>
        <v/>
      </c>
      <c r="S42" s="4" t="str">
        <f t="shared" si="15"/>
        <v/>
      </c>
      <c r="T42" s="4" t="str">
        <f t="shared" si="16"/>
        <v/>
      </c>
      <c r="U42" s="4" t="str">
        <f t="shared" si="10"/>
        <v/>
      </c>
    </row>
    <row r="43" spans="2:21">
      <c r="B43" s="4" t="s">
        <v>66</v>
      </c>
      <c r="C43" s="4">
        <v>-6.5867</v>
      </c>
      <c r="D43" s="4">
        <v>-2.8778</v>
      </c>
      <c r="E43" s="4">
        <v>-5.6734</v>
      </c>
      <c r="F43" s="4">
        <v>-1.8903</v>
      </c>
      <c r="G43" s="4">
        <v>-0.0875</v>
      </c>
      <c r="H43" s="4">
        <v>-0.0367</v>
      </c>
      <c r="I43" s="4">
        <v>0.3352</v>
      </c>
      <c r="J43" s="4">
        <v>0.0176</v>
      </c>
      <c r="K43" s="4">
        <v>-4.6415</v>
      </c>
      <c r="L43" s="4">
        <v>0.3837</v>
      </c>
      <c r="M43" s="4">
        <v>12.7894</v>
      </c>
      <c r="N43" s="4">
        <f t="shared" si="11"/>
        <v>-0.8891</v>
      </c>
      <c r="O43" s="4" t="str">
        <f t="shared" si="12"/>
        <v/>
      </c>
      <c r="P43" s="4" t="str">
        <f t="shared" si="13"/>
        <v/>
      </c>
      <c r="Q43" s="4">
        <f t="shared" si="9"/>
        <v>-0.8891</v>
      </c>
      <c r="R43" s="4" t="str">
        <f t="shared" si="14"/>
        <v/>
      </c>
      <c r="S43" s="4" t="str">
        <f t="shared" si="15"/>
        <v/>
      </c>
      <c r="T43" s="4" t="str">
        <f t="shared" si="16"/>
        <v/>
      </c>
      <c r="U43" s="4" t="str">
        <f t="shared" si="10"/>
        <v/>
      </c>
    </row>
    <row r="44" spans="2:21">
      <c r="B44" s="4" t="s">
        <v>67</v>
      </c>
      <c r="C44" s="4">
        <v>-0.465</v>
      </c>
      <c r="D44" s="4">
        <v>-0.7778</v>
      </c>
      <c r="E44" s="4">
        <v>0.5933</v>
      </c>
      <c r="F44" s="4">
        <v>-0.6535</v>
      </c>
      <c r="G44" s="4">
        <v>-0.0875</v>
      </c>
      <c r="H44" s="4">
        <v>-0.4114</v>
      </c>
      <c r="I44" s="4">
        <v>0.5938</v>
      </c>
      <c r="J44" s="4">
        <v>-0.1055</v>
      </c>
      <c r="K44" s="4">
        <v>-1.2968</v>
      </c>
      <c r="L44" s="4">
        <v>-2.1124</v>
      </c>
      <c r="M44" s="4">
        <v>5.3659</v>
      </c>
      <c r="N44" s="4" t="str">
        <f t="shared" si="11"/>
        <v/>
      </c>
      <c r="O44" s="4" t="str">
        <f t="shared" si="12"/>
        <v/>
      </c>
      <c r="P44" s="4" t="str">
        <f t="shared" si="13"/>
        <v/>
      </c>
      <c r="Q44" s="4" t="str">
        <f t="shared" si="9"/>
        <v/>
      </c>
      <c r="R44" s="4" t="str">
        <f t="shared" si="14"/>
        <v/>
      </c>
      <c r="S44" s="4" t="str">
        <f t="shared" si="15"/>
        <v/>
      </c>
      <c r="T44" s="4" t="str">
        <f t="shared" si="16"/>
        <v/>
      </c>
      <c r="U44" s="4" t="str">
        <f t="shared" si="10"/>
        <v/>
      </c>
    </row>
    <row r="45" spans="2:21">
      <c r="B45" s="4" t="s">
        <v>68</v>
      </c>
      <c r="C45" s="4">
        <v>4.9401</v>
      </c>
      <c r="D45" s="4">
        <v>2.1444</v>
      </c>
      <c r="E45" s="4">
        <v>3.2526</v>
      </c>
      <c r="F45" s="4">
        <v>-0.3809</v>
      </c>
      <c r="G45" s="4">
        <v>0.3512</v>
      </c>
      <c r="H45" s="4">
        <v>0.3302</v>
      </c>
      <c r="I45" s="4">
        <v>-0.888</v>
      </c>
      <c r="J45" s="4">
        <v>-0.4204</v>
      </c>
      <c r="K45" s="4">
        <v>-2.193</v>
      </c>
      <c r="L45" s="4">
        <v>0.229</v>
      </c>
      <c r="M45" s="4">
        <v>-11.0629</v>
      </c>
      <c r="N45" s="4" t="str">
        <f t="shared" si="11"/>
        <v/>
      </c>
      <c r="O45" s="4">
        <f t="shared" si="12"/>
        <v>-0.465</v>
      </c>
      <c r="P45" s="4" t="str">
        <f t="shared" si="13"/>
        <v/>
      </c>
      <c r="Q45" s="4">
        <f t="shared" si="9"/>
        <v>-0.465</v>
      </c>
      <c r="R45" s="4" t="str">
        <f t="shared" si="14"/>
        <v/>
      </c>
      <c r="S45" s="4" t="str">
        <f t="shared" si="15"/>
        <v/>
      </c>
      <c r="T45" s="4" t="str">
        <f t="shared" si="16"/>
        <v/>
      </c>
      <c r="U45" s="4" t="str">
        <f t="shared" si="10"/>
        <v/>
      </c>
    </row>
    <row r="46" spans="2:21">
      <c r="B46" s="4" t="s">
        <v>69</v>
      </c>
      <c r="C46" s="4">
        <v>-2.013</v>
      </c>
      <c r="D46" s="4">
        <v>-2.4707</v>
      </c>
      <c r="E46" s="4">
        <v>-0.1166</v>
      </c>
      <c r="F46" s="4">
        <v>-2.271</v>
      </c>
      <c r="G46" s="4">
        <v>-0.3748</v>
      </c>
      <c r="H46" s="4">
        <v>-0.665</v>
      </c>
      <c r="I46" s="4">
        <v>-0.5521</v>
      </c>
      <c r="J46" s="4">
        <v>-0.1749</v>
      </c>
      <c r="K46" s="4">
        <v>-3.3012</v>
      </c>
      <c r="L46" s="4">
        <v>-2.7779</v>
      </c>
      <c r="M46" s="4">
        <v>12.3705</v>
      </c>
      <c r="N46" s="4">
        <f t="shared" si="11"/>
        <v>4.9401</v>
      </c>
      <c r="O46" s="4" t="str">
        <f t="shared" si="12"/>
        <v/>
      </c>
      <c r="P46" s="4" t="str">
        <f t="shared" si="13"/>
        <v/>
      </c>
      <c r="Q46" s="4">
        <f t="shared" si="9"/>
        <v>4.9401</v>
      </c>
      <c r="R46" s="4" t="str">
        <f t="shared" si="14"/>
        <v/>
      </c>
      <c r="S46" s="4" t="str">
        <f t="shared" si="15"/>
        <v/>
      </c>
      <c r="T46" s="4" t="str">
        <f t="shared" si="16"/>
        <v/>
      </c>
      <c r="U46" s="4" t="str">
        <f t="shared" si="10"/>
        <v/>
      </c>
    </row>
    <row r="47" spans="2:21">
      <c r="B47" s="4" t="s">
        <v>70</v>
      </c>
      <c r="C47" s="4">
        <v>-3.7719</v>
      </c>
      <c r="D47" s="4">
        <v>-1.1409</v>
      </c>
      <c r="E47" s="4">
        <v>-1.5914</v>
      </c>
      <c r="F47" s="4">
        <v>0.2723</v>
      </c>
      <c r="G47" s="4">
        <v>-0.0126</v>
      </c>
      <c r="H47" s="4">
        <v>0</v>
      </c>
      <c r="I47" s="4">
        <v>1.4751</v>
      </c>
      <c r="J47" s="4">
        <v>-0.0874</v>
      </c>
      <c r="K47" s="4">
        <v>2.3103</v>
      </c>
      <c r="L47" s="4">
        <v>0.1159</v>
      </c>
      <c r="M47" s="4">
        <v>1.2963</v>
      </c>
      <c r="N47" s="4">
        <f t="shared" si="11"/>
        <v>-2.013</v>
      </c>
      <c r="O47" s="4" t="str">
        <f t="shared" si="12"/>
        <v/>
      </c>
      <c r="P47" s="4" t="str">
        <f t="shared" si="13"/>
        <v/>
      </c>
      <c r="Q47" s="4">
        <f t="shared" si="9"/>
        <v>-2.013</v>
      </c>
      <c r="R47" s="4" t="str">
        <f t="shared" si="14"/>
        <v/>
      </c>
      <c r="S47" s="4" t="str">
        <f t="shared" si="15"/>
        <v/>
      </c>
      <c r="T47" s="4" t="str">
        <f t="shared" si="16"/>
        <v/>
      </c>
      <c r="U47" s="4" t="str">
        <f t="shared" si="10"/>
        <v/>
      </c>
    </row>
    <row r="48" spans="2:21">
      <c r="B48" s="4" t="s">
        <v>71</v>
      </c>
      <c r="C48" s="4">
        <v>6.0929</v>
      </c>
      <c r="D48" s="4">
        <v>3.3263</v>
      </c>
      <c r="E48" s="4">
        <v>3.289</v>
      </c>
      <c r="F48" s="4">
        <v>2.5896</v>
      </c>
      <c r="G48" s="4">
        <v>0.1252</v>
      </c>
      <c r="H48" s="4">
        <v>0.1368</v>
      </c>
      <c r="I48" s="4">
        <v>0.4124</v>
      </c>
      <c r="J48" s="4">
        <v>-0.0349</v>
      </c>
      <c r="K48" s="4">
        <v>6.5475</v>
      </c>
      <c r="L48" s="4">
        <v>0.4837</v>
      </c>
      <c r="M48" s="4">
        <v>-8.371</v>
      </c>
      <c r="N48" s="4" t="str">
        <f t="shared" si="11"/>
        <v/>
      </c>
      <c r="O48" s="4" t="str">
        <f t="shared" si="12"/>
        <v/>
      </c>
      <c r="P48" s="4" t="str">
        <f t="shared" si="13"/>
        <v/>
      </c>
      <c r="Q48" s="4" t="str">
        <f t="shared" si="9"/>
        <v/>
      </c>
      <c r="R48" s="4" t="str">
        <f t="shared" si="14"/>
        <v/>
      </c>
      <c r="S48" s="4" t="str">
        <f t="shared" si="15"/>
        <v/>
      </c>
      <c r="T48" s="4" t="str">
        <f t="shared" si="16"/>
        <v/>
      </c>
      <c r="U48" s="4" t="str">
        <f t="shared" si="10"/>
        <v/>
      </c>
    </row>
    <row r="49" spans="2:21">
      <c r="B49" s="4" t="s">
        <v>72</v>
      </c>
      <c r="C49" s="4">
        <v>1.2633</v>
      </c>
      <c r="D49" s="4">
        <v>1.0119</v>
      </c>
      <c r="E49" s="4">
        <v>0.5629</v>
      </c>
      <c r="F49" s="4">
        <v>0.0569</v>
      </c>
      <c r="G49" s="4">
        <v>0</v>
      </c>
      <c r="H49" s="4">
        <v>0.0091</v>
      </c>
      <c r="I49" s="4">
        <v>1.3683</v>
      </c>
      <c r="J49" s="4">
        <v>-0.296</v>
      </c>
      <c r="K49" s="4">
        <v>2.9722</v>
      </c>
      <c r="L49" s="4">
        <v>-0.4192</v>
      </c>
      <c r="M49" s="4">
        <v>-9.0535</v>
      </c>
      <c r="N49" s="4" t="str">
        <f t="shared" si="11"/>
        <v/>
      </c>
      <c r="O49" s="4" t="str">
        <f t="shared" si="12"/>
        <v/>
      </c>
      <c r="P49" s="4" t="str">
        <f t="shared" si="13"/>
        <v/>
      </c>
      <c r="Q49" s="4" t="str">
        <f t="shared" si="9"/>
        <v/>
      </c>
      <c r="R49" s="4" t="str">
        <f t="shared" si="14"/>
        <v/>
      </c>
      <c r="S49" s="4" t="str">
        <f t="shared" si="15"/>
        <v/>
      </c>
      <c r="T49" s="4">
        <f t="shared" si="16"/>
        <v>3.3263</v>
      </c>
      <c r="U49" s="4">
        <f t="shared" si="10"/>
        <v>3.3263</v>
      </c>
    </row>
    <row r="50" spans="2:21">
      <c r="B50" s="4" t="s">
        <v>73</v>
      </c>
      <c r="C50" s="4">
        <v>6.5687</v>
      </c>
      <c r="D50" s="4">
        <v>3.4588</v>
      </c>
      <c r="E50" s="4">
        <v>4.3922</v>
      </c>
      <c r="F50" s="4">
        <v>3.1342</v>
      </c>
      <c r="G50" s="4">
        <v>0.5914</v>
      </c>
      <c r="H50" s="4">
        <v>0.3572</v>
      </c>
      <c r="I50" s="4">
        <v>0.7466</v>
      </c>
      <c r="J50" s="4">
        <v>0.4548</v>
      </c>
      <c r="K50" s="4">
        <v>5.2974</v>
      </c>
      <c r="L50" s="4">
        <v>0.9999</v>
      </c>
      <c r="M50" s="4">
        <v>-12.5113</v>
      </c>
      <c r="N50" s="4" t="str">
        <f t="shared" si="11"/>
        <v/>
      </c>
      <c r="O50" s="4" t="str">
        <f t="shared" si="12"/>
        <v/>
      </c>
      <c r="P50" s="4" t="str">
        <f t="shared" si="13"/>
        <v/>
      </c>
      <c r="Q50" s="4" t="str">
        <f t="shared" si="9"/>
        <v/>
      </c>
      <c r="R50" s="4" t="str">
        <f t="shared" si="14"/>
        <v/>
      </c>
      <c r="S50" s="4">
        <f t="shared" si="15"/>
        <v>1.0119</v>
      </c>
      <c r="T50" s="4" t="str">
        <f t="shared" si="16"/>
        <v/>
      </c>
      <c r="U50" s="4">
        <f t="shared" si="10"/>
        <v>1.0119</v>
      </c>
    </row>
    <row r="51" spans="2:21">
      <c r="B51" s="4" t="s">
        <v>74</v>
      </c>
      <c r="C51" s="4">
        <v>-3.978</v>
      </c>
      <c r="D51" s="4">
        <v>-3.235</v>
      </c>
      <c r="E51" s="4">
        <v>-1.7624</v>
      </c>
      <c r="F51" s="4">
        <v>-4.1456</v>
      </c>
      <c r="G51" s="4">
        <v>-0.1884</v>
      </c>
      <c r="H51" s="4">
        <v>-0.1007</v>
      </c>
      <c r="I51" s="4">
        <v>-0.4384</v>
      </c>
      <c r="J51" s="4">
        <v>-0.1048</v>
      </c>
      <c r="K51" s="4">
        <v>-4.8718</v>
      </c>
      <c r="L51" s="4">
        <v>-0.4215</v>
      </c>
      <c r="M51" s="4">
        <v>11.8269</v>
      </c>
      <c r="N51" s="4">
        <f t="shared" si="11"/>
        <v>6.5687</v>
      </c>
      <c r="O51" s="4" t="str">
        <f t="shared" si="12"/>
        <v/>
      </c>
      <c r="P51" s="4" t="str">
        <f t="shared" si="13"/>
        <v/>
      </c>
      <c r="Q51" s="4">
        <f t="shared" si="9"/>
        <v>6.5687</v>
      </c>
      <c r="R51" s="4" t="str">
        <f t="shared" si="14"/>
        <v/>
      </c>
      <c r="S51" s="4" t="str">
        <f t="shared" si="15"/>
        <v/>
      </c>
      <c r="T51" s="4" t="str">
        <f t="shared" si="16"/>
        <v/>
      </c>
      <c r="U51" s="4" t="str">
        <f t="shared" si="10"/>
        <v/>
      </c>
    </row>
    <row r="52" spans="2:21">
      <c r="B52" s="4" t="s">
        <v>75</v>
      </c>
      <c r="C52" s="4">
        <v>-2.2704</v>
      </c>
      <c r="D52" s="4">
        <v>-0.5455</v>
      </c>
      <c r="E52" s="4">
        <v>0.1066</v>
      </c>
      <c r="F52" s="4">
        <v>-1.6336</v>
      </c>
      <c r="G52" s="4">
        <v>0.1005</v>
      </c>
      <c r="H52" s="4">
        <v>0.1741</v>
      </c>
      <c r="I52" s="4">
        <v>0.9429</v>
      </c>
      <c r="J52" s="4">
        <v>-0.0873</v>
      </c>
      <c r="K52" s="4">
        <v>-1.3728</v>
      </c>
      <c r="L52" s="4">
        <v>0.3511</v>
      </c>
      <c r="M52" s="4">
        <v>5.0211</v>
      </c>
      <c r="N52" s="4">
        <f t="shared" si="11"/>
        <v>-3.978</v>
      </c>
      <c r="O52" s="4">
        <f t="shared" si="12"/>
        <v>-3.978</v>
      </c>
      <c r="P52" s="4" t="str">
        <f t="shared" si="13"/>
        <v/>
      </c>
      <c r="Q52" s="4">
        <f t="shared" si="9"/>
        <v>-3.978</v>
      </c>
      <c r="R52" s="4" t="str">
        <f t="shared" si="14"/>
        <v/>
      </c>
      <c r="S52" s="4" t="str">
        <f t="shared" si="15"/>
        <v/>
      </c>
      <c r="T52" s="4" t="str">
        <f t="shared" si="16"/>
        <v/>
      </c>
      <c r="U52" s="4" t="str">
        <f t="shared" si="10"/>
        <v/>
      </c>
    </row>
    <row r="53" spans="2:21">
      <c r="B53" s="4" t="s">
        <v>76</v>
      </c>
      <c r="C53" s="4">
        <v>3.1087</v>
      </c>
      <c r="D53" s="4">
        <v>0.526</v>
      </c>
      <c r="E53" s="4">
        <v>1.7959</v>
      </c>
      <c r="F53" s="4">
        <v>0.2599</v>
      </c>
      <c r="G53" s="4">
        <v>0.1385</v>
      </c>
      <c r="H53" s="4">
        <v>-0.1098</v>
      </c>
      <c r="I53" s="4">
        <v>-0.6309</v>
      </c>
      <c r="J53" s="4">
        <v>-0.0523</v>
      </c>
      <c r="K53" s="4">
        <v>-0.2156</v>
      </c>
      <c r="L53" s="4">
        <v>-0.5194</v>
      </c>
      <c r="M53" s="4">
        <v>-12.0409</v>
      </c>
      <c r="N53" s="4" t="str">
        <f t="shared" si="11"/>
        <v/>
      </c>
      <c r="O53" s="4" t="str">
        <f t="shared" si="12"/>
        <v/>
      </c>
      <c r="P53" s="4" t="str">
        <f t="shared" si="13"/>
        <v/>
      </c>
      <c r="Q53" s="4" t="str">
        <f t="shared" si="9"/>
        <v/>
      </c>
      <c r="R53" s="4" t="str">
        <f t="shared" si="14"/>
        <v/>
      </c>
      <c r="S53" s="4" t="str">
        <f t="shared" si="15"/>
        <v/>
      </c>
      <c r="T53" s="4" t="str">
        <f t="shared" si="16"/>
        <v/>
      </c>
      <c r="U53" s="4" t="str">
        <f t="shared" si="10"/>
        <v/>
      </c>
    </row>
    <row r="54" spans="2:21">
      <c r="B54" s="4" t="s">
        <v>77</v>
      </c>
      <c r="C54" s="4">
        <v>-9.5612</v>
      </c>
      <c r="D54" s="4">
        <v>-5.269</v>
      </c>
      <c r="E54" s="4">
        <v>-6.5268</v>
      </c>
      <c r="F54" s="4">
        <v>-3.6545</v>
      </c>
      <c r="G54" s="4">
        <v>-0.501</v>
      </c>
      <c r="H54" s="4">
        <v>-0.4828</v>
      </c>
      <c r="I54" s="4">
        <v>0.2107</v>
      </c>
      <c r="J54" s="4">
        <v>-0.0697</v>
      </c>
      <c r="K54" s="4">
        <v>-8.75</v>
      </c>
      <c r="L54" s="4">
        <v>-1.2731</v>
      </c>
      <c r="M54" s="4">
        <v>39.6753</v>
      </c>
      <c r="N54" s="4">
        <f t="shared" si="11"/>
        <v>3.1087</v>
      </c>
      <c r="O54" s="4" t="str">
        <f t="shared" si="12"/>
        <v/>
      </c>
      <c r="P54" s="4" t="str">
        <f t="shared" si="13"/>
        <v/>
      </c>
      <c r="Q54" s="4">
        <f t="shared" si="9"/>
        <v>3.1087</v>
      </c>
      <c r="R54" s="4" t="str">
        <f t="shared" si="14"/>
        <v/>
      </c>
      <c r="S54" s="4" t="str">
        <f t="shared" si="15"/>
        <v/>
      </c>
      <c r="T54" s="4" t="str">
        <f t="shared" si="16"/>
        <v/>
      </c>
      <c r="U54" s="4" t="str">
        <f t="shared" si="10"/>
        <v/>
      </c>
    </row>
    <row r="55" spans="2:21">
      <c r="B55" s="4" t="s">
        <v>78</v>
      </c>
      <c r="C55" s="4">
        <v>-1.0308</v>
      </c>
      <c r="D55" s="4">
        <v>0.8123</v>
      </c>
      <c r="E55" s="4">
        <v>-1.1727</v>
      </c>
      <c r="F55" s="4">
        <v>0.8336</v>
      </c>
      <c r="G55" s="4">
        <v>0.1882</v>
      </c>
      <c r="H55" s="4">
        <v>0.0091</v>
      </c>
      <c r="I55" s="4">
        <v>2.5949</v>
      </c>
      <c r="J55" s="4">
        <v>0.0174</v>
      </c>
      <c r="K55" s="4">
        <v>1.6471</v>
      </c>
      <c r="L55" s="4">
        <v>0.919</v>
      </c>
      <c r="M55" s="4">
        <v>-4.1096</v>
      </c>
      <c r="N55" s="4" t="str">
        <f t="shared" si="11"/>
        <v/>
      </c>
      <c r="O55" s="4" t="str">
        <f t="shared" si="12"/>
        <v/>
      </c>
      <c r="P55" s="4" t="str">
        <f t="shared" si="13"/>
        <v/>
      </c>
      <c r="Q55" s="4" t="str">
        <f t="shared" si="9"/>
        <v/>
      </c>
      <c r="R55" s="4" t="str">
        <f t="shared" si="14"/>
        <v/>
      </c>
      <c r="S55" s="4">
        <f t="shared" si="15"/>
        <v>-5.269</v>
      </c>
      <c r="T55" s="4" t="str">
        <f t="shared" si="16"/>
        <v/>
      </c>
      <c r="U55" s="4">
        <f t="shared" si="10"/>
        <v>-5.269</v>
      </c>
    </row>
    <row r="56" spans="2:21">
      <c r="B56" s="4" t="s">
        <v>79</v>
      </c>
      <c r="C56" s="4">
        <v>-0.5824</v>
      </c>
      <c r="D56" s="4">
        <v>-1.4587</v>
      </c>
      <c r="E56" s="4">
        <v>-1.243</v>
      </c>
      <c r="F56" s="4">
        <v>-0.9904</v>
      </c>
      <c r="G56" s="4">
        <v>-0.2754</v>
      </c>
      <c r="H56" s="4">
        <v>-0.1819</v>
      </c>
      <c r="I56" s="4">
        <v>-1.1466</v>
      </c>
      <c r="J56" s="4">
        <v>-0.1567</v>
      </c>
      <c r="K56" s="4">
        <v>-3.4639</v>
      </c>
      <c r="L56" s="4">
        <v>-1.3119</v>
      </c>
      <c r="M56" s="4">
        <v>1.8389</v>
      </c>
      <c r="N56" s="4" t="str">
        <f t="shared" si="11"/>
        <v/>
      </c>
      <c r="O56" s="4" t="str">
        <f t="shared" si="12"/>
        <v/>
      </c>
      <c r="P56" s="4" t="str">
        <f t="shared" si="13"/>
        <v/>
      </c>
      <c r="Q56" s="4" t="str">
        <f t="shared" si="9"/>
        <v/>
      </c>
      <c r="R56" s="4">
        <f t="shared" si="14"/>
        <v>0.8123</v>
      </c>
      <c r="S56" s="4" t="str">
        <f t="shared" si="15"/>
        <v/>
      </c>
      <c r="T56" s="4" t="str">
        <f t="shared" si="16"/>
        <v/>
      </c>
      <c r="U56" s="4">
        <f t="shared" si="10"/>
        <v>0.8123</v>
      </c>
    </row>
    <row r="57" spans="2:21">
      <c r="B57" s="4" t="s">
        <v>80</v>
      </c>
      <c r="C57" s="4">
        <v>0.9383</v>
      </c>
      <c r="D57" s="4">
        <v>0.2534</v>
      </c>
      <c r="E57" s="4">
        <v>1.0274</v>
      </c>
      <c r="F57" s="4">
        <v>0.1678</v>
      </c>
      <c r="G57" s="4">
        <v>0.0751</v>
      </c>
      <c r="H57" s="4">
        <v>-0.0091</v>
      </c>
      <c r="I57" s="4">
        <v>0.0583</v>
      </c>
      <c r="J57" s="4">
        <v>-0.1391</v>
      </c>
      <c r="K57" s="4">
        <v>1.5805</v>
      </c>
      <c r="L57" s="4">
        <v>-1.7645</v>
      </c>
      <c r="M57" s="4">
        <v>-1.7445</v>
      </c>
      <c r="N57" s="4" t="str">
        <f t="shared" si="11"/>
        <v/>
      </c>
      <c r="O57" s="4" t="str">
        <f t="shared" si="12"/>
        <v/>
      </c>
      <c r="P57" s="4" t="str">
        <f t="shared" si="13"/>
        <v/>
      </c>
      <c r="Q57" s="4" t="str">
        <f t="shared" si="9"/>
        <v/>
      </c>
      <c r="R57" s="4" t="str">
        <f t="shared" si="14"/>
        <v/>
      </c>
      <c r="S57" s="4" t="str">
        <f t="shared" si="15"/>
        <v/>
      </c>
      <c r="T57" s="4">
        <f t="shared" si="16"/>
        <v>-1.4587</v>
      </c>
      <c r="U57" s="4">
        <f t="shared" si="10"/>
        <v>-1.4587</v>
      </c>
    </row>
    <row r="58" spans="2:21">
      <c r="B58" s="4" t="s">
        <v>81</v>
      </c>
      <c r="C58" s="4">
        <v>1.1434</v>
      </c>
      <c r="D58" s="4">
        <v>0.4881</v>
      </c>
      <c r="E58" s="4">
        <v>2.1574</v>
      </c>
      <c r="F58" s="4">
        <v>-1.4049</v>
      </c>
      <c r="G58" s="4">
        <v>-0.0763</v>
      </c>
      <c r="H58" s="4">
        <v>0.0437</v>
      </c>
      <c r="I58" s="4">
        <v>-0.2907</v>
      </c>
      <c r="J58" s="4">
        <v>-0.1909</v>
      </c>
      <c r="K58" s="4">
        <v>-3.14</v>
      </c>
      <c r="L58" s="4">
        <v>-0.0692</v>
      </c>
      <c r="M58" s="4">
        <v>4.765</v>
      </c>
      <c r="N58" s="4" t="str">
        <f t="shared" si="11"/>
        <v/>
      </c>
      <c r="O58" s="4" t="str">
        <f t="shared" si="12"/>
        <v/>
      </c>
      <c r="P58" s="4">
        <f t="shared" si="13"/>
        <v>0.9383</v>
      </c>
      <c r="Q58" s="4">
        <f t="shared" si="9"/>
        <v>0.9383</v>
      </c>
      <c r="R58" s="4" t="str">
        <f t="shared" si="14"/>
        <v/>
      </c>
      <c r="S58" s="4" t="str">
        <f t="shared" si="15"/>
        <v/>
      </c>
      <c r="T58" s="4" t="str">
        <f t="shared" si="16"/>
        <v/>
      </c>
      <c r="U58" s="4" t="str">
        <f t="shared" si="10"/>
        <v/>
      </c>
    </row>
    <row r="59" spans="2:21">
      <c r="B59" s="4" t="s">
        <v>82</v>
      </c>
      <c r="C59" s="4">
        <v>0.714</v>
      </c>
      <c r="D59" s="4">
        <v>0.4369</v>
      </c>
      <c r="E59" s="4">
        <v>-0.0145</v>
      </c>
      <c r="F59" s="4">
        <v>1.0539</v>
      </c>
      <c r="G59" s="4">
        <v>0.0997</v>
      </c>
      <c r="H59" s="4">
        <v>0.0269</v>
      </c>
      <c r="I59" s="4">
        <v>0.6046</v>
      </c>
      <c r="J59" s="4">
        <v>-0.052</v>
      </c>
      <c r="K59" s="4">
        <v>2.6497</v>
      </c>
      <c r="L59" s="4">
        <v>-0.84</v>
      </c>
      <c r="M59" s="4">
        <v>-2.6684</v>
      </c>
      <c r="N59" s="4" t="str">
        <f t="shared" si="11"/>
        <v/>
      </c>
      <c r="O59" s="4" t="str">
        <f t="shared" si="12"/>
        <v/>
      </c>
      <c r="P59" s="4" t="str">
        <f t="shared" si="13"/>
        <v/>
      </c>
      <c r="Q59" s="4" t="str">
        <f t="shared" si="9"/>
        <v/>
      </c>
      <c r="R59" s="4" t="str">
        <f t="shared" si="14"/>
        <v/>
      </c>
      <c r="S59" s="4" t="str">
        <f t="shared" si="15"/>
        <v/>
      </c>
      <c r="T59" s="4">
        <f t="shared" si="16"/>
        <v>0.4881</v>
      </c>
      <c r="U59" s="4">
        <f t="shared" si="10"/>
        <v>0.4881</v>
      </c>
    </row>
    <row r="60" spans="2:21">
      <c r="B60" s="4" t="s">
        <v>83</v>
      </c>
      <c r="C60" s="4">
        <v>1.6624</v>
      </c>
      <c r="D60" s="4">
        <v>1.1261</v>
      </c>
      <c r="E60" s="4">
        <v>0.3216</v>
      </c>
      <c r="F60" s="4">
        <v>1.0478</v>
      </c>
      <c r="G60" s="4">
        <v>0.1248</v>
      </c>
      <c r="H60" s="4">
        <v>0.2706</v>
      </c>
      <c r="I60" s="4">
        <v>-0.2918</v>
      </c>
      <c r="J60" s="4">
        <v>0.1912</v>
      </c>
      <c r="K60" s="4">
        <v>2.0365</v>
      </c>
      <c r="L60" s="4">
        <v>0.3527</v>
      </c>
      <c r="M60" s="4">
        <v>-3.3763</v>
      </c>
      <c r="N60" s="4" t="str">
        <f t="shared" si="11"/>
        <v/>
      </c>
      <c r="O60" s="4" t="str">
        <f t="shared" si="12"/>
        <v/>
      </c>
      <c r="P60" s="4" t="str">
        <f t="shared" si="13"/>
        <v/>
      </c>
      <c r="Q60" s="4" t="str">
        <f t="shared" si="9"/>
        <v/>
      </c>
      <c r="R60" s="4" t="str">
        <f t="shared" si="14"/>
        <v/>
      </c>
      <c r="S60" s="4">
        <f t="shared" si="15"/>
        <v>0.4369</v>
      </c>
      <c r="T60" s="4" t="str">
        <f t="shared" si="16"/>
        <v/>
      </c>
      <c r="U60" s="4">
        <f t="shared" si="10"/>
        <v>0.4369</v>
      </c>
    </row>
    <row r="61" spans="2:21">
      <c r="B61" s="4" t="s">
        <v>84</v>
      </c>
      <c r="C61" s="4">
        <v>-0.2045</v>
      </c>
      <c r="D61" s="4">
        <v>0.0108</v>
      </c>
      <c r="E61" s="4">
        <v>-0.0145</v>
      </c>
      <c r="F61" s="4">
        <v>-1.3309</v>
      </c>
      <c r="G61" s="4">
        <v>-0.0623</v>
      </c>
      <c r="H61" s="4">
        <v>0.0541</v>
      </c>
      <c r="I61" s="4">
        <v>-0.8293</v>
      </c>
      <c r="J61" s="4">
        <v>-0.1562</v>
      </c>
      <c r="K61" s="4">
        <v>-3.4576</v>
      </c>
      <c r="L61" s="4">
        <v>0.6144</v>
      </c>
      <c r="M61" s="4">
        <v>-4.2328</v>
      </c>
      <c r="N61" s="4" t="str">
        <f t="shared" si="11"/>
        <v/>
      </c>
      <c r="O61" s="4" t="str">
        <f t="shared" si="12"/>
        <v/>
      </c>
      <c r="P61" s="4">
        <f t="shared" si="13"/>
        <v>1.6624</v>
      </c>
      <c r="Q61" s="4">
        <f t="shared" si="9"/>
        <v>1.6624</v>
      </c>
      <c r="R61" s="4" t="str">
        <f t="shared" si="14"/>
        <v/>
      </c>
      <c r="S61" s="4" t="str">
        <f t="shared" si="15"/>
        <v/>
      </c>
      <c r="T61" s="4" t="str">
        <f t="shared" si="16"/>
        <v/>
      </c>
      <c r="U61" s="4" t="str">
        <f t="shared" si="10"/>
        <v/>
      </c>
    </row>
    <row r="62" spans="2:21">
      <c r="B62" s="4" t="s">
        <v>85</v>
      </c>
      <c r="C62" s="4">
        <v>3.4631</v>
      </c>
      <c r="D62" s="4">
        <v>1.1887</v>
      </c>
      <c r="E62" s="4">
        <v>3.8252</v>
      </c>
      <c r="F62" s="4">
        <v>0.0435</v>
      </c>
      <c r="G62" s="4">
        <v>0.3379</v>
      </c>
      <c r="H62" s="4">
        <v>0.3987</v>
      </c>
      <c r="I62" s="4">
        <v>-0.1733</v>
      </c>
      <c r="J62" s="4">
        <v>-0.1213</v>
      </c>
      <c r="K62" s="4">
        <v>4.0932</v>
      </c>
      <c r="L62" s="4">
        <v>0.078</v>
      </c>
      <c r="M62" s="4">
        <v>1.8563</v>
      </c>
      <c r="N62" s="4" t="str">
        <f t="shared" si="11"/>
        <v/>
      </c>
      <c r="O62" s="4" t="str">
        <f t="shared" si="12"/>
        <v/>
      </c>
      <c r="P62" s="4" t="str">
        <f t="shared" si="13"/>
        <v/>
      </c>
      <c r="Q62" s="4" t="str">
        <f t="shared" si="9"/>
        <v/>
      </c>
      <c r="R62" s="4" t="str">
        <f t="shared" si="14"/>
        <v/>
      </c>
      <c r="S62" s="4" t="str">
        <f t="shared" si="15"/>
        <v/>
      </c>
      <c r="T62" s="4" t="str">
        <f t="shared" si="16"/>
        <v/>
      </c>
      <c r="U62" s="4" t="str">
        <f t="shared" si="10"/>
        <v/>
      </c>
    </row>
    <row r="63" spans="2:21">
      <c r="B63" s="4" t="s">
        <v>86</v>
      </c>
      <c r="C63" s="4">
        <v>0.8288</v>
      </c>
      <c r="D63" s="4">
        <v>0.7416</v>
      </c>
      <c r="E63" s="4">
        <v>-0.2273</v>
      </c>
      <c r="F63" s="4">
        <v>-0.7602</v>
      </c>
      <c r="G63" s="4">
        <v>0.0125</v>
      </c>
      <c r="H63" s="4">
        <v>0.0091</v>
      </c>
      <c r="I63" s="4">
        <v>0.406</v>
      </c>
      <c r="J63" s="4">
        <v>-0.1212</v>
      </c>
      <c r="K63" s="4">
        <v>-1.128</v>
      </c>
      <c r="L63" s="4">
        <v>-0.5512</v>
      </c>
      <c r="M63" s="4">
        <v>-0.358</v>
      </c>
      <c r="N63" s="4" t="str">
        <f t="shared" si="11"/>
        <v/>
      </c>
      <c r="O63" s="4" t="str">
        <f t="shared" si="12"/>
        <v/>
      </c>
      <c r="P63" s="4" t="str">
        <f t="shared" si="13"/>
        <v/>
      </c>
      <c r="Q63" s="4" t="str">
        <f t="shared" si="9"/>
        <v/>
      </c>
      <c r="R63" s="4" t="str">
        <f t="shared" si="14"/>
        <v/>
      </c>
      <c r="S63" s="4" t="str">
        <f t="shared" si="15"/>
        <v/>
      </c>
      <c r="T63" s="4" t="str">
        <f t="shared" si="16"/>
        <v/>
      </c>
      <c r="U63" s="4" t="str">
        <f t="shared" si="10"/>
        <v/>
      </c>
    </row>
    <row r="64" spans="2:21">
      <c r="B64" s="4" t="s">
        <v>87</v>
      </c>
      <c r="C64" s="4">
        <v>0.4038</v>
      </c>
      <c r="D64" s="4">
        <v>0.3528</v>
      </c>
      <c r="E64" s="4">
        <v>0.8708</v>
      </c>
      <c r="F64" s="4">
        <v>-0.0982</v>
      </c>
      <c r="G64" s="4">
        <v>0.0501</v>
      </c>
      <c r="H64" s="4">
        <v>0</v>
      </c>
      <c r="I64" s="4">
        <v>0.1354</v>
      </c>
      <c r="J64" s="4">
        <v>-0.0173</v>
      </c>
      <c r="K64" s="4">
        <v>-0.4284</v>
      </c>
      <c r="L64" s="4">
        <v>0</v>
      </c>
      <c r="M64" s="4">
        <v>-3.8991</v>
      </c>
      <c r="N64" s="4" t="str">
        <f t="shared" si="11"/>
        <v/>
      </c>
      <c r="O64" s="4">
        <f t="shared" si="12"/>
        <v>0.8288</v>
      </c>
      <c r="P64" s="4" t="str">
        <f t="shared" si="13"/>
        <v/>
      </c>
      <c r="Q64" s="4">
        <f t="shared" si="9"/>
        <v>0.8288</v>
      </c>
      <c r="R64" s="4" t="str">
        <f t="shared" si="14"/>
        <v/>
      </c>
      <c r="S64" s="4" t="str">
        <f t="shared" si="15"/>
        <v/>
      </c>
      <c r="T64" s="4" t="str">
        <f t="shared" si="16"/>
        <v/>
      </c>
      <c r="U64" s="4" t="str">
        <f t="shared" si="10"/>
        <v/>
      </c>
    </row>
    <row r="65" spans="2:21">
      <c r="B65" s="4" t="s">
        <v>88</v>
      </c>
      <c r="C65" s="4">
        <v>3.3188</v>
      </c>
      <c r="D65" s="4">
        <v>2.1166</v>
      </c>
      <c r="E65" s="4">
        <v>1.8674</v>
      </c>
      <c r="F65" s="4">
        <v>1.4338</v>
      </c>
      <c r="G65" s="4">
        <v>0.6428</v>
      </c>
      <c r="H65" s="4">
        <v>0.2361</v>
      </c>
      <c r="I65" s="4">
        <v>1.096</v>
      </c>
      <c r="J65" s="4">
        <v>0.104</v>
      </c>
      <c r="K65" s="4">
        <v>3.0795</v>
      </c>
      <c r="L65" s="4">
        <v>0.2158</v>
      </c>
      <c r="M65" s="4">
        <v>-3.433</v>
      </c>
      <c r="N65" s="4" t="str">
        <f t="shared" si="11"/>
        <v/>
      </c>
      <c r="O65" s="4" t="str">
        <f t="shared" si="12"/>
        <v/>
      </c>
      <c r="P65" s="4" t="str">
        <f t="shared" si="13"/>
        <v/>
      </c>
      <c r="Q65" s="4" t="str">
        <f t="shared" si="9"/>
        <v/>
      </c>
      <c r="R65" s="4" t="str">
        <f t="shared" si="14"/>
        <v/>
      </c>
      <c r="S65" s="4">
        <f t="shared" si="15"/>
        <v>0.3528</v>
      </c>
      <c r="T65" s="4" t="str">
        <f t="shared" si="16"/>
        <v/>
      </c>
      <c r="U65" s="4">
        <f t="shared" si="10"/>
        <v>0.3528</v>
      </c>
    </row>
    <row r="66" spans="2:21">
      <c r="B66" s="4" t="s">
        <v>89</v>
      </c>
      <c r="C66" s="4">
        <v>-1.23</v>
      </c>
      <c r="D66" s="4">
        <v>-1.333</v>
      </c>
      <c r="E66" s="4">
        <v>-1.0928</v>
      </c>
      <c r="F66" s="4">
        <v>-1.6562</v>
      </c>
      <c r="G66" s="4">
        <v>-0.2389</v>
      </c>
      <c r="H66" s="4">
        <v>-0.3349</v>
      </c>
      <c r="I66" s="4">
        <v>-1.237</v>
      </c>
      <c r="J66" s="4">
        <v>-0.1384</v>
      </c>
      <c r="K66" s="4">
        <v>-3.8559</v>
      </c>
      <c r="L66" s="4">
        <v>-0.966</v>
      </c>
      <c r="M66" s="4">
        <v>1.3468</v>
      </c>
      <c r="N66" s="4" t="str">
        <f t="shared" si="11"/>
        <v/>
      </c>
      <c r="O66" s="4" t="str">
        <f t="shared" si="12"/>
        <v/>
      </c>
      <c r="P66" s="4" t="str">
        <f t="shared" si="13"/>
        <v/>
      </c>
      <c r="Q66" s="4" t="str">
        <f t="shared" si="9"/>
        <v/>
      </c>
      <c r="R66" s="4">
        <f t="shared" si="14"/>
        <v>2.1166</v>
      </c>
      <c r="S66" s="4" t="str">
        <f t="shared" si="15"/>
        <v/>
      </c>
      <c r="T66" s="4" t="str">
        <f t="shared" si="16"/>
        <v/>
      </c>
      <c r="U66" s="4">
        <f t="shared" si="10"/>
        <v>2.1166</v>
      </c>
    </row>
    <row r="67" spans="2:21">
      <c r="B67" s="4" t="s">
        <v>90</v>
      </c>
      <c r="C67" s="4">
        <v>-0.9279</v>
      </c>
      <c r="D67" s="4">
        <v>-0.183</v>
      </c>
      <c r="E67" s="4">
        <v>-0.1537</v>
      </c>
      <c r="F67" s="4">
        <v>0.2732</v>
      </c>
      <c r="G67" s="4">
        <v>0.1006</v>
      </c>
      <c r="H67" s="4">
        <v>-0.1176</v>
      </c>
      <c r="I67" s="4">
        <v>1.2525</v>
      </c>
      <c r="J67" s="4">
        <v>-0.0864</v>
      </c>
      <c r="K67" s="4">
        <v>-0.2404</v>
      </c>
      <c r="L67" s="4">
        <v>0.7754</v>
      </c>
      <c r="M67" s="4">
        <v>-3.3098</v>
      </c>
      <c r="N67" s="4" t="str">
        <f t="shared" si="11"/>
        <v/>
      </c>
      <c r="O67" s="4" t="str">
        <f t="shared" si="12"/>
        <v/>
      </c>
      <c r="P67" s="4" t="str">
        <f t="shared" si="13"/>
        <v/>
      </c>
      <c r="Q67" s="4" t="str">
        <f t="shared" si="9"/>
        <v/>
      </c>
      <c r="R67" s="4" t="str">
        <f t="shared" si="14"/>
        <v/>
      </c>
      <c r="S67" s="4" t="str">
        <f t="shared" si="15"/>
        <v/>
      </c>
      <c r="T67" s="4" t="str">
        <f t="shared" si="16"/>
        <v/>
      </c>
      <c r="U67" s="4" t="str">
        <f t="shared" si="10"/>
        <v/>
      </c>
    </row>
    <row r="68" spans="2:21">
      <c r="B68" s="4" t="s">
        <v>91</v>
      </c>
      <c r="C68" s="4">
        <v>-3.0641</v>
      </c>
      <c r="D68" s="4">
        <v>-2.45</v>
      </c>
      <c r="E68" s="4">
        <v>-3.4284</v>
      </c>
      <c r="F68" s="4">
        <v>-2.322</v>
      </c>
      <c r="G68" s="4">
        <v>-0.4884</v>
      </c>
      <c r="H68" s="4">
        <v>-0.3603</v>
      </c>
      <c r="I68" s="4">
        <v>-0.3706</v>
      </c>
      <c r="J68" s="4">
        <v>-0.2586</v>
      </c>
      <c r="K68" s="4">
        <v>-7.025</v>
      </c>
      <c r="L68" s="4">
        <v>-0.8795</v>
      </c>
      <c r="M68" s="4">
        <v>6.7787</v>
      </c>
      <c r="N68" s="4">
        <f t="shared" si="11"/>
        <v>-0.9279</v>
      </c>
      <c r="O68" s="4" t="str">
        <f t="shared" si="12"/>
        <v/>
      </c>
      <c r="P68" s="4" t="str">
        <f t="shared" si="13"/>
        <v/>
      </c>
      <c r="Q68" s="4">
        <f t="shared" si="9"/>
        <v>-0.9279</v>
      </c>
      <c r="R68" s="4" t="str">
        <f t="shared" si="14"/>
        <v/>
      </c>
      <c r="S68" s="4" t="str">
        <f t="shared" si="15"/>
        <v/>
      </c>
      <c r="T68" s="4" t="str">
        <f t="shared" si="16"/>
        <v/>
      </c>
      <c r="U68" s="4" t="str">
        <f t="shared" si="10"/>
        <v/>
      </c>
    </row>
    <row r="69" spans="2:21">
      <c r="B69" s="4" t="s">
        <v>92</v>
      </c>
      <c r="C69" s="4">
        <v>1.4354</v>
      </c>
      <c r="D69" s="4">
        <v>1.5209</v>
      </c>
      <c r="E69" s="4">
        <v>0.2529</v>
      </c>
      <c r="F69" s="4">
        <v>-0.7642</v>
      </c>
      <c r="G69" s="4">
        <v>-0.0751</v>
      </c>
      <c r="H69" s="4">
        <v>-0.0989</v>
      </c>
      <c r="I69" s="4">
        <v>0.5884</v>
      </c>
      <c r="J69" s="4">
        <v>-0.2922</v>
      </c>
      <c r="K69" s="4">
        <v>-2.3693</v>
      </c>
      <c r="L69" s="4">
        <v>0.2998</v>
      </c>
      <c r="M69" s="4">
        <v>-3.4135</v>
      </c>
      <c r="N69" s="4" t="str">
        <f t="shared" si="11"/>
        <v/>
      </c>
      <c r="O69" s="4" t="str">
        <f t="shared" si="12"/>
        <v/>
      </c>
      <c r="P69" s="4" t="str">
        <f t="shared" si="13"/>
        <v/>
      </c>
      <c r="Q69" s="4" t="str">
        <f t="shared" si="9"/>
        <v/>
      </c>
      <c r="R69" s="4" t="str">
        <f t="shared" si="14"/>
        <v/>
      </c>
      <c r="S69" s="4" t="str">
        <f t="shared" si="15"/>
        <v/>
      </c>
      <c r="T69" s="4" t="str">
        <f t="shared" si="16"/>
        <v/>
      </c>
      <c r="U69" s="4" t="str">
        <f t="shared" si="10"/>
        <v/>
      </c>
    </row>
    <row r="70" spans="2:21">
      <c r="B70" s="4" t="s">
        <v>93</v>
      </c>
      <c r="C70" s="4">
        <v>2.0736</v>
      </c>
      <c r="D70" s="4">
        <v>1.1552</v>
      </c>
      <c r="E70" s="4">
        <v>2.1118</v>
      </c>
      <c r="F70" s="4">
        <v>-0.5613</v>
      </c>
      <c r="G70" s="4">
        <v>0.0501</v>
      </c>
      <c r="H70" s="4">
        <v>0</v>
      </c>
      <c r="I70" s="4">
        <v>-1.1438</v>
      </c>
      <c r="J70" s="4">
        <v>-0.1716</v>
      </c>
      <c r="K70" s="4">
        <v>-0.9368</v>
      </c>
      <c r="L70" s="4">
        <v>0.7767</v>
      </c>
      <c r="M70" s="4">
        <v>-0.667</v>
      </c>
      <c r="N70" s="4" t="str">
        <f t="shared" si="11"/>
        <v/>
      </c>
      <c r="O70" s="4">
        <f t="shared" si="12"/>
        <v>1.4354</v>
      </c>
      <c r="P70" s="4" t="str">
        <f t="shared" si="13"/>
        <v/>
      </c>
      <c r="Q70" s="4">
        <f t="shared" si="9"/>
        <v>1.4354</v>
      </c>
      <c r="R70" s="4" t="str">
        <f t="shared" si="14"/>
        <v/>
      </c>
      <c r="S70" s="4" t="str">
        <f t="shared" si="15"/>
        <v/>
      </c>
      <c r="T70" s="4" t="str">
        <f t="shared" si="16"/>
        <v/>
      </c>
      <c r="U70" s="4" t="str">
        <f t="shared" si="10"/>
        <v/>
      </c>
    </row>
    <row r="71" spans="2:21">
      <c r="B71" s="4" t="s">
        <v>94</v>
      </c>
      <c r="C71" s="4">
        <v>-1.7566</v>
      </c>
      <c r="D71" s="4">
        <v>-0.3266</v>
      </c>
      <c r="E71" s="4">
        <v>-3.0489</v>
      </c>
      <c r="F71" s="4">
        <v>-0.3957</v>
      </c>
      <c r="G71" s="4">
        <v>-0.1375</v>
      </c>
      <c r="H71" s="4">
        <v>-0.1707</v>
      </c>
      <c r="I71" s="4">
        <v>0.7815</v>
      </c>
      <c r="J71" s="4">
        <v>-0.2568</v>
      </c>
      <c r="K71" s="4">
        <v>-0.4713</v>
      </c>
      <c r="L71" s="4">
        <v>0.2423</v>
      </c>
      <c r="M71" s="4">
        <v>-2.1219</v>
      </c>
      <c r="N71" s="4" t="str">
        <f t="shared" si="11"/>
        <v/>
      </c>
      <c r="O71" s="4" t="str">
        <f t="shared" si="12"/>
        <v/>
      </c>
      <c r="P71" s="4" t="str">
        <f t="shared" si="13"/>
        <v/>
      </c>
      <c r="Q71" s="4" t="str">
        <f t="shared" si="9"/>
        <v/>
      </c>
      <c r="R71" s="4" t="str">
        <f t="shared" si="14"/>
        <v/>
      </c>
      <c r="S71" s="4" t="str">
        <f t="shared" si="15"/>
        <v/>
      </c>
      <c r="T71" s="4" t="str">
        <f t="shared" si="16"/>
        <v/>
      </c>
      <c r="U71" s="4" t="str">
        <f t="shared" si="10"/>
        <v/>
      </c>
    </row>
    <row r="72" spans="2:21">
      <c r="B72" s="4" t="s">
        <v>95</v>
      </c>
      <c r="C72" s="4">
        <v>0.5458</v>
      </c>
      <c r="D72" s="4">
        <v>0.3667</v>
      </c>
      <c r="E72" s="4">
        <v>-0.0737</v>
      </c>
      <c r="F72" s="4">
        <v>0.2029</v>
      </c>
      <c r="G72" s="4">
        <v>-0.1997</v>
      </c>
      <c r="H72" s="4">
        <v>-0.0808</v>
      </c>
      <c r="I72" s="4">
        <v>-0.1171</v>
      </c>
      <c r="J72" s="4">
        <v>-0.3072</v>
      </c>
      <c r="K72" s="4">
        <v>3.1822</v>
      </c>
      <c r="L72" s="4">
        <v>-1.163</v>
      </c>
      <c r="M72" s="4">
        <v>6.9226</v>
      </c>
      <c r="N72" s="4" t="str">
        <f t="shared" si="11"/>
        <v/>
      </c>
      <c r="O72" s="4" t="str">
        <f t="shared" si="12"/>
        <v/>
      </c>
      <c r="P72" s="4" t="str">
        <f t="shared" si="13"/>
        <v/>
      </c>
      <c r="Q72" s="4" t="str">
        <f t="shared" si="9"/>
        <v/>
      </c>
      <c r="R72" s="4" t="str">
        <f t="shared" si="14"/>
        <v/>
      </c>
      <c r="S72" s="4" t="str">
        <f t="shared" si="15"/>
        <v/>
      </c>
      <c r="T72" s="4">
        <f t="shared" si="16"/>
        <v>-0.3266</v>
      </c>
      <c r="U72" s="4">
        <f t="shared" si="10"/>
        <v>-0.3266</v>
      </c>
    </row>
    <row r="73" spans="2:21">
      <c r="B73" s="4" t="s">
        <v>96</v>
      </c>
      <c r="C73" s="4">
        <v>4.6934</v>
      </c>
      <c r="D73" s="4">
        <v>1.6951</v>
      </c>
      <c r="E73" s="4">
        <v>2.0273</v>
      </c>
      <c r="F73" s="4">
        <v>0.4842</v>
      </c>
      <c r="G73" s="4">
        <v>0.3506</v>
      </c>
      <c r="H73" s="4">
        <v>0.3332</v>
      </c>
      <c r="I73" s="4">
        <v>-0.6015</v>
      </c>
      <c r="J73" s="4">
        <v>0.0683</v>
      </c>
      <c r="K73" s="4">
        <v>3.1291</v>
      </c>
      <c r="L73" s="4">
        <v>-0.3748</v>
      </c>
      <c r="M73" s="4">
        <v>0.644</v>
      </c>
      <c r="N73" s="4" t="str">
        <f t="shared" si="11"/>
        <v/>
      </c>
      <c r="O73" s="4" t="str">
        <f t="shared" si="12"/>
        <v/>
      </c>
      <c r="P73" s="4" t="str">
        <f t="shared" si="13"/>
        <v/>
      </c>
      <c r="Q73" s="4" t="str">
        <f t="shared" si="9"/>
        <v/>
      </c>
      <c r="R73" s="4" t="str">
        <f t="shared" si="14"/>
        <v/>
      </c>
      <c r="S73" s="4">
        <f t="shared" si="15"/>
        <v>0.3667</v>
      </c>
      <c r="T73" s="4">
        <f t="shared" si="16"/>
        <v>0.3667</v>
      </c>
      <c r="U73" s="4">
        <f t="shared" si="10"/>
        <v>0.3667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幽若玲珑</cp:lastModifiedBy>
  <dcterms:created xsi:type="dcterms:W3CDTF">2026-08-10T04:29:00Z</dcterms:created>
  <dcterms:modified xsi:type="dcterms:W3CDTF">2026-08-10T04:34:51Z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5CDC20FF50AA418682E13E6E1C5CB346_12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