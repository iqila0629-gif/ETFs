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=IF(COUNT(B15:B16)=2,(B15/B16-1)*100,"")</t>
        </is>
      </c>
    </row>
    <row r="10">
      <c r="A10" t="inlineStr">
        <is>
          <t xml:space="preserve">   B15 是今日 Adj Close，B16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Close，回报率由 Adj Close 计算；</t>
        </is>
      </c>
    </row>
    <row r="14">
      <c r="A14" t="inlineStr">
        <is>
          <t xml:space="preserve">   表内按区块排列：基金原始价→基金回报；ETF 原始 OHLC→ETF 回报；外部 VIX→回报。</t>
        </is>
      </c>
    </row>
    <row r="15">
      <c r="A15" t="inlineStr">
        <is>
          <t xml:space="preserve">   所有回报率均以百分比显示并保留4位小数。</t>
        </is>
      </c>
    </row>
    <row r="16">
      <c r="A16" t="inlineStr">
        <is>
          <t>3. 策略公式</t>
        </is>
      </c>
    </row>
    <row r="17">
      <c r="A17" t="inlineStr">
        <is>
          <t xml:space="preserve">   =IF(条件, 该基金次日实际回报, "")</t>
        </is>
      </c>
    </row>
    <row r="18">
      <c r="A18" t="inlineStr">
        <is>
          <t xml:space="preserve">   条件引用回报率列和阈值参数；满足条件时显示次日实际回报（日期降序，次日=上一行）。</t>
        </is>
      </c>
    </row>
    <row r="19">
      <c r="A19" t="inlineStr">
        <is>
          <t>4. 合并公式</t>
        </is>
      </c>
    </row>
    <row r="20">
      <c r="A20" t="inlineStr">
        <is>
          <t xml:space="preserve">   策略列按 |全历史Average| 从高到低排列，合并列取第一个非空策略：</t>
        </is>
      </c>
    </row>
    <row r="21">
      <c r="A21" t="inlineStr">
        <is>
          <t xml:space="preserve">   =IF(策略1&lt;&gt;"",策略1,IF(策略2&lt;&gt;"",策略2,策略3))</t>
        </is>
      </c>
    </row>
    <row r="22">
      <c r="A22" t="inlineStr">
        <is>
          <t xml:space="preserve">   同一天多条策略触发时，历史 |Average| 最大的策略生效；全部未触发则留空。</t>
        </is>
      </c>
    </row>
    <row r="23">
      <c r="A23" t="inlineStr">
        <is>
          <t>5. 阈值参数</t>
        </is>
      </c>
    </row>
    <row r="24">
      <c r="A24" t="inlineStr">
        <is>
          <t xml:space="preserve">   每个策略列正上方的第11/12/13行是该策略条件阈值：二条件用12/13行，三条件额外用11行；</t>
        </is>
      </c>
    </row>
    <row r="25">
      <c r="A25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L74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>
        <f>AH3/(AH3+AH4)</f>
        <v/>
      </c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>
        <f>AO3/(AO3+AO4)</f>
        <v/>
      </c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>
        <f>AV3/(AV3+AV4)</f>
        <v/>
      </c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>
        <f>BC3/(BC3+BC4)</f>
        <v/>
      </c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>
        <f>BJ3/(BJ3+BJ4)</f>
        <v/>
      </c>
      <c r="BK2" s="3">
        <f>BK3/(BK3+BK4)</f>
        <v/>
      </c>
      <c r="BL2" s="3">
        <f>BL3/(BL3+BL4)</f>
        <v/>
      </c>
    </row>
    <row r="3">
      <c r="A3" s="2" t="inlineStr">
        <is>
          <t>Up Count</t>
        </is>
      </c>
      <c r="B3" s="3">
        <f>COUNTIF(B15:B74,"&gt;0")</f>
        <v/>
      </c>
      <c r="C3" s="3">
        <f>COUNTIF(C15:C74,"&gt;0")</f>
        <v/>
      </c>
      <c r="D3" s="3">
        <f>COUNTIF(D15:D74,"&gt;0")</f>
        <v/>
      </c>
      <c r="E3" s="3">
        <f>COUNTIF(E15:E74,"&gt;0")</f>
        <v/>
      </c>
      <c r="F3" s="3">
        <f>COUNTIF(F15:F74,"&gt;0")</f>
        <v/>
      </c>
      <c r="G3" s="3">
        <f>COUNTIF(G15:G74,"&gt;0")</f>
        <v/>
      </c>
      <c r="H3" s="3">
        <f>COUNTIF(H15:H74,"&gt;0")</f>
        <v/>
      </c>
      <c r="I3" s="3">
        <f>COUNTIF(I15:I74,"&gt;0")</f>
        <v/>
      </c>
      <c r="J3" s="3">
        <f>COUNTIF(J15:J74,"&gt;0")</f>
        <v/>
      </c>
      <c r="K3" s="3">
        <f>COUNTIF(K15:K74,"&gt;0")</f>
        <v/>
      </c>
      <c r="L3" s="3">
        <f>COUNTIF(L15:L74,"&gt;0")</f>
        <v/>
      </c>
      <c r="M3" s="3">
        <f>COUNTIF(M15:M74,"&gt;0")</f>
        <v/>
      </c>
      <c r="N3" s="3">
        <f>COUNTIF(N15:N74,"&gt;0")</f>
        <v/>
      </c>
      <c r="O3" s="3">
        <f>COUNTIF(O15:O74,"&gt;0")</f>
        <v/>
      </c>
      <c r="P3" s="3">
        <f>COUNTIF(P15:P74,"&gt;0")</f>
        <v/>
      </c>
      <c r="Q3" s="3">
        <f>COUNTIF(Q15:Q74,"&gt;0")</f>
        <v/>
      </c>
      <c r="R3" s="3">
        <f>COUNTIF(R15:R74,"&gt;0")</f>
        <v/>
      </c>
      <c r="S3" s="3">
        <f>COUNTIF(S15:S74,"&gt;0")</f>
        <v/>
      </c>
      <c r="T3" s="3">
        <f>COUNTIF(T15:T74,"&gt;0")</f>
        <v/>
      </c>
      <c r="U3" s="3">
        <f>COUNTIF(U15:U74,"&gt;0")</f>
        <v/>
      </c>
      <c r="V3" s="3">
        <f>COUNTIF(V15:V74,"&gt;0")</f>
        <v/>
      </c>
      <c r="W3" s="3">
        <f>COUNTIF(W15:W74,"&gt;0")</f>
        <v/>
      </c>
      <c r="X3" s="3">
        <f>COUNTIF(X15:X74,"&gt;0")</f>
        <v/>
      </c>
      <c r="Y3" s="3">
        <f>COUNTIF(Y15:Y74,"&gt;0")</f>
        <v/>
      </c>
      <c r="Z3" s="3">
        <f>COUNTIF(Z15:Z74,"&gt;0")</f>
        <v/>
      </c>
      <c r="AA3" s="3">
        <f>COUNTIF(AA15:AA74,"&gt;0")</f>
        <v/>
      </c>
      <c r="AB3" s="3">
        <f>COUNTIF(AB15:AB74,"&gt;0")</f>
        <v/>
      </c>
      <c r="AC3" s="3">
        <f>COUNTIF(AC15:AC74,"&gt;0")</f>
        <v/>
      </c>
      <c r="AD3" s="3">
        <f>COUNTIF(AD15:AD74,"&gt;0")</f>
        <v/>
      </c>
      <c r="AE3" s="3">
        <f>COUNTIF(AE15:AE74,"&gt;0")</f>
        <v/>
      </c>
      <c r="AF3" s="3">
        <f>COUNTIF(AF15:AF74,"&gt;0")</f>
        <v/>
      </c>
      <c r="AG3" s="3">
        <f>COUNTIF(AG15:AG74,"&gt;0")</f>
        <v/>
      </c>
      <c r="AH3" s="3">
        <f>COUNTIF(AH15:AH74,"&gt;0")</f>
        <v/>
      </c>
      <c r="AI3" s="3">
        <f>COUNTIF(AI15:AI74,"&gt;0")</f>
        <v/>
      </c>
      <c r="AJ3" s="3">
        <f>COUNTIF(AJ15:AJ74,"&gt;0")</f>
        <v/>
      </c>
      <c r="AK3" s="3">
        <f>COUNTIF(AK15:AK74,"&gt;0")</f>
        <v/>
      </c>
      <c r="AL3" s="3">
        <f>COUNTIF(AL15:AL74,"&gt;0")</f>
        <v/>
      </c>
      <c r="AM3" s="3">
        <f>COUNTIF(AM15:AM74,"&gt;0")</f>
        <v/>
      </c>
      <c r="AN3" s="3">
        <f>COUNTIF(AN15:AN74,"&gt;0")</f>
        <v/>
      </c>
      <c r="AO3" s="3">
        <f>COUNTIF(AO15:AO74,"&gt;0")</f>
        <v/>
      </c>
      <c r="AP3" s="3">
        <f>COUNTIF(AP15:AP74,"&gt;0")</f>
        <v/>
      </c>
      <c r="AQ3" s="3">
        <f>COUNTIF(AQ15:AQ74,"&gt;0")</f>
        <v/>
      </c>
      <c r="AR3" s="3">
        <f>COUNTIF(AR15:AR74,"&gt;0")</f>
        <v/>
      </c>
      <c r="AS3" s="3">
        <f>COUNTIF(AS15:AS74,"&gt;0")</f>
        <v/>
      </c>
      <c r="AT3" s="3">
        <f>COUNTIF(AT15:AT74,"&gt;0")</f>
        <v/>
      </c>
      <c r="AU3" s="3">
        <f>COUNTIF(AU15:AU74,"&gt;0")</f>
        <v/>
      </c>
      <c r="AV3" s="3">
        <f>COUNTIF(AV15:AV74,"&gt;0")</f>
        <v/>
      </c>
      <c r="AW3" s="3">
        <f>COUNTIF(AW15:AW74,"&gt;0")</f>
        <v/>
      </c>
      <c r="AX3" s="3">
        <f>COUNTIF(AX15:AX74,"&gt;0")</f>
        <v/>
      </c>
      <c r="AY3" s="3">
        <f>COUNTIF(AY15:AY74,"&gt;0")</f>
        <v/>
      </c>
      <c r="AZ3" s="3">
        <f>COUNTIF(AZ15:AZ74,"&gt;0")</f>
        <v/>
      </c>
      <c r="BA3" s="3">
        <f>COUNTIF(BA15:BA74,"&gt;0")</f>
        <v/>
      </c>
      <c r="BB3" s="3">
        <f>COUNTIF(BB15:BB74,"&gt;0")</f>
        <v/>
      </c>
      <c r="BC3" s="3">
        <f>COUNTIF(BC15:BC74,"&gt;0")</f>
        <v/>
      </c>
      <c r="BD3" s="3">
        <f>COUNTIF(BD15:BD74,"&gt;0")</f>
        <v/>
      </c>
      <c r="BE3" s="3">
        <f>COUNTIF(BE15:BE74,"&gt;0")</f>
        <v/>
      </c>
      <c r="BF3" s="3">
        <f>COUNTIF(BF15:BF74,"&gt;0")</f>
        <v/>
      </c>
      <c r="BG3" s="3">
        <f>COUNTIF(BG15:BG74,"&gt;0")</f>
        <v/>
      </c>
      <c r="BH3" s="3">
        <f>COUNTIF(BH15:BH74,"&gt;0")</f>
        <v/>
      </c>
      <c r="BI3" s="3">
        <f>COUNTIF(BI15:BI74,"&gt;0")</f>
        <v/>
      </c>
      <c r="BJ3" s="3">
        <f>COUNTIF(BJ15:BJ74,"&gt;0")</f>
        <v/>
      </c>
      <c r="BK3" s="3">
        <f>COUNTIF(BK15:BK74,"&gt;0")</f>
        <v/>
      </c>
      <c r="BL3" s="3">
        <f>COUNTIF(BL15:BL74,"&gt;0")</f>
        <v/>
      </c>
    </row>
    <row r="4">
      <c r="A4" s="2" t="inlineStr">
        <is>
          <t>Down Count</t>
        </is>
      </c>
      <c r="B4" s="3">
        <f>COUNTIF(B15:B74,"&lt;0")</f>
        <v/>
      </c>
      <c r="C4" s="3">
        <f>COUNTIF(C15:C74,"&lt;0")</f>
        <v/>
      </c>
      <c r="D4" s="3">
        <f>COUNTIF(D15:D74,"&lt;0")</f>
        <v/>
      </c>
      <c r="E4" s="3">
        <f>COUNTIF(E15:E74,"&lt;0")</f>
        <v/>
      </c>
      <c r="F4" s="3">
        <f>COUNTIF(F15:F74,"&lt;0")</f>
        <v/>
      </c>
      <c r="G4" s="3">
        <f>COUNTIF(G15:G74,"&lt;0")</f>
        <v/>
      </c>
      <c r="H4" s="3">
        <f>COUNTIF(H15:H74,"&lt;0")</f>
        <v/>
      </c>
      <c r="I4" s="3">
        <f>COUNTIF(I15:I74,"&lt;0")</f>
        <v/>
      </c>
      <c r="J4" s="3">
        <f>COUNTIF(J15:J74,"&lt;0")</f>
        <v/>
      </c>
      <c r="K4" s="3">
        <f>COUNTIF(K15:K74,"&lt;0")</f>
        <v/>
      </c>
      <c r="L4" s="3">
        <f>COUNTIF(L15:L74,"&lt;0")</f>
        <v/>
      </c>
      <c r="M4" s="3">
        <f>COUNTIF(M15:M74,"&lt;0")</f>
        <v/>
      </c>
      <c r="N4" s="3">
        <f>COUNTIF(N15:N74,"&lt;0")</f>
        <v/>
      </c>
      <c r="O4" s="3">
        <f>COUNTIF(O15:O74,"&lt;0")</f>
        <v/>
      </c>
      <c r="P4" s="3">
        <f>COUNTIF(P15:P74,"&lt;0")</f>
        <v/>
      </c>
      <c r="Q4" s="3">
        <f>COUNTIF(Q15:Q74,"&lt;0")</f>
        <v/>
      </c>
      <c r="R4" s="3">
        <f>COUNTIF(R15:R74,"&lt;0")</f>
        <v/>
      </c>
      <c r="S4" s="3">
        <f>COUNTIF(S15:S74,"&lt;0")</f>
        <v/>
      </c>
      <c r="T4" s="3">
        <f>COUNTIF(T15:T74,"&lt;0")</f>
        <v/>
      </c>
      <c r="U4" s="3">
        <f>COUNTIF(U15:U74,"&lt;0")</f>
        <v/>
      </c>
      <c r="V4" s="3">
        <f>COUNTIF(V15:V74,"&lt;0")</f>
        <v/>
      </c>
      <c r="W4" s="3">
        <f>COUNTIF(W15:W74,"&lt;0")</f>
        <v/>
      </c>
      <c r="X4" s="3">
        <f>COUNTIF(X15:X74,"&lt;0")</f>
        <v/>
      </c>
      <c r="Y4" s="3">
        <f>COUNTIF(Y15:Y74,"&lt;0")</f>
        <v/>
      </c>
      <c r="Z4" s="3">
        <f>COUNTIF(Z15:Z74,"&lt;0")</f>
        <v/>
      </c>
      <c r="AA4" s="3">
        <f>COUNTIF(AA15:AA74,"&lt;0")</f>
        <v/>
      </c>
      <c r="AB4" s="3">
        <f>COUNTIF(AB15:AB74,"&lt;0")</f>
        <v/>
      </c>
      <c r="AC4" s="3">
        <f>COUNTIF(AC15:AC74,"&lt;0")</f>
        <v/>
      </c>
      <c r="AD4" s="3">
        <f>COUNTIF(AD15:AD74,"&lt;0")</f>
        <v/>
      </c>
      <c r="AE4" s="3">
        <f>COUNTIF(AE15:AE74,"&lt;0")</f>
        <v/>
      </c>
      <c r="AF4" s="3">
        <f>COUNTIF(AF15:AF74,"&lt;0")</f>
        <v/>
      </c>
      <c r="AG4" s="3">
        <f>COUNTIF(AG15:AG74,"&lt;0")</f>
        <v/>
      </c>
      <c r="AH4" s="3">
        <f>COUNTIF(AH15:AH74,"&lt;0")</f>
        <v/>
      </c>
      <c r="AI4" s="3">
        <f>COUNTIF(AI15:AI74,"&lt;0")</f>
        <v/>
      </c>
      <c r="AJ4" s="3">
        <f>COUNTIF(AJ15:AJ74,"&lt;0")</f>
        <v/>
      </c>
      <c r="AK4" s="3">
        <f>COUNTIF(AK15:AK74,"&lt;0")</f>
        <v/>
      </c>
      <c r="AL4" s="3">
        <f>COUNTIF(AL15:AL74,"&lt;0")</f>
        <v/>
      </c>
      <c r="AM4" s="3">
        <f>COUNTIF(AM15:AM74,"&lt;0")</f>
        <v/>
      </c>
      <c r="AN4" s="3">
        <f>COUNTIF(AN15:AN74,"&lt;0")</f>
        <v/>
      </c>
      <c r="AO4" s="3">
        <f>COUNTIF(AO15:AO74,"&lt;0")</f>
        <v/>
      </c>
      <c r="AP4" s="3">
        <f>COUNTIF(AP15:AP74,"&lt;0")</f>
        <v/>
      </c>
      <c r="AQ4" s="3">
        <f>COUNTIF(AQ15:AQ74,"&lt;0")</f>
        <v/>
      </c>
      <c r="AR4" s="3">
        <f>COUNTIF(AR15:AR74,"&lt;0")</f>
        <v/>
      </c>
      <c r="AS4" s="3">
        <f>COUNTIF(AS15:AS74,"&lt;0")</f>
        <v/>
      </c>
      <c r="AT4" s="3">
        <f>COUNTIF(AT15:AT74,"&lt;0")</f>
        <v/>
      </c>
      <c r="AU4" s="3">
        <f>COUNTIF(AU15:AU74,"&lt;0")</f>
        <v/>
      </c>
      <c r="AV4" s="3">
        <f>COUNTIF(AV15:AV74,"&lt;0")</f>
        <v/>
      </c>
      <c r="AW4" s="3">
        <f>COUNTIF(AW15:AW74,"&lt;0")</f>
        <v/>
      </c>
      <c r="AX4" s="3">
        <f>COUNTIF(AX15:AX74,"&lt;0")</f>
        <v/>
      </c>
      <c r="AY4" s="3">
        <f>COUNTIF(AY15:AY74,"&lt;0")</f>
        <v/>
      </c>
      <c r="AZ4" s="3">
        <f>COUNTIF(AZ15:AZ74,"&lt;0")</f>
        <v/>
      </c>
      <c r="BA4" s="3">
        <f>COUNTIF(BA15:BA74,"&lt;0")</f>
        <v/>
      </c>
      <c r="BB4" s="3">
        <f>COUNTIF(BB15:BB74,"&lt;0")</f>
        <v/>
      </c>
      <c r="BC4" s="3">
        <f>COUNTIF(BC15:BC74,"&lt;0")</f>
        <v/>
      </c>
      <c r="BD4" s="3">
        <f>COUNTIF(BD15:BD74,"&lt;0")</f>
        <v/>
      </c>
      <c r="BE4" s="3">
        <f>COUNTIF(BE15:BE74,"&lt;0")</f>
        <v/>
      </c>
      <c r="BF4" s="3">
        <f>COUNTIF(BF15:BF74,"&lt;0")</f>
        <v/>
      </c>
      <c r="BG4" s="3">
        <f>COUNTIF(BG15:BG74,"&lt;0")</f>
        <v/>
      </c>
      <c r="BH4" s="3">
        <f>COUNTIF(BH15:BH74,"&lt;0")</f>
        <v/>
      </c>
      <c r="BI4" s="3">
        <f>COUNTIF(BI15:BI74,"&lt;0")</f>
        <v/>
      </c>
      <c r="BJ4" s="3">
        <f>COUNTIF(BJ15:BJ74,"&lt;0")</f>
        <v/>
      </c>
      <c r="BK4" s="3">
        <f>COUNTIF(BK15:BK74,"&lt;0")</f>
        <v/>
      </c>
      <c r="BL4" s="3">
        <f>COUNTIF(BL15:BL74,"&lt;0")</f>
        <v/>
      </c>
    </row>
    <row r="5">
      <c r="A5" s="2" t="inlineStr">
        <is>
          <t>Average</t>
        </is>
      </c>
      <c r="B5" s="3">
        <f>AVERAGE(B15:B74)</f>
        <v/>
      </c>
      <c r="C5" s="3">
        <f>AVERAGE(C15:C74)</f>
        <v/>
      </c>
      <c r="D5" s="3">
        <f>AVERAGE(D15:D74)</f>
        <v/>
      </c>
      <c r="E5" s="3">
        <f>AVERAGE(E15:E74)</f>
        <v/>
      </c>
      <c r="F5" s="3">
        <f>AVERAGE(F15:F74)</f>
        <v/>
      </c>
      <c r="G5" s="3">
        <f>AVERAGE(G15:G74)</f>
        <v/>
      </c>
      <c r="H5" s="3">
        <f>AVERAGE(H15:H74)</f>
        <v/>
      </c>
      <c r="I5" s="3">
        <f>AVERAGE(I15:I74)</f>
        <v/>
      </c>
      <c r="J5" s="3">
        <f>AVERAGE(J15:J74)</f>
        <v/>
      </c>
      <c r="K5" s="3">
        <f>AVERAGE(K15:K74)</f>
        <v/>
      </c>
      <c r="L5" s="3">
        <f>AVERAGE(L15:L74)</f>
        <v/>
      </c>
      <c r="M5" s="3">
        <f>AVERAGE(M15:M74)</f>
        <v/>
      </c>
      <c r="N5" s="3">
        <f>AVERAGE(N15:N74)</f>
        <v/>
      </c>
      <c r="O5" s="3">
        <f>AVERAGE(O15:O74)</f>
        <v/>
      </c>
      <c r="P5" s="3">
        <f>AVERAGE(P15:P74)</f>
        <v/>
      </c>
      <c r="Q5" s="3">
        <f>AVERAGE(Q15:Q74)</f>
        <v/>
      </c>
      <c r="R5" s="3">
        <f>AVERAGE(R15:R74)</f>
        <v/>
      </c>
      <c r="S5" s="3">
        <f>AVERAGE(S15:S74)</f>
        <v/>
      </c>
      <c r="T5" s="3">
        <f>AVERAGE(T15:T74)</f>
        <v/>
      </c>
      <c r="U5" s="3">
        <f>AVERAGE(U15:U74)</f>
        <v/>
      </c>
      <c r="V5" s="3">
        <f>AVERAGE(V15:V74)</f>
        <v/>
      </c>
      <c r="W5" s="3">
        <f>AVERAGE(W15:W74)</f>
        <v/>
      </c>
      <c r="X5" s="3">
        <f>AVERAGE(X15:X74)</f>
        <v/>
      </c>
      <c r="Y5" s="3">
        <f>AVERAGE(Y15:Y74)</f>
        <v/>
      </c>
      <c r="Z5" s="3">
        <f>AVERAGE(Z15:Z74)</f>
        <v/>
      </c>
      <c r="AA5" s="3">
        <f>AVERAGE(AA15:AA74)</f>
        <v/>
      </c>
      <c r="AB5" s="3">
        <f>AVERAGE(AB15:AB74)</f>
        <v/>
      </c>
      <c r="AC5" s="3">
        <f>AVERAGE(AC15:AC74)</f>
        <v/>
      </c>
      <c r="AD5" s="3">
        <f>AVERAGE(AD15:AD74)</f>
        <v/>
      </c>
      <c r="AE5" s="3">
        <f>AVERAGE(AE15:AE74)</f>
        <v/>
      </c>
      <c r="AF5" s="3">
        <f>AVERAGE(AF15:AF74)</f>
        <v/>
      </c>
      <c r="AG5" s="3">
        <f>AVERAGE(AG15:AG74)</f>
        <v/>
      </c>
      <c r="AH5" s="3">
        <f>AVERAGE(AH15:AH74)</f>
        <v/>
      </c>
      <c r="AI5" s="3">
        <f>AVERAGE(AI15:AI74)</f>
        <v/>
      </c>
      <c r="AJ5" s="3">
        <f>AVERAGE(AJ15:AJ74)</f>
        <v/>
      </c>
      <c r="AK5" s="3">
        <f>AVERAGE(AK15:AK74)</f>
        <v/>
      </c>
      <c r="AL5" s="3">
        <f>AVERAGE(AL15:AL74)</f>
        <v/>
      </c>
      <c r="AM5" s="3">
        <f>AVERAGE(AM15:AM74)</f>
        <v/>
      </c>
      <c r="AN5" s="3">
        <f>AVERAGE(AN15:AN74)</f>
        <v/>
      </c>
      <c r="AO5" s="3">
        <f>AVERAGE(AO15:AO74)</f>
        <v/>
      </c>
      <c r="AP5" s="3">
        <f>AVERAGE(AP15:AP74)</f>
        <v/>
      </c>
      <c r="AQ5" s="3">
        <f>AVERAGE(AQ15:AQ74)</f>
        <v/>
      </c>
      <c r="AR5" s="3">
        <f>AVERAGE(AR15:AR74)</f>
        <v/>
      </c>
      <c r="AS5" s="3">
        <f>AVERAGE(AS15:AS74)</f>
        <v/>
      </c>
      <c r="AT5" s="3">
        <f>AVERAGE(AT15:AT74)</f>
        <v/>
      </c>
      <c r="AU5" s="3">
        <f>AVERAGE(AU15:AU74)</f>
        <v/>
      </c>
      <c r="AV5" s="3">
        <f>AVERAGE(AV15:AV74)</f>
        <v/>
      </c>
      <c r="AW5" s="3">
        <f>AVERAGE(AW15:AW74)</f>
        <v/>
      </c>
      <c r="AX5" s="3">
        <f>AVERAGE(AX15:AX74)</f>
        <v/>
      </c>
      <c r="AY5" s="3">
        <f>AVERAGE(AY15:AY74)</f>
        <v/>
      </c>
      <c r="AZ5" s="3">
        <f>AVERAGE(AZ15:AZ74)</f>
        <v/>
      </c>
      <c r="BA5" s="3">
        <f>AVERAGE(BA15:BA74)</f>
        <v/>
      </c>
      <c r="BB5" s="3">
        <f>AVERAGE(BB15:BB74)</f>
        <v/>
      </c>
      <c r="BC5" s="3">
        <f>AVERAGE(BC15:BC74)</f>
        <v/>
      </c>
      <c r="BD5" s="3">
        <f>AVERAGE(BD15:BD74)</f>
        <v/>
      </c>
      <c r="BE5" s="3">
        <f>AVERAGE(BE15:BE74)</f>
        <v/>
      </c>
      <c r="BF5" s="3">
        <f>AVERAGE(BF15:BF74)</f>
        <v/>
      </c>
      <c r="BG5" s="3">
        <f>AVERAGE(BG15:BG74)</f>
        <v/>
      </c>
      <c r="BH5" s="3">
        <f>AVERAGE(BH15:BH74)</f>
        <v/>
      </c>
      <c r="BI5" s="3">
        <f>AVERAGE(BI15:BI74)</f>
        <v/>
      </c>
      <c r="BJ5" s="3">
        <f>AVERAGE(BJ15:BJ74)</f>
        <v/>
      </c>
      <c r="BK5" s="3">
        <f>AVERAGE(BK15:BK74)</f>
        <v/>
      </c>
      <c r="BL5" s="3">
        <f>AVERAGE(BL15:BL74)</f>
        <v/>
      </c>
    </row>
    <row r="6">
      <c r="A6" s="2" t="inlineStr">
        <is>
          <t>Max</t>
        </is>
      </c>
      <c r="B6" s="3">
        <f>MAX(B15:B74)</f>
        <v/>
      </c>
      <c r="C6" s="3">
        <f>MAX(C15:C74)</f>
        <v/>
      </c>
      <c r="D6" s="3">
        <f>MAX(D15:D74)</f>
        <v/>
      </c>
      <c r="E6" s="3">
        <f>MAX(E15:E74)</f>
        <v/>
      </c>
      <c r="F6" s="3">
        <f>MAX(F15:F74)</f>
        <v/>
      </c>
      <c r="G6" s="3">
        <f>MAX(G15:G74)</f>
        <v/>
      </c>
      <c r="H6" s="3">
        <f>MAX(H15:H74)</f>
        <v/>
      </c>
      <c r="I6" s="3">
        <f>MAX(I15:I74)</f>
        <v/>
      </c>
      <c r="J6" s="3">
        <f>MAX(J15:J74)</f>
        <v/>
      </c>
      <c r="K6" s="3">
        <f>MAX(K15:K74)</f>
        <v/>
      </c>
      <c r="L6" s="3">
        <f>MAX(L15:L74)</f>
        <v/>
      </c>
      <c r="M6" s="3">
        <f>MAX(M15:M74)</f>
        <v/>
      </c>
      <c r="N6" s="3">
        <f>MAX(N15:N74)</f>
        <v/>
      </c>
      <c r="O6" s="3">
        <f>MAX(O15:O74)</f>
        <v/>
      </c>
      <c r="P6" s="3">
        <f>MAX(P15:P74)</f>
        <v/>
      </c>
      <c r="Q6" s="3">
        <f>MAX(Q15:Q74)</f>
        <v/>
      </c>
      <c r="R6" s="3">
        <f>MAX(R15:R74)</f>
        <v/>
      </c>
      <c r="S6" s="3">
        <f>MAX(S15:S74)</f>
        <v/>
      </c>
      <c r="T6" s="3">
        <f>MAX(T15:T74)</f>
        <v/>
      </c>
      <c r="U6" s="3">
        <f>MAX(U15:U74)</f>
        <v/>
      </c>
      <c r="V6" s="3">
        <f>MAX(V15:V74)</f>
        <v/>
      </c>
      <c r="W6" s="3">
        <f>MAX(W15:W74)</f>
        <v/>
      </c>
      <c r="X6" s="3">
        <f>MAX(X15:X74)</f>
        <v/>
      </c>
      <c r="Y6" s="3">
        <f>MAX(Y15:Y74)</f>
        <v/>
      </c>
      <c r="Z6" s="3">
        <f>MAX(Z15:Z74)</f>
        <v/>
      </c>
      <c r="AA6" s="3">
        <f>MAX(AA15:AA74)</f>
        <v/>
      </c>
      <c r="AB6" s="3">
        <f>MAX(AB15:AB74)</f>
        <v/>
      </c>
      <c r="AC6" s="3">
        <f>MAX(AC15:AC74)</f>
        <v/>
      </c>
      <c r="AD6" s="3">
        <f>MAX(AD15:AD74)</f>
        <v/>
      </c>
      <c r="AE6" s="3">
        <f>MAX(AE15:AE74)</f>
        <v/>
      </c>
      <c r="AF6" s="3">
        <f>MAX(AF15:AF74)</f>
        <v/>
      </c>
      <c r="AG6" s="3">
        <f>MAX(AG15:AG74)</f>
        <v/>
      </c>
      <c r="AH6" s="3">
        <f>MAX(AH15:AH74)</f>
        <v/>
      </c>
      <c r="AI6" s="3">
        <f>MAX(AI15:AI74)</f>
        <v/>
      </c>
      <c r="AJ6" s="3">
        <f>MAX(AJ15:AJ74)</f>
        <v/>
      </c>
      <c r="AK6" s="3">
        <f>MAX(AK15:AK74)</f>
        <v/>
      </c>
      <c r="AL6" s="3">
        <f>MAX(AL15:AL74)</f>
        <v/>
      </c>
      <c r="AM6" s="3">
        <f>MAX(AM15:AM74)</f>
        <v/>
      </c>
      <c r="AN6" s="3">
        <f>MAX(AN15:AN74)</f>
        <v/>
      </c>
      <c r="AO6" s="3">
        <f>MAX(AO15:AO74)</f>
        <v/>
      </c>
      <c r="AP6" s="3">
        <f>MAX(AP15:AP74)</f>
        <v/>
      </c>
      <c r="AQ6" s="3">
        <f>MAX(AQ15:AQ74)</f>
        <v/>
      </c>
      <c r="AR6" s="3">
        <f>MAX(AR15:AR74)</f>
        <v/>
      </c>
      <c r="AS6" s="3">
        <f>MAX(AS15:AS74)</f>
        <v/>
      </c>
      <c r="AT6" s="3">
        <f>MAX(AT15:AT74)</f>
        <v/>
      </c>
      <c r="AU6" s="3">
        <f>MAX(AU15:AU74)</f>
        <v/>
      </c>
      <c r="AV6" s="3">
        <f>MAX(AV15:AV74)</f>
        <v/>
      </c>
      <c r="AW6" s="3">
        <f>MAX(AW15:AW74)</f>
        <v/>
      </c>
      <c r="AX6" s="3">
        <f>MAX(AX15:AX74)</f>
        <v/>
      </c>
      <c r="AY6" s="3">
        <f>MAX(AY15:AY74)</f>
        <v/>
      </c>
      <c r="AZ6" s="3">
        <f>MAX(AZ15:AZ74)</f>
        <v/>
      </c>
      <c r="BA6" s="3">
        <f>MAX(BA15:BA74)</f>
        <v/>
      </c>
      <c r="BB6" s="3">
        <f>MAX(BB15:BB74)</f>
        <v/>
      </c>
      <c r="BC6" s="3">
        <f>MAX(BC15:BC74)</f>
        <v/>
      </c>
      <c r="BD6" s="3">
        <f>MAX(BD15:BD74)</f>
        <v/>
      </c>
      <c r="BE6" s="3">
        <f>MAX(BE15:BE74)</f>
        <v/>
      </c>
      <c r="BF6" s="3">
        <f>MAX(BF15:BF74)</f>
        <v/>
      </c>
      <c r="BG6" s="3">
        <f>MAX(BG15:BG74)</f>
        <v/>
      </c>
      <c r="BH6" s="3">
        <f>MAX(BH15:BH74)</f>
        <v/>
      </c>
      <c r="BI6" s="3">
        <f>MAX(BI15:BI74)</f>
        <v/>
      </c>
      <c r="BJ6" s="3">
        <f>MAX(BJ15:BJ74)</f>
        <v/>
      </c>
      <c r="BK6" s="3">
        <f>MAX(BK15:BK74)</f>
        <v/>
      </c>
      <c r="BL6" s="3">
        <f>MAX(BL15:BL74)</f>
        <v/>
      </c>
    </row>
    <row r="7">
      <c r="A7" s="2" t="inlineStr">
        <is>
          <t>Min</t>
        </is>
      </c>
      <c r="B7" s="3">
        <f>MIN(B15:B74)</f>
        <v/>
      </c>
      <c r="C7" s="3">
        <f>MIN(C15:C74)</f>
        <v/>
      </c>
      <c r="D7" s="3">
        <f>MIN(D15:D74)</f>
        <v/>
      </c>
      <c r="E7" s="3">
        <f>MIN(E15:E74)</f>
        <v/>
      </c>
      <c r="F7" s="3">
        <f>MIN(F15:F74)</f>
        <v/>
      </c>
      <c r="G7" s="3">
        <f>MIN(G15:G74)</f>
        <v/>
      </c>
      <c r="H7" s="3">
        <f>MIN(H15:H74)</f>
        <v/>
      </c>
      <c r="I7" s="3">
        <f>MIN(I15:I74)</f>
        <v/>
      </c>
      <c r="J7" s="3">
        <f>MIN(J15:J74)</f>
        <v/>
      </c>
      <c r="K7" s="3">
        <f>MIN(K15:K74)</f>
        <v/>
      </c>
      <c r="L7" s="3">
        <f>MIN(L15:L74)</f>
        <v/>
      </c>
      <c r="M7" s="3">
        <f>MIN(M15:M74)</f>
        <v/>
      </c>
      <c r="N7" s="3">
        <f>MIN(N15:N74)</f>
        <v/>
      </c>
      <c r="O7" s="3">
        <f>MIN(O15:O74)</f>
        <v/>
      </c>
      <c r="P7" s="3">
        <f>MIN(P15:P74)</f>
        <v/>
      </c>
      <c r="Q7" s="3">
        <f>MIN(Q15:Q74)</f>
        <v/>
      </c>
      <c r="R7" s="3">
        <f>MIN(R15:R74)</f>
        <v/>
      </c>
      <c r="S7" s="3">
        <f>MIN(S15:S74)</f>
        <v/>
      </c>
      <c r="T7" s="3">
        <f>MIN(T15:T74)</f>
        <v/>
      </c>
      <c r="U7" s="3">
        <f>MIN(U15:U74)</f>
        <v/>
      </c>
      <c r="V7" s="3">
        <f>MIN(V15:V74)</f>
        <v/>
      </c>
      <c r="W7" s="3">
        <f>MIN(W15:W74)</f>
        <v/>
      </c>
      <c r="X7" s="3">
        <f>MIN(X15:X74)</f>
        <v/>
      </c>
      <c r="Y7" s="3">
        <f>MIN(Y15:Y74)</f>
        <v/>
      </c>
      <c r="Z7" s="3">
        <f>MIN(Z15:Z74)</f>
        <v/>
      </c>
      <c r="AA7" s="3">
        <f>MIN(AA15:AA74)</f>
        <v/>
      </c>
      <c r="AB7" s="3">
        <f>MIN(AB15:AB74)</f>
        <v/>
      </c>
      <c r="AC7" s="3">
        <f>MIN(AC15:AC74)</f>
        <v/>
      </c>
      <c r="AD7" s="3">
        <f>MIN(AD15:AD74)</f>
        <v/>
      </c>
      <c r="AE7" s="3">
        <f>MIN(AE15:AE74)</f>
        <v/>
      </c>
      <c r="AF7" s="3">
        <f>MIN(AF15:AF74)</f>
        <v/>
      </c>
      <c r="AG7" s="3">
        <f>MIN(AG15:AG74)</f>
        <v/>
      </c>
      <c r="AH7" s="3">
        <f>MIN(AH15:AH74)</f>
        <v/>
      </c>
      <c r="AI7" s="3">
        <f>MIN(AI15:AI74)</f>
        <v/>
      </c>
      <c r="AJ7" s="3">
        <f>MIN(AJ15:AJ74)</f>
        <v/>
      </c>
      <c r="AK7" s="3">
        <f>MIN(AK15:AK74)</f>
        <v/>
      </c>
      <c r="AL7" s="3">
        <f>MIN(AL15:AL74)</f>
        <v/>
      </c>
      <c r="AM7" s="3">
        <f>MIN(AM15:AM74)</f>
        <v/>
      </c>
      <c r="AN7" s="3">
        <f>MIN(AN15:AN74)</f>
        <v/>
      </c>
      <c r="AO7" s="3">
        <f>MIN(AO15:AO74)</f>
        <v/>
      </c>
      <c r="AP7" s="3">
        <f>MIN(AP15:AP74)</f>
        <v/>
      </c>
      <c r="AQ7" s="3">
        <f>MIN(AQ15:AQ74)</f>
        <v/>
      </c>
      <c r="AR7" s="3">
        <f>MIN(AR15:AR74)</f>
        <v/>
      </c>
      <c r="AS7" s="3">
        <f>MIN(AS15:AS74)</f>
        <v/>
      </c>
      <c r="AT7" s="3">
        <f>MIN(AT15:AT74)</f>
        <v/>
      </c>
      <c r="AU7" s="3">
        <f>MIN(AU15:AU74)</f>
        <v/>
      </c>
      <c r="AV7" s="3">
        <f>MIN(AV15:AV74)</f>
        <v/>
      </c>
      <c r="AW7" s="3">
        <f>MIN(AW15:AW74)</f>
        <v/>
      </c>
      <c r="AX7" s="3">
        <f>MIN(AX15:AX74)</f>
        <v/>
      </c>
      <c r="AY7" s="3">
        <f>MIN(AY15:AY74)</f>
        <v/>
      </c>
      <c r="AZ7" s="3">
        <f>MIN(AZ15:AZ74)</f>
        <v/>
      </c>
      <c r="BA7" s="3">
        <f>MIN(BA15:BA74)</f>
        <v/>
      </c>
      <c r="BB7" s="3">
        <f>MIN(BB15:BB74)</f>
        <v/>
      </c>
      <c r="BC7" s="3">
        <f>MIN(BC15:BC74)</f>
        <v/>
      </c>
      <c r="BD7" s="3">
        <f>MIN(BD15:BD74)</f>
        <v/>
      </c>
      <c r="BE7" s="3">
        <f>MIN(BE15:BE74)</f>
        <v/>
      </c>
      <c r="BF7" s="3">
        <f>MIN(BF15:BF74)</f>
        <v/>
      </c>
      <c r="BG7" s="3">
        <f>MIN(BG15:BG74)</f>
        <v/>
      </c>
      <c r="BH7" s="3">
        <f>MIN(BH15:BH74)</f>
        <v/>
      </c>
      <c r="BI7" s="3">
        <f>MIN(BI15:BI74)</f>
        <v/>
      </c>
      <c r="BJ7" s="3">
        <f>MIN(BJ15:BJ74)</f>
        <v/>
      </c>
      <c r="BK7" s="3">
        <f>MIN(BK15:BK74)</f>
        <v/>
      </c>
      <c r="BL7" s="3">
        <f>MIN(BL15:BL74)</f>
        <v/>
      </c>
    </row>
    <row r="8">
      <c r="A8" s="2" t="inlineStr">
        <is>
          <t>Count</t>
        </is>
      </c>
      <c r="B8" s="3">
        <f>COUNT(B15:B74)</f>
        <v/>
      </c>
      <c r="C8" s="3">
        <f>COUNT(C15:C74)</f>
        <v/>
      </c>
      <c r="D8" s="3">
        <f>COUNT(D15:D74)</f>
        <v/>
      </c>
      <c r="E8" s="3">
        <f>COUNT(E15:E74)</f>
        <v/>
      </c>
      <c r="F8" s="3">
        <f>COUNT(F15:F74)</f>
        <v/>
      </c>
      <c r="G8" s="3">
        <f>COUNT(G15:G74)</f>
        <v/>
      </c>
      <c r="H8" s="3">
        <f>COUNT(H15:H74)</f>
        <v/>
      </c>
      <c r="I8" s="3">
        <f>COUNT(I15:I74)</f>
        <v/>
      </c>
      <c r="J8" s="3">
        <f>COUNT(J15:J74)</f>
        <v/>
      </c>
      <c r="K8" s="3">
        <f>COUNT(K15:K74)</f>
        <v/>
      </c>
      <c r="L8" s="3">
        <f>COUNT(L15:L74)</f>
        <v/>
      </c>
      <c r="M8" s="3">
        <f>COUNT(M15:M74)</f>
        <v/>
      </c>
      <c r="N8" s="3">
        <f>COUNT(N15:N74)</f>
        <v/>
      </c>
      <c r="O8" s="3">
        <f>COUNT(O15:O74)</f>
        <v/>
      </c>
      <c r="P8" s="3">
        <f>COUNT(P15:P74)</f>
        <v/>
      </c>
      <c r="Q8" s="3">
        <f>COUNT(Q15:Q74)</f>
        <v/>
      </c>
      <c r="R8" s="3">
        <f>COUNT(R15:R74)</f>
        <v/>
      </c>
      <c r="S8" s="3">
        <f>COUNT(S15:S74)</f>
        <v/>
      </c>
      <c r="T8" s="3">
        <f>COUNT(T15:T74)</f>
        <v/>
      </c>
      <c r="U8" s="3">
        <f>COUNT(U15:U74)</f>
        <v/>
      </c>
      <c r="V8" s="3">
        <f>COUNT(V15:V74)</f>
        <v/>
      </c>
      <c r="W8" s="3">
        <f>COUNT(W15:W74)</f>
        <v/>
      </c>
      <c r="X8" s="3">
        <f>COUNT(X15:X74)</f>
        <v/>
      </c>
      <c r="Y8" s="3">
        <f>COUNT(Y15:Y74)</f>
        <v/>
      </c>
      <c r="Z8" s="3">
        <f>COUNT(Z15:Z74)</f>
        <v/>
      </c>
      <c r="AA8" s="3">
        <f>COUNT(AA15:AA74)</f>
        <v/>
      </c>
      <c r="AB8" s="3">
        <f>COUNT(AB15:AB74)</f>
        <v/>
      </c>
      <c r="AC8" s="3">
        <f>COUNT(AC15:AC74)</f>
        <v/>
      </c>
      <c r="AD8" s="3">
        <f>COUNT(AD15:AD74)</f>
        <v/>
      </c>
      <c r="AE8" s="3">
        <f>COUNT(AE15:AE74)</f>
        <v/>
      </c>
      <c r="AF8" s="3">
        <f>COUNT(AF15:AF74)</f>
        <v/>
      </c>
      <c r="AG8" s="3">
        <f>COUNT(AG15:AG74)</f>
        <v/>
      </c>
      <c r="AH8" s="3">
        <f>COUNT(AH15:AH74)</f>
        <v/>
      </c>
      <c r="AI8" s="3">
        <f>COUNT(AI15:AI74)</f>
        <v/>
      </c>
      <c r="AJ8" s="3">
        <f>COUNT(AJ15:AJ74)</f>
        <v/>
      </c>
      <c r="AK8" s="3">
        <f>COUNT(AK15:AK74)</f>
        <v/>
      </c>
      <c r="AL8" s="3">
        <f>COUNT(AL15:AL74)</f>
        <v/>
      </c>
      <c r="AM8" s="3">
        <f>COUNT(AM15:AM74)</f>
        <v/>
      </c>
      <c r="AN8" s="3">
        <f>COUNT(AN15:AN74)</f>
        <v/>
      </c>
      <c r="AO8" s="3">
        <f>COUNT(AO15:AO74)</f>
        <v/>
      </c>
      <c r="AP8" s="3">
        <f>COUNT(AP15:AP74)</f>
        <v/>
      </c>
      <c r="AQ8" s="3">
        <f>COUNT(AQ15:AQ74)</f>
        <v/>
      </c>
      <c r="AR8" s="3">
        <f>COUNT(AR15:AR74)</f>
        <v/>
      </c>
      <c r="AS8" s="3">
        <f>COUNT(AS15:AS74)</f>
        <v/>
      </c>
      <c r="AT8" s="3">
        <f>COUNT(AT15:AT74)</f>
        <v/>
      </c>
      <c r="AU8" s="3">
        <f>COUNT(AU15:AU74)</f>
        <v/>
      </c>
      <c r="AV8" s="3">
        <f>COUNT(AV15:AV74)</f>
        <v/>
      </c>
      <c r="AW8" s="3">
        <f>COUNT(AW15:AW74)</f>
        <v/>
      </c>
      <c r="AX8" s="3">
        <f>COUNT(AX15:AX74)</f>
        <v/>
      </c>
      <c r="AY8" s="3">
        <f>COUNT(AY15:AY74)</f>
        <v/>
      </c>
      <c r="AZ8" s="3">
        <f>COUNT(AZ15:AZ74)</f>
        <v/>
      </c>
      <c r="BA8" s="3">
        <f>COUNT(BA15:BA74)</f>
        <v/>
      </c>
      <c r="BB8" s="3">
        <f>COUNT(BB15:BB74)</f>
        <v/>
      </c>
      <c r="BC8" s="3">
        <f>COUNT(BC15:BC74)</f>
        <v/>
      </c>
      <c r="BD8" s="3">
        <f>COUNT(BD15:BD74)</f>
        <v/>
      </c>
      <c r="BE8" s="3">
        <f>COUNT(BE15:BE74)</f>
        <v/>
      </c>
      <c r="BF8" s="3">
        <f>COUNT(BF15:BF74)</f>
        <v/>
      </c>
      <c r="BG8" s="3">
        <f>COUNT(BG15:BG74)</f>
        <v/>
      </c>
      <c r="BH8" s="3">
        <f>COUNT(BH15:BH74)</f>
        <v/>
      </c>
      <c r="BI8" s="3">
        <f>COUNT(BI15:BI74)</f>
        <v/>
      </c>
      <c r="BJ8" s="3">
        <f>COUNT(BJ15:BJ74)</f>
        <v/>
      </c>
      <c r="BK8" s="3">
        <f>COUNT(BK15:BK74)</f>
        <v/>
      </c>
      <c r="BL8" s="3">
        <f>COUNT(BL15:BL74)</f>
        <v/>
      </c>
    </row>
    <row r="9">
      <c r="A9" s="2" t="inlineStr">
        <is>
          <t>Std</t>
        </is>
      </c>
      <c r="B9" s="3">
        <f>STDEV(B15:B74)</f>
        <v/>
      </c>
      <c r="C9" s="3">
        <f>STDEV(C15:C74)</f>
        <v/>
      </c>
      <c r="D9" s="3">
        <f>STDEV(D15:D74)</f>
        <v/>
      </c>
      <c r="E9" s="3">
        <f>STDEV(E15:E74)</f>
        <v/>
      </c>
      <c r="F9" s="3">
        <f>STDEV(F15:F74)</f>
        <v/>
      </c>
      <c r="G9" s="3">
        <f>STDEV(G15:G74)</f>
        <v/>
      </c>
      <c r="H9" s="3">
        <f>STDEV(H15:H74)</f>
        <v/>
      </c>
      <c r="I9" s="3">
        <f>STDEV(I15:I74)</f>
        <v/>
      </c>
      <c r="J9" s="3">
        <f>STDEV(J15:J74)</f>
        <v/>
      </c>
      <c r="K9" s="3">
        <f>STDEV(K15:K74)</f>
        <v/>
      </c>
      <c r="L9" s="3">
        <f>STDEV(L15:L74)</f>
        <v/>
      </c>
      <c r="M9" s="3">
        <f>STDEV(M15:M74)</f>
        <v/>
      </c>
      <c r="N9" s="3">
        <f>STDEV(N15:N74)</f>
        <v/>
      </c>
      <c r="O9" s="3">
        <f>STDEV(O15:O74)</f>
        <v/>
      </c>
      <c r="P9" s="3">
        <f>STDEV(P15:P74)</f>
        <v/>
      </c>
      <c r="Q9" s="3">
        <f>STDEV(Q15:Q74)</f>
        <v/>
      </c>
      <c r="R9" s="3">
        <f>STDEV(R15:R74)</f>
        <v/>
      </c>
      <c r="S9" s="3">
        <f>STDEV(S15:S74)</f>
        <v/>
      </c>
      <c r="T9" s="3">
        <f>STDEV(T15:T74)</f>
        <v/>
      </c>
      <c r="U9" s="3">
        <f>STDEV(U15:U74)</f>
        <v/>
      </c>
      <c r="V9" s="3">
        <f>STDEV(V15:V74)</f>
        <v/>
      </c>
      <c r="W9" s="3">
        <f>STDEV(W15:W74)</f>
        <v/>
      </c>
      <c r="X9" s="3">
        <f>STDEV(X15:X74)</f>
        <v/>
      </c>
      <c r="Y9" s="3">
        <f>STDEV(Y15:Y74)</f>
        <v/>
      </c>
      <c r="Z9" s="3">
        <f>STDEV(Z15:Z74)</f>
        <v/>
      </c>
      <c r="AA9" s="3">
        <f>STDEV(AA15:AA74)</f>
        <v/>
      </c>
      <c r="AB9" s="3">
        <f>STDEV(AB15:AB74)</f>
        <v/>
      </c>
      <c r="AC9" s="3">
        <f>STDEV(AC15:AC74)</f>
        <v/>
      </c>
      <c r="AD9" s="3">
        <f>STDEV(AD15:AD74)</f>
        <v/>
      </c>
      <c r="AE9" s="3">
        <f>STDEV(AE15:AE74)</f>
        <v/>
      </c>
      <c r="AF9" s="3">
        <f>STDEV(AF15:AF74)</f>
        <v/>
      </c>
      <c r="AG9" s="3">
        <f>STDEV(AG15:AG74)</f>
        <v/>
      </c>
      <c r="AH9" s="3">
        <f>STDEV(AH15:AH74)</f>
        <v/>
      </c>
      <c r="AI9" s="3">
        <f>STDEV(AI15:AI74)</f>
        <v/>
      </c>
      <c r="AJ9" s="3">
        <f>STDEV(AJ15:AJ74)</f>
        <v/>
      </c>
      <c r="AK9" s="3">
        <f>STDEV(AK15:AK74)</f>
        <v/>
      </c>
      <c r="AL9" s="3">
        <f>STDEV(AL15:AL74)</f>
        <v/>
      </c>
      <c r="AM9" s="3">
        <f>STDEV(AM15:AM74)</f>
        <v/>
      </c>
      <c r="AN9" s="3">
        <f>STDEV(AN15:AN74)</f>
        <v/>
      </c>
      <c r="AO9" s="3">
        <f>STDEV(AO15:AO74)</f>
        <v/>
      </c>
      <c r="AP9" s="3">
        <f>STDEV(AP15:AP74)</f>
        <v/>
      </c>
      <c r="AQ9" s="3">
        <f>STDEV(AQ15:AQ74)</f>
        <v/>
      </c>
      <c r="AR9" s="3">
        <f>STDEV(AR15:AR74)</f>
        <v/>
      </c>
      <c r="AS9" s="3">
        <f>STDEV(AS15:AS74)</f>
        <v/>
      </c>
      <c r="AT9" s="3">
        <f>STDEV(AT15:AT74)</f>
        <v/>
      </c>
      <c r="AU9" s="3">
        <f>STDEV(AU15:AU74)</f>
        <v/>
      </c>
      <c r="AV9" s="3">
        <f>STDEV(AV15:AV74)</f>
        <v/>
      </c>
      <c r="AW9" s="3">
        <f>STDEV(AW15:AW74)</f>
        <v/>
      </c>
      <c r="AX9" s="3">
        <f>STDEV(AX15:AX74)</f>
        <v/>
      </c>
      <c r="AY9" s="3">
        <f>STDEV(AY15:AY74)</f>
        <v/>
      </c>
      <c r="AZ9" s="3">
        <f>STDEV(AZ15:AZ74)</f>
        <v/>
      </c>
      <c r="BA9" s="3">
        <f>STDEV(BA15:BA74)</f>
        <v/>
      </c>
      <c r="BB9" s="3">
        <f>STDEV(BB15:BB74)</f>
        <v/>
      </c>
      <c r="BC9" s="3">
        <f>STDEV(BC15:BC74)</f>
        <v/>
      </c>
      <c r="BD9" s="3">
        <f>STDEV(BD15:BD74)</f>
        <v/>
      </c>
      <c r="BE9" s="3">
        <f>STDEV(BE15:BE74)</f>
        <v/>
      </c>
      <c r="BF9" s="3">
        <f>STDEV(BF15:BF74)</f>
        <v/>
      </c>
      <c r="BG9" s="3">
        <f>STDEV(BG15:BG74)</f>
        <v/>
      </c>
      <c r="BH9" s="3">
        <f>STDEV(BH15:BH74)</f>
        <v/>
      </c>
      <c r="BI9" s="3">
        <f>STDEV(BI15:BI74)</f>
        <v/>
      </c>
      <c r="BJ9" s="3">
        <f>STDEV(BJ15:BJ74)</f>
        <v/>
      </c>
      <c r="BK9" s="3">
        <f>STDEV(BK15:BK74)</f>
        <v/>
      </c>
      <c r="BL9" s="3">
        <f>STDEV(BL15:BL74)</f>
        <v/>
      </c>
    </row>
    <row r="10">
      <c r="A10" s="2" t="inlineStr">
        <is>
          <t>Sum</t>
        </is>
      </c>
      <c r="B10" s="3">
        <f>SUM(B15:B74)</f>
        <v/>
      </c>
      <c r="C10" s="3">
        <f>SUM(C15:C74)</f>
        <v/>
      </c>
      <c r="D10" s="3">
        <f>SUM(D15:D74)</f>
        <v/>
      </c>
      <c r="E10" s="3">
        <f>SUM(E15:E74)</f>
        <v/>
      </c>
      <c r="F10" s="3">
        <f>SUM(F15:F74)</f>
        <v/>
      </c>
      <c r="G10" s="3">
        <f>SUM(G15:G74)</f>
        <v/>
      </c>
      <c r="H10" s="3">
        <f>SUM(H15:H74)</f>
        <v/>
      </c>
      <c r="I10" s="3">
        <f>SUM(I15:I74)</f>
        <v/>
      </c>
      <c r="J10" s="3">
        <f>SUM(J15:J74)</f>
        <v/>
      </c>
      <c r="K10" s="3">
        <f>SUM(K15:K74)</f>
        <v/>
      </c>
      <c r="L10" s="3">
        <f>SUM(L15:L74)</f>
        <v/>
      </c>
      <c r="M10" s="3">
        <f>SUM(M15:M74)</f>
        <v/>
      </c>
      <c r="N10" s="3">
        <f>SUM(N15:N74)</f>
        <v/>
      </c>
      <c r="O10" s="3">
        <f>SUM(O15:O74)</f>
        <v/>
      </c>
      <c r="P10" s="3">
        <f>SUM(P15:P74)</f>
        <v/>
      </c>
      <c r="Q10" s="3">
        <f>SUM(Q15:Q74)</f>
        <v/>
      </c>
      <c r="R10" s="3">
        <f>SUM(R15:R74)</f>
        <v/>
      </c>
      <c r="S10" s="3">
        <f>SUM(S15:S74)</f>
        <v/>
      </c>
      <c r="T10" s="3">
        <f>SUM(T15:T74)</f>
        <v/>
      </c>
      <c r="U10" s="3">
        <f>SUM(U15:U74)</f>
        <v/>
      </c>
      <c r="V10" s="3">
        <f>SUM(V15:V74)</f>
        <v/>
      </c>
      <c r="W10" s="3">
        <f>SUM(W15:W74)</f>
        <v/>
      </c>
      <c r="X10" s="3">
        <f>SUM(X15:X74)</f>
        <v/>
      </c>
      <c r="Y10" s="3">
        <f>SUM(Y15:Y74)</f>
        <v/>
      </c>
      <c r="Z10" s="3">
        <f>SUM(Z15:Z74)</f>
        <v/>
      </c>
      <c r="AA10" s="3">
        <f>SUM(AA15:AA74)</f>
        <v/>
      </c>
      <c r="AB10" s="3">
        <f>SUM(AB15:AB74)</f>
        <v/>
      </c>
      <c r="AC10" s="3">
        <f>SUM(AC15:AC74)</f>
        <v/>
      </c>
      <c r="AD10" s="3">
        <f>SUM(AD15:AD74)</f>
        <v/>
      </c>
      <c r="AE10" s="3">
        <f>SUM(AE15:AE74)</f>
        <v/>
      </c>
      <c r="AF10" s="3">
        <f>SUM(AF15:AF74)</f>
        <v/>
      </c>
      <c r="AG10" s="3">
        <f>SUM(AG15:AG74)</f>
        <v/>
      </c>
      <c r="AH10" s="3">
        <f>SUM(AH15:AH74)</f>
        <v/>
      </c>
      <c r="AI10" s="3">
        <f>SUM(AI15:AI74)</f>
        <v/>
      </c>
      <c r="AJ10" s="3">
        <f>SUM(AJ15:AJ74)</f>
        <v/>
      </c>
      <c r="AK10" s="3">
        <f>SUM(AK15:AK74)</f>
        <v/>
      </c>
      <c r="AL10" s="3">
        <f>SUM(AL15:AL74)</f>
        <v/>
      </c>
      <c r="AM10" s="3">
        <f>SUM(AM15:AM74)</f>
        <v/>
      </c>
      <c r="AN10" s="3">
        <f>SUM(AN15:AN74)</f>
        <v/>
      </c>
      <c r="AO10" s="3">
        <f>SUM(AO15:AO74)</f>
        <v/>
      </c>
      <c r="AP10" s="3">
        <f>SUM(AP15:AP74)</f>
        <v/>
      </c>
      <c r="AQ10" s="3">
        <f>SUM(AQ15:AQ74)</f>
        <v/>
      </c>
      <c r="AR10" s="3">
        <f>SUM(AR15:AR74)</f>
        <v/>
      </c>
      <c r="AS10" s="3">
        <f>SUM(AS15:AS74)</f>
        <v/>
      </c>
      <c r="AT10" s="3">
        <f>SUM(AT15:AT74)</f>
        <v/>
      </c>
      <c r="AU10" s="3">
        <f>SUM(AU15:AU74)</f>
        <v/>
      </c>
      <c r="AV10" s="3">
        <f>SUM(AV15:AV74)</f>
        <v/>
      </c>
      <c r="AW10" s="3">
        <f>SUM(AW15:AW74)</f>
        <v/>
      </c>
      <c r="AX10" s="3">
        <f>SUM(AX15:AX74)</f>
        <v/>
      </c>
      <c r="AY10" s="3">
        <f>SUM(AY15:AY74)</f>
        <v/>
      </c>
      <c r="AZ10" s="3">
        <f>SUM(AZ15:AZ74)</f>
        <v/>
      </c>
      <c r="BA10" s="3">
        <f>SUM(BA15:BA74)</f>
        <v/>
      </c>
      <c r="BB10" s="3">
        <f>SUM(BB15:BB74)</f>
        <v/>
      </c>
      <c r="BC10" s="3">
        <f>SUM(BC15:BC74)</f>
        <v/>
      </c>
      <c r="BD10" s="3">
        <f>SUM(BD15:BD74)</f>
        <v/>
      </c>
      <c r="BE10" s="3">
        <f>SUM(BE15:BE74)</f>
        <v/>
      </c>
      <c r="BF10" s="3">
        <f>SUM(BF15:BF74)</f>
        <v/>
      </c>
      <c r="BG10" s="3">
        <f>SUM(BG15:BG74)</f>
        <v/>
      </c>
      <c r="BH10" s="3">
        <f>SUM(BH15:BH74)</f>
        <v/>
      </c>
      <c r="BI10" s="3">
        <f>SUM(BI15:BI74)</f>
        <v/>
      </c>
      <c r="BJ10" s="3">
        <f>SUM(BJ15:BJ74)</f>
        <v/>
      </c>
      <c r="BK10" s="3">
        <f>SUM(BK15:BK74)</f>
        <v/>
      </c>
      <c r="BL10" s="3">
        <f>SUM(BL15:BL74)</f>
        <v/>
      </c>
    </row>
    <row r="11">
      <c r="BE11" s="3" t="n"/>
      <c r="BF11" s="3" t="n"/>
      <c r="BG11" s="3" t="n">
        <v>0</v>
      </c>
      <c r="BI11" s="3" t="n"/>
      <c r="BJ11" s="3" t="n"/>
      <c r="BK11" s="3" t="n"/>
    </row>
    <row r="12">
      <c r="BE12" s="3" t="n">
        <v>0</v>
      </c>
      <c r="BF12" s="3" t="n">
        <v>0</v>
      </c>
      <c r="BG12" s="3" t="n">
        <v>0</v>
      </c>
      <c r="BI12" s="3" t="n">
        <v>0</v>
      </c>
      <c r="BJ12" s="3" t="n">
        <v>-1</v>
      </c>
      <c r="BK12" s="3" t="n">
        <v>0</v>
      </c>
    </row>
    <row r="13">
      <c r="BE13" s="3" t="n">
        <v>-2</v>
      </c>
      <c r="BF13" s="3" t="n">
        <v>0</v>
      </c>
      <c r="BG13" s="3" t="n">
        <v>0</v>
      </c>
      <c r="BI13" s="3" t="n">
        <v>0</v>
      </c>
      <c r="BJ13" s="3" t="n">
        <v>0</v>
      </c>
      <c r="BK13" s="3" t="n">
        <v>0</v>
      </c>
    </row>
    <row r="14">
      <c r="A14" s="4" t="inlineStr">
        <is>
          <t>日期</t>
        </is>
      </c>
      <c r="B14" s="4" t="inlineStr">
        <is>
          <t>Ultra NASDAQ-100 ProFunds Investor Class（UOPIX） Adj Close</t>
        </is>
      </c>
      <c r="C14" s="4" t="inlineStr">
        <is>
          <t>UltraBull ProFund Investor Shares（ULPIX） Adj Close</t>
        </is>
      </c>
      <c r="D14" s="4" t="inlineStr">
        <is>
          <t>Ultra NASDAQ-100 ProFunds Investor Class（UOPIX）回报</t>
        </is>
      </c>
      <c r="E14" s="4" t="inlineStr">
        <is>
          <t>UltraBull ProFund Investor Shares（ULPIX）回报</t>
        </is>
      </c>
      <c r="F14" s="4" t="inlineStr">
        <is>
          <t>EEM Open</t>
        </is>
      </c>
      <c r="G14" s="4" t="inlineStr">
        <is>
          <t>EEM High</t>
        </is>
      </c>
      <c r="H14" s="4" t="inlineStr">
        <is>
          <t>EEM Low</t>
        </is>
      </c>
      <c r="I14" s="4" t="inlineStr">
        <is>
          <t>EEM Close</t>
        </is>
      </c>
      <c r="J14" s="4" t="inlineStr">
        <is>
          <t>EEM Adj Close</t>
        </is>
      </c>
      <c r="K14" s="4" t="inlineStr">
        <is>
          <t>GLD Open</t>
        </is>
      </c>
      <c r="L14" s="4" t="inlineStr">
        <is>
          <t>GLD High</t>
        </is>
      </c>
      <c r="M14" s="4" t="inlineStr">
        <is>
          <t>GLD Low</t>
        </is>
      </c>
      <c r="N14" s="4" t="inlineStr">
        <is>
          <t>GLD Close</t>
        </is>
      </c>
      <c r="O14" s="4" t="inlineStr">
        <is>
          <t>GLD Adj Close</t>
        </is>
      </c>
      <c r="P14" s="4" t="inlineStr">
        <is>
          <t>HYG Open</t>
        </is>
      </c>
      <c r="Q14" s="4" t="inlineStr">
        <is>
          <t>HYG High</t>
        </is>
      </c>
      <c r="R14" s="4" t="inlineStr">
        <is>
          <t>HYG Low</t>
        </is>
      </c>
      <c r="S14" s="4" t="inlineStr">
        <is>
          <t>HYG Close</t>
        </is>
      </c>
      <c r="T14" s="4" t="inlineStr">
        <is>
          <t>HYG Adj Close</t>
        </is>
      </c>
      <c r="U14" s="4" t="inlineStr">
        <is>
          <t>TIP Open</t>
        </is>
      </c>
      <c r="V14" s="4" t="inlineStr">
        <is>
          <t>TIP High</t>
        </is>
      </c>
      <c r="W14" s="4" t="inlineStr">
        <is>
          <t>TIP Low</t>
        </is>
      </c>
      <c r="X14" s="4" t="inlineStr">
        <is>
          <t>TIP Close</t>
        </is>
      </c>
      <c r="Y14" s="4" t="inlineStr">
        <is>
          <t>TIP Adj Close</t>
        </is>
      </c>
      <c r="Z14" s="4" t="inlineStr">
        <is>
          <t>XLF Open</t>
        </is>
      </c>
      <c r="AA14" s="4" t="inlineStr">
        <is>
          <t>XLF High</t>
        </is>
      </c>
      <c r="AB14" s="4" t="inlineStr">
        <is>
          <t>XLF Low</t>
        </is>
      </c>
      <c r="AC14" s="4" t="inlineStr">
        <is>
          <t>XLF Close</t>
        </is>
      </c>
      <c r="AD14" s="4" t="inlineStr">
        <is>
          <t>XLF Adj Close</t>
        </is>
      </c>
      <c r="AE14" s="4" t="inlineStr">
        <is>
          <t>FXY Open</t>
        </is>
      </c>
      <c r="AF14" s="4" t="inlineStr">
        <is>
          <t>FXY High</t>
        </is>
      </c>
      <c r="AG14" s="4" t="inlineStr">
        <is>
          <t>FXY Low</t>
        </is>
      </c>
      <c r="AH14" s="4" t="inlineStr">
        <is>
          <t>FXY Close</t>
        </is>
      </c>
      <c r="AI14" s="4" t="inlineStr">
        <is>
          <t>FXY Adj Close</t>
        </is>
      </c>
      <c r="AJ14" s="4" t="inlineStr">
        <is>
          <t>GDX Open</t>
        </is>
      </c>
      <c r="AK14" s="4" t="inlineStr">
        <is>
          <t>GDX High</t>
        </is>
      </c>
      <c r="AL14" s="4" t="inlineStr">
        <is>
          <t>GDX Low</t>
        </is>
      </c>
      <c r="AM14" s="4" t="inlineStr">
        <is>
          <t>GDX Close</t>
        </is>
      </c>
      <c r="AN14" s="4" t="inlineStr">
        <is>
          <t>GDX Adj Close</t>
        </is>
      </c>
      <c r="AO14" s="4" t="inlineStr">
        <is>
          <t>XLC Open</t>
        </is>
      </c>
      <c r="AP14" s="4" t="inlineStr">
        <is>
          <t>XLC High</t>
        </is>
      </c>
      <c r="AQ14" s="4" t="inlineStr">
        <is>
          <t>XLC Low</t>
        </is>
      </c>
      <c r="AR14" s="4" t="inlineStr">
        <is>
          <t>XLC Close</t>
        </is>
      </c>
      <c r="AS14" s="4" t="inlineStr">
        <is>
          <t>XLC Adj Close</t>
        </is>
      </c>
      <c r="AT14" s="4" t="inlineStr">
        <is>
          <t>EEM回报</t>
        </is>
      </c>
      <c r="AU14" s="4" t="inlineStr">
        <is>
          <t>GLD回报</t>
        </is>
      </c>
      <c r="AV14" s="4" t="inlineStr">
        <is>
          <t>HYG回报</t>
        </is>
      </c>
      <c r="AW14" s="4" t="inlineStr">
        <is>
          <t>TIP回报</t>
        </is>
      </c>
      <c r="AX14" s="4" t="inlineStr">
        <is>
          <t>XLF回报</t>
        </is>
      </c>
      <c r="AY14" s="4" t="inlineStr">
        <is>
          <t>FXY回报</t>
        </is>
      </c>
      <c r="AZ14" s="4" t="inlineStr">
        <is>
          <t>GDX回报</t>
        </is>
      </c>
      <c r="BA14" s="4" t="inlineStr">
        <is>
          <t>XLC回报</t>
        </is>
      </c>
      <c r="BB14" s="4" t="inlineStr">
        <is>
          <t>VIX_Close</t>
        </is>
      </c>
      <c r="BC14" s="4" t="inlineStr">
        <is>
          <t>VIX回报</t>
        </is>
      </c>
      <c r="BD14" s="4" t="inlineStr">
        <is>
          <t>VIX_Chg%</t>
        </is>
      </c>
      <c r="BE14" s="4" t="inlineStr">
        <is>
          <t>VIX&gt;0 且 该基金当日回报&lt;=-2%，买基金第二天</t>
        </is>
      </c>
      <c r="BF14" s="4" t="inlineStr">
        <is>
          <t>HYG&lt;0 且 TIP&gt;0，买基金第二天</t>
        </is>
      </c>
      <c r="BG14" s="4" t="inlineStr">
        <is>
          <t>EEM&gt;0 且 GLD&lt;0 且 HYG&gt;0，买基金第二天</t>
        </is>
      </c>
      <c r="BH14" s="4" t="inlineStr">
        <is>
          <t>Ultra NASDAQ-100 ProFunds Investor Class（UOPIX）合并效果</t>
        </is>
      </c>
      <c r="BI14" s="4" t="inlineStr">
        <is>
          <t>GDX&gt;0 且 XLC&lt;0，买基金第二天</t>
        </is>
      </c>
      <c r="BJ14" s="4" t="inlineStr">
        <is>
          <t>XLF&lt;=-1% 且 该基金当日回报&lt;0，买基金第二天</t>
        </is>
      </c>
      <c r="BK14" s="4" t="inlineStr">
        <is>
          <t>FXY&gt;0 且 GDX&gt;0，买基金第二天</t>
        </is>
      </c>
      <c r="BL14" s="4" t="inlineStr">
        <is>
          <t>UltraBull ProFund Investor Shares（ULPIX）合并效果</t>
        </is>
      </c>
    </row>
    <row r="15">
      <c r="A15" s="5" t="inlineStr">
        <is>
          <t>2026/08/04</t>
        </is>
      </c>
      <c r="B15" s="5" t="n">
        <v>164.02</v>
      </c>
      <c r="C15" s="5" t="n">
        <v>194.03</v>
      </c>
      <c r="D15" s="6">
        <f>IF(COUNT(B15:B16)=2,(B15/B16-1)*100,"")</f>
        <v/>
      </c>
      <c r="E15" s="6">
        <f>IF(COUNT(C15:C16)=2,(C15/C16-1)*100,"")</f>
        <v/>
      </c>
      <c r="F15" s="5" t="n">
        <v>65.22</v>
      </c>
      <c r="G15" s="5" t="n">
        <v>66.14</v>
      </c>
      <c r="H15" s="5" t="n">
        <v>65.12</v>
      </c>
      <c r="I15" s="5" t="n">
        <v>66</v>
      </c>
      <c r="J15" s="5" t="n">
        <v>66</v>
      </c>
      <c r="K15" s="5" t="n">
        <v>374.14</v>
      </c>
      <c r="L15" s="5" t="n">
        <v>376.69</v>
      </c>
      <c r="M15" s="5" t="n">
        <v>373.71</v>
      </c>
      <c r="N15" s="5" t="n">
        <v>374.16</v>
      </c>
      <c r="O15" s="5" t="n">
        <v>374.16</v>
      </c>
      <c r="P15" s="5" t="n">
        <v>79.37</v>
      </c>
      <c r="Q15" s="5" t="n">
        <v>79.59999999999999</v>
      </c>
      <c r="R15" s="5" t="n">
        <v>79.37</v>
      </c>
      <c r="S15" s="5" t="n">
        <v>79.55</v>
      </c>
      <c r="T15" s="5" t="n">
        <v>79.55</v>
      </c>
      <c r="U15" s="5" t="n">
        <v>107.1</v>
      </c>
      <c r="V15" s="5" t="n">
        <v>107.13</v>
      </c>
      <c r="W15" s="5" t="n">
        <v>106.99</v>
      </c>
      <c r="X15" s="5" t="n">
        <v>107.05</v>
      </c>
      <c r="Y15" s="5" t="n">
        <v>107.05</v>
      </c>
      <c r="Z15" s="5" t="n">
        <v>57.22</v>
      </c>
      <c r="AA15" s="5" t="n">
        <v>58.02</v>
      </c>
      <c r="AB15" s="5" t="n">
        <v>57.19</v>
      </c>
      <c r="AC15" s="5" t="n">
        <v>57.88</v>
      </c>
      <c r="AD15" s="5" t="n">
        <v>57.88</v>
      </c>
      <c r="AE15" s="5" t="n">
        <v>58.28</v>
      </c>
      <c r="AF15" s="5" t="n">
        <v>58.37</v>
      </c>
      <c r="AG15" s="5" t="n">
        <v>58.11</v>
      </c>
      <c r="AH15" s="5" t="n">
        <v>58.15</v>
      </c>
      <c r="AI15" s="5" t="n">
        <v>58.15</v>
      </c>
      <c r="AJ15" s="5" t="n">
        <v>77.61</v>
      </c>
      <c r="AK15" s="5" t="n">
        <v>78.86</v>
      </c>
      <c r="AL15" s="5" t="n">
        <v>77.01000000000001</v>
      </c>
      <c r="AM15" s="5" t="n">
        <v>77.92</v>
      </c>
      <c r="AN15" s="5" t="n">
        <v>77.92</v>
      </c>
      <c r="AO15" s="5" t="n">
        <v>110.535</v>
      </c>
      <c r="AP15" s="5" t="n">
        <v>112.275</v>
      </c>
      <c r="AQ15" s="5" t="n">
        <v>110.45</v>
      </c>
      <c r="AR15" s="5" t="n">
        <v>112.04</v>
      </c>
      <c r="AS15" s="5" t="n">
        <v>112.04</v>
      </c>
      <c r="AT15" s="6">
        <f>IF(COUNT(J15:J16)=2,(J15/J16-1)*100,"")</f>
        <v/>
      </c>
      <c r="AU15" s="6">
        <f>IF(COUNT(O15:O16)=2,(O15/O16-1)*100,"")</f>
        <v/>
      </c>
      <c r="AV15" s="6">
        <f>IF(COUNT(T15:T16)=2,(T15/T16-1)*100,"")</f>
        <v/>
      </c>
      <c r="AW15" s="6">
        <f>IF(COUNT(Y15:Y16)=2,(Y15/Y16-1)*100,"")</f>
        <v/>
      </c>
      <c r="AX15" s="6">
        <f>IF(COUNT(AD15:AD16)=2,(AD15/AD16-1)*100,"")</f>
        <v/>
      </c>
      <c r="AY15" s="6">
        <f>IF(COUNT(AI15:AI16)=2,(AI15/AI16-1)*100,"")</f>
        <v/>
      </c>
      <c r="AZ15" s="6">
        <f>IF(COUNT(AN15:AN16)=2,(AN15/AN16-1)*100,"")</f>
        <v/>
      </c>
      <c r="BA15" s="6">
        <f>IF(COUNT(AS15:AS16)=2,(AS15/AS16-1)*100,"")</f>
        <v/>
      </c>
      <c r="BB15" s="5" t="n">
        <v>16.5</v>
      </c>
      <c r="BC15" s="6">
        <f>IF(COUNT(BB15:BB16)=2,(BB15/BB16-1)*100,"")</f>
        <v/>
      </c>
      <c r="BD15" s="6" t="n">
        <v>4.0353</v>
      </c>
      <c r="BE15" s="6" t="inlineStr"/>
      <c r="BF15" s="6" t="inlineStr"/>
      <c r="BG15" s="6" t="inlineStr"/>
      <c r="BH15" s="6">
        <f>IF(BE15&lt;&gt;"",BE15,IF(BF15&lt;&gt;"",BF15,BG15))</f>
        <v/>
      </c>
      <c r="BI15" s="6" t="inlineStr"/>
      <c r="BJ15" s="6" t="inlineStr"/>
      <c r="BK15" s="6" t="inlineStr"/>
      <c r="BL15" s="6">
        <f>IF(BI15&lt;&gt;"",BI15,IF(BJ15&lt;&gt;"",BJ15,BK15))</f>
        <v/>
      </c>
    </row>
    <row r="16">
      <c r="A16" s="5" t="inlineStr">
        <is>
          <t>2026/08/03</t>
        </is>
      </c>
      <c r="B16" s="5" t="n">
        <v>153.8</v>
      </c>
      <c r="C16" s="5" t="n">
        <v>187.34</v>
      </c>
      <c r="D16" s="6">
        <f>IF(COUNT(B16:B17)=2,(B16/B17-1)*100,"")</f>
        <v/>
      </c>
      <c r="E16" s="6">
        <f>IF(COUNT(C16:C17)=2,(C16/C17-1)*100,"")</f>
        <v/>
      </c>
      <c r="F16" s="5" t="n">
        <v>63.74</v>
      </c>
      <c r="G16" s="5" t="n">
        <v>64.45</v>
      </c>
      <c r="H16" s="5" t="n">
        <v>63.34</v>
      </c>
      <c r="I16" s="5" t="n">
        <v>64.31999999999999</v>
      </c>
      <c r="J16" s="5" t="n">
        <v>64.31999999999999</v>
      </c>
      <c r="K16" s="5" t="n">
        <v>370.1</v>
      </c>
      <c r="L16" s="5" t="n">
        <v>372.04</v>
      </c>
      <c r="M16" s="5" t="n">
        <v>368.64</v>
      </c>
      <c r="N16" s="5" t="n">
        <v>371.71</v>
      </c>
      <c r="O16" s="5" t="n">
        <v>371.71</v>
      </c>
      <c r="P16" s="5" t="n">
        <v>79.25</v>
      </c>
      <c r="Q16" s="5" t="n">
        <v>79.33</v>
      </c>
      <c r="R16" s="5" t="n">
        <v>79.15000000000001</v>
      </c>
      <c r="S16" s="5" t="n">
        <v>79.31</v>
      </c>
      <c r="T16" s="5" t="n">
        <v>79.31</v>
      </c>
      <c r="U16" s="5" t="n">
        <v>106.89</v>
      </c>
      <c r="V16" s="5" t="n">
        <v>106.97</v>
      </c>
      <c r="W16" s="5" t="n">
        <v>106.76</v>
      </c>
      <c r="X16" s="5" t="n">
        <v>106.86</v>
      </c>
      <c r="Y16" s="5" t="n">
        <v>106.86</v>
      </c>
      <c r="Z16" s="5" t="n">
        <v>57.29</v>
      </c>
      <c r="AA16" s="5" t="n">
        <v>57.55</v>
      </c>
      <c r="AB16" s="5" t="n">
        <v>57</v>
      </c>
      <c r="AC16" s="5" t="n">
        <v>57.38</v>
      </c>
      <c r="AD16" s="5" t="n">
        <v>57.38</v>
      </c>
      <c r="AE16" s="5" t="n">
        <v>58.62</v>
      </c>
      <c r="AF16" s="5" t="n">
        <v>58.72</v>
      </c>
      <c r="AG16" s="5" t="n">
        <v>58.43</v>
      </c>
      <c r="AH16" s="5" t="n">
        <v>58.5</v>
      </c>
      <c r="AI16" s="5" t="n">
        <v>58.5</v>
      </c>
      <c r="AJ16" s="5" t="n">
        <v>74.31</v>
      </c>
      <c r="AK16" s="5" t="n">
        <v>76.12</v>
      </c>
      <c r="AL16" s="5" t="n">
        <v>73.62</v>
      </c>
      <c r="AM16" s="5" t="n">
        <v>76.05</v>
      </c>
      <c r="AN16" s="5" t="n">
        <v>76.05</v>
      </c>
      <c r="AO16" s="5" t="n">
        <v>109.83</v>
      </c>
      <c r="AP16" s="5" t="n">
        <v>112.01</v>
      </c>
      <c r="AQ16" s="5" t="n">
        <v>109.79</v>
      </c>
      <c r="AR16" s="5" t="n">
        <v>111.34</v>
      </c>
      <c r="AS16" s="5" t="n">
        <v>111.34</v>
      </c>
      <c r="AT16" s="6">
        <f>IF(COUNT(J16:J17)=2,(J16/J17-1)*100,"")</f>
        <v/>
      </c>
      <c r="AU16" s="6">
        <f>IF(COUNT(O16:O17)=2,(O16/O17-1)*100,"")</f>
        <v/>
      </c>
      <c r="AV16" s="6">
        <f>IF(COUNT(T16:T17)=2,(T16/T17-1)*100,"")</f>
        <v/>
      </c>
      <c r="AW16" s="6">
        <f>IF(COUNT(Y16:Y17)=2,(Y16/Y17-1)*100,"")</f>
        <v/>
      </c>
      <c r="AX16" s="6">
        <f>IF(COUNT(AD16:AD17)=2,(AD16/AD17-1)*100,"")</f>
        <v/>
      </c>
      <c r="AY16" s="6">
        <f>IF(COUNT(AI16:AI17)=2,(AI16/AI17-1)*100,"")</f>
        <v/>
      </c>
      <c r="AZ16" s="6">
        <f>IF(COUNT(AN16:AN17)=2,(AN16/AN17-1)*100,"")</f>
        <v/>
      </c>
      <c r="BA16" s="6">
        <f>IF(COUNT(AS16:AS17)=2,(AS16/AS17-1)*100,"")</f>
        <v/>
      </c>
      <c r="BB16" s="5" t="n">
        <v>15.86</v>
      </c>
      <c r="BC16" s="6">
        <f>IF(COUNT(BB16:BB17)=2,(BB16/BB17-1)*100,"")</f>
        <v/>
      </c>
      <c r="BD16" s="6" t="n">
        <v>-0.8129999999999999</v>
      </c>
      <c r="BE16" s="6">
        <f>IF(AND(BD16&gt;$BE$12,D16&lt;=$BE$13),D15,"")</f>
        <v/>
      </c>
      <c r="BF16" s="6">
        <f>IF(AND(AV16&lt;$BF$12,AW16&gt;$BF$13),D15,"")</f>
        <v/>
      </c>
      <c r="BG16" s="6">
        <f>IF(AND(AT16&gt;$BG$12,AU16&lt;$BG$13,AV16&gt;$BG$11),D15,"")</f>
        <v/>
      </c>
      <c r="BH16" s="6">
        <f>IF(BE16&lt;&gt;"",BE16,IF(BF16&lt;&gt;"",BF16,BG16))</f>
        <v/>
      </c>
      <c r="BI16" s="6">
        <f>IF(AND(AZ16&gt;$BI$12,BA16&lt;$BI$13),E15,"")</f>
        <v/>
      </c>
      <c r="BJ16" s="6">
        <f>IF(AND(AX16&lt;=$BJ$12,E16&lt;$BJ$13),E15,"")</f>
        <v/>
      </c>
      <c r="BK16" s="6">
        <f>IF(AND(AY16&gt;$BK$12,AZ16&gt;$BK$13),E15,"")</f>
        <v/>
      </c>
      <c r="BL16" s="6">
        <f>IF(BI16&lt;&gt;"",BI16,IF(BJ16&lt;&gt;"",BJ16,BK16))</f>
        <v/>
      </c>
    </row>
    <row r="17">
      <c r="A17" s="5" t="inlineStr">
        <is>
          <t>2026/07/31</t>
        </is>
      </c>
      <c r="B17" s="5" t="n">
        <v>148.6</v>
      </c>
      <c r="C17" s="5" t="n">
        <v>182.05</v>
      </c>
      <c r="D17" s="6">
        <f>IF(COUNT(B17:B18)=2,(B17/B18-1)*100,"")</f>
        <v/>
      </c>
      <c r="E17" s="6">
        <f>IF(COUNT(C17:C18)=2,(C17/C18-1)*100,"")</f>
        <v/>
      </c>
      <c r="F17" s="5" t="n">
        <v>64.93000000000001</v>
      </c>
      <c r="G17" s="5" t="n">
        <v>65.06</v>
      </c>
      <c r="H17" s="5" t="n">
        <v>63.51</v>
      </c>
      <c r="I17" s="5" t="n">
        <v>64.09</v>
      </c>
      <c r="J17" s="5" t="n">
        <v>64.09</v>
      </c>
      <c r="K17" s="5" t="n">
        <v>370.84</v>
      </c>
      <c r="L17" s="5" t="n">
        <v>372.01</v>
      </c>
      <c r="M17" s="5" t="n">
        <v>368.82</v>
      </c>
      <c r="N17" s="5" t="n">
        <v>371.54</v>
      </c>
      <c r="O17" s="5" t="n">
        <v>371.54</v>
      </c>
      <c r="P17" s="5" t="n">
        <v>79.45999999999999</v>
      </c>
      <c r="Q17" s="5" t="n">
        <v>79.54000000000001</v>
      </c>
      <c r="R17" s="5" t="n">
        <v>79.23999999999999</v>
      </c>
      <c r="S17" s="5" t="n">
        <v>79.48</v>
      </c>
      <c r="T17" s="5" t="n">
        <v>79.096</v>
      </c>
      <c r="U17" s="5" t="n">
        <v>107.55</v>
      </c>
      <c r="V17" s="5" t="n">
        <v>107.63</v>
      </c>
      <c r="W17" s="5" t="n">
        <v>107.34</v>
      </c>
      <c r="X17" s="5" t="n">
        <v>107.63</v>
      </c>
      <c r="Y17" s="5" t="n">
        <v>106.846</v>
      </c>
      <c r="Z17" s="5" t="n">
        <v>56.81</v>
      </c>
      <c r="AA17" s="5" t="n">
        <v>57.12</v>
      </c>
      <c r="AB17" s="5" t="n">
        <v>56.69</v>
      </c>
      <c r="AC17" s="5" t="n">
        <v>56.94</v>
      </c>
      <c r="AD17" s="5" t="n">
        <v>56.94</v>
      </c>
      <c r="AE17" s="5" t="n">
        <v>57.52</v>
      </c>
      <c r="AF17" s="5" t="n">
        <v>58.01</v>
      </c>
      <c r="AG17" s="5" t="n">
        <v>57.38</v>
      </c>
      <c r="AH17" s="5" t="n">
        <v>57.66</v>
      </c>
      <c r="AI17" s="5" t="n">
        <v>57.66</v>
      </c>
      <c r="AJ17" s="5" t="n">
        <v>74.88</v>
      </c>
      <c r="AK17" s="5" t="n">
        <v>75.31999999999999</v>
      </c>
      <c r="AL17" s="5" t="n">
        <v>72.92</v>
      </c>
      <c r="AM17" s="5" t="n">
        <v>74.09999999999999</v>
      </c>
      <c r="AN17" s="5" t="n">
        <v>74.09999999999999</v>
      </c>
      <c r="AO17" s="5" t="n">
        <v>106.825</v>
      </c>
      <c r="AP17" s="5" t="n">
        <v>108.405</v>
      </c>
      <c r="AQ17" s="5" t="n">
        <v>106.61</v>
      </c>
      <c r="AR17" s="5" t="n">
        <v>108.24</v>
      </c>
      <c r="AS17" s="5" t="n">
        <v>108.24</v>
      </c>
      <c r="AT17" s="6">
        <f>IF(COUNT(J17:J18)=2,(J17/J18-1)*100,"")</f>
        <v/>
      </c>
      <c r="AU17" s="6">
        <f>IF(COUNT(O17:O18)=2,(O17/O18-1)*100,"")</f>
        <v/>
      </c>
      <c r="AV17" s="6">
        <f>IF(COUNT(T17:T18)=2,(T17/T18-1)*100,"")</f>
        <v/>
      </c>
      <c r="AW17" s="6">
        <f>IF(COUNT(Y17:Y18)=2,(Y17/Y18-1)*100,"")</f>
        <v/>
      </c>
      <c r="AX17" s="6">
        <f>IF(COUNT(AD17:AD18)=2,(AD17/AD18-1)*100,"")</f>
        <v/>
      </c>
      <c r="AY17" s="6">
        <f>IF(COUNT(AI17:AI18)=2,(AI17/AI18-1)*100,"")</f>
        <v/>
      </c>
      <c r="AZ17" s="6">
        <f>IF(COUNT(AN17:AN18)=2,(AN17/AN18-1)*100,"")</f>
        <v/>
      </c>
      <c r="BA17" s="6">
        <f>IF(COUNT(AS17:AS18)=2,(AS17/AS18-1)*100,"")</f>
        <v/>
      </c>
      <c r="BB17" s="5" t="n">
        <v>15.99</v>
      </c>
      <c r="BC17" s="6">
        <f>IF(COUNT(BB17:BB18)=2,(BB17/BB18-1)*100,"")</f>
        <v/>
      </c>
      <c r="BD17" s="6" t="n">
        <v>-6.4365</v>
      </c>
      <c r="BE17" s="6">
        <f>IF(AND(BD17&gt;$BE$12,D17&lt;=$BE$13),D16,"")</f>
        <v/>
      </c>
      <c r="BF17" s="6">
        <f>IF(AND(AV17&lt;$BF$12,AW17&gt;$BF$13),D16,"")</f>
        <v/>
      </c>
      <c r="BG17" s="6">
        <f>IF(AND(AT17&gt;$BG$12,AU17&lt;$BG$13,AV17&gt;$BG$11),D16,"")</f>
        <v/>
      </c>
      <c r="BH17" s="6">
        <f>IF(BE17&lt;&gt;"",BE17,IF(BF17&lt;&gt;"",BF17,BG17))</f>
        <v/>
      </c>
      <c r="BI17" s="6">
        <f>IF(AND(AZ17&gt;$BI$12,BA17&lt;$BI$13),E16,"")</f>
        <v/>
      </c>
      <c r="BJ17" s="6">
        <f>IF(AND(AX17&lt;=$BJ$12,E17&lt;$BJ$13),E16,"")</f>
        <v/>
      </c>
      <c r="BK17" s="6">
        <f>IF(AND(AY17&gt;$BK$12,AZ17&gt;$BK$13),E16,"")</f>
        <v/>
      </c>
      <c r="BL17" s="6">
        <f>IF(BI17&lt;&gt;"",BI17,IF(BJ17&lt;&gt;"",BJ17,BK17))</f>
        <v/>
      </c>
    </row>
    <row r="18">
      <c r="A18" s="5" t="inlineStr">
        <is>
          <t>2026/07/30</t>
        </is>
      </c>
      <c r="B18" s="5" t="n">
        <v>146.84</v>
      </c>
      <c r="C18" s="5" t="n">
        <v>179.55</v>
      </c>
      <c r="D18" s="6">
        <f>IF(COUNT(B18:B19)=2,(B18/B19-1)*100,"")</f>
        <v/>
      </c>
      <c r="E18" s="6">
        <f>IF(COUNT(C18:C19)=2,(C18/C19-1)*100,"")</f>
        <v/>
      </c>
      <c r="F18" s="5" t="n">
        <v>62.48</v>
      </c>
      <c r="G18" s="5" t="n">
        <v>63.64</v>
      </c>
      <c r="H18" s="5" t="n">
        <v>62.3</v>
      </c>
      <c r="I18" s="5" t="n">
        <v>63.59</v>
      </c>
      <c r="J18" s="5" t="n">
        <v>63.59</v>
      </c>
      <c r="K18" s="5" t="n">
        <v>374.16</v>
      </c>
      <c r="L18" s="5" t="n">
        <v>377.86</v>
      </c>
      <c r="M18" s="5" t="n">
        <v>373.76</v>
      </c>
      <c r="N18" s="5" t="n">
        <v>377.16</v>
      </c>
      <c r="O18" s="5" t="n">
        <v>377.16</v>
      </c>
      <c r="P18" s="5" t="n">
        <v>79.38</v>
      </c>
      <c r="Q18" s="5" t="n">
        <v>79.5</v>
      </c>
      <c r="R18" s="5" t="n">
        <v>79.33</v>
      </c>
      <c r="S18" s="5" t="n">
        <v>79.47</v>
      </c>
      <c r="T18" s="5" t="n">
        <v>79.086</v>
      </c>
      <c r="U18" s="5" t="n">
        <v>107.83</v>
      </c>
      <c r="V18" s="5" t="n">
        <v>107.89</v>
      </c>
      <c r="W18" s="5" t="n">
        <v>107.67</v>
      </c>
      <c r="X18" s="5" t="n">
        <v>107.74</v>
      </c>
      <c r="Y18" s="5" t="n">
        <v>106.9552</v>
      </c>
      <c r="Z18" s="5" t="n">
        <v>56.82</v>
      </c>
      <c r="AA18" s="5" t="n">
        <v>57.05</v>
      </c>
      <c r="AB18" s="5" t="n">
        <v>56.18</v>
      </c>
      <c r="AC18" s="5" t="n">
        <v>57</v>
      </c>
      <c r="AD18" s="5" t="n">
        <v>57</v>
      </c>
      <c r="AE18" s="5" t="n">
        <v>56.37</v>
      </c>
      <c r="AF18" s="5" t="n">
        <v>58.03</v>
      </c>
      <c r="AG18" s="5" t="n">
        <v>56.35</v>
      </c>
      <c r="AH18" s="5" t="n">
        <v>57.58</v>
      </c>
      <c r="AI18" s="5" t="n">
        <v>57.58</v>
      </c>
      <c r="AJ18" s="5" t="n">
        <v>75.34999999999999</v>
      </c>
      <c r="AK18" s="5" t="n">
        <v>76.81</v>
      </c>
      <c r="AL18" s="5" t="n">
        <v>74.3</v>
      </c>
      <c r="AM18" s="5" t="n">
        <v>76.78</v>
      </c>
      <c r="AN18" s="5" t="n">
        <v>76.78</v>
      </c>
      <c r="AO18" s="5" t="n">
        <v>106.47</v>
      </c>
      <c r="AP18" s="5" t="n">
        <v>106.65</v>
      </c>
      <c r="AQ18" s="5" t="n">
        <v>105.493</v>
      </c>
      <c r="AR18" s="5" t="n">
        <v>106.58</v>
      </c>
      <c r="AS18" s="5" t="n">
        <v>106.58</v>
      </c>
      <c r="AT18" s="6">
        <f>IF(COUNT(J18:J19)=2,(J18/J19-1)*100,"")</f>
        <v/>
      </c>
      <c r="AU18" s="6">
        <f>IF(COUNT(O18:O19)=2,(O18/O19-1)*100,"")</f>
        <v/>
      </c>
      <c r="AV18" s="6">
        <f>IF(COUNT(T18:T19)=2,(T18/T19-1)*100,"")</f>
        <v/>
      </c>
      <c r="AW18" s="6">
        <f>IF(COUNT(Y18:Y19)=2,(Y18/Y19-1)*100,"")</f>
        <v/>
      </c>
      <c r="AX18" s="6">
        <f>IF(COUNT(AD18:AD19)=2,(AD18/AD19-1)*100,"")</f>
        <v/>
      </c>
      <c r="AY18" s="6">
        <f>IF(COUNT(AI18:AI19)=2,(AI18/AI19-1)*100,"")</f>
        <v/>
      </c>
      <c r="AZ18" s="6">
        <f>IF(COUNT(AN18:AN19)=2,(AN18/AN19-1)*100,"")</f>
        <v/>
      </c>
      <c r="BA18" s="6">
        <f>IF(COUNT(AS18:AS19)=2,(AS18/AS19-1)*100,"")</f>
        <v/>
      </c>
      <c r="BB18" s="5" t="n">
        <v>17.09</v>
      </c>
      <c r="BC18" s="6">
        <f>IF(COUNT(BB18:BB19)=2,(BB18/BB19-1)*100,"")</f>
        <v/>
      </c>
      <c r="BD18" s="6" t="n">
        <v>-17.2798</v>
      </c>
      <c r="BE18" s="6">
        <f>IF(AND(BD18&gt;$BE$12,D18&lt;=$BE$13),D17,"")</f>
        <v/>
      </c>
      <c r="BF18" s="6">
        <f>IF(AND(AV18&lt;$BF$12,AW18&gt;$BF$13),D17,"")</f>
        <v/>
      </c>
      <c r="BG18" s="6">
        <f>IF(AND(AT18&gt;$BG$12,AU18&lt;$BG$13,AV18&gt;$BG$11),D17,"")</f>
        <v/>
      </c>
      <c r="BH18" s="6">
        <f>IF(BE18&lt;&gt;"",BE18,IF(BF18&lt;&gt;"",BF18,BG18))</f>
        <v/>
      </c>
      <c r="BI18" s="6">
        <f>IF(AND(AZ18&gt;$BI$12,BA18&lt;$BI$13),E17,"")</f>
        <v/>
      </c>
      <c r="BJ18" s="6">
        <f>IF(AND(AX18&lt;=$BJ$12,E18&lt;$BJ$13),E17,"")</f>
        <v/>
      </c>
      <c r="BK18" s="6">
        <f>IF(AND(AY18&gt;$BK$12,AZ18&gt;$BK$13),E17,"")</f>
        <v/>
      </c>
      <c r="BL18" s="6">
        <f>IF(BI18&lt;&gt;"",BI18,IF(BJ18&lt;&gt;"",BJ18,BK18))</f>
        <v/>
      </c>
    </row>
    <row r="19">
      <c r="A19" s="5" t="inlineStr">
        <is>
          <t>2026/07/29</t>
        </is>
      </c>
      <c r="B19" s="5" t="n">
        <v>137.65</v>
      </c>
      <c r="C19" s="5" t="n">
        <v>173.8</v>
      </c>
      <c r="D19" s="6">
        <f>IF(COUNT(B19:B20)=2,(B19/B20-1)*100,"")</f>
        <v/>
      </c>
      <c r="E19" s="6">
        <f>IF(COUNT(C19:C20)=2,(C19/C20-1)*100,"")</f>
        <v/>
      </c>
      <c r="F19" s="5" t="n">
        <v>61.73</v>
      </c>
      <c r="G19" s="5" t="n">
        <v>62.7</v>
      </c>
      <c r="H19" s="5" t="n">
        <v>60.77</v>
      </c>
      <c r="I19" s="5" t="n">
        <v>61.07</v>
      </c>
      <c r="J19" s="5" t="n">
        <v>61.07</v>
      </c>
      <c r="K19" s="5" t="n">
        <v>368.29</v>
      </c>
      <c r="L19" s="5" t="n">
        <v>377.62</v>
      </c>
      <c r="M19" s="5" t="n">
        <v>366.53</v>
      </c>
      <c r="N19" s="5" t="n">
        <v>371.08</v>
      </c>
      <c r="O19" s="5" t="n">
        <v>371.08</v>
      </c>
      <c r="P19" s="5" t="n">
        <v>79.37</v>
      </c>
      <c r="Q19" s="5" t="n">
        <v>79.48</v>
      </c>
      <c r="R19" s="5" t="n">
        <v>79.14</v>
      </c>
      <c r="S19" s="5" t="n">
        <v>79.23999999999999</v>
      </c>
      <c r="T19" s="5" t="n">
        <v>78.85720000000001</v>
      </c>
      <c r="U19" s="5" t="n">
        <v>107.64</v>
      </c>
      <c r="V19" s="5" t="n">
        <v>108.01</v>
      </c>
      <c r="W19" s="5" t="n">
        <v>107.48</v>
      </c>
      <c r="X19" s="5" t="n">
        <v>107.77</v>
      </c>
      <c r="Y19" s="5" t="n">
        <v>106.985</v>
      </c>
      <c r="Z19" s="5" t="n">
        <v>57.29</v>
      </c>
      <c r="AA19" s="5" t="n">
        <v>57.47</v>
      </c>
      <c r="AB19" s="5" t="n">
        <v>56.59</v>
      </c>
      <c r="AC19" s="5" t="n">
        <v>56.68</v>
      </c>
      <c r="AD19" s="5" t="n">
        <v>56.68</v>
      </c>
      <c r="AE19" s="5" t="n">
        <v>56.02</v>
      </c>
      <c r="AF19" s="5" t="n">
        <v>56.21</v>
      </c>
      <c r="AG19" s="5" t="n">
        <v>55.97</v>
      </c>
      <c r="AH19" s="5" t="n">
        <v>56.13</v>
      </c>
      <c r="AI19" s="5" t="n">
        <v>56.13</v>
      </c>
      <c r="AJ19" s="5" t="n">
        <v>73.94</v>
      </c>
      <c r="AK19" s="5" t="n">
        <v>76.03</v>
      </c>
      <c r="AL19" s="5" t="n">
        <v>72.18000000000001</v>
      </c>
      <c r="AM19" s="5" t="n">
        <v>73.56999999999999</v>
      </c>
      <c r="AN19" s="5" t="n">
        <v>73.56999999999999</v>
      </c>
      <c r="AO19" s="5" t="n">
        <v>109.51</v>
      </c>
      <c r="AP19" s="5" t="n">
        <v>110.74</v>
      </c>
      <c r="AQ19" s="5" t="n">
        <v>108.95</v>
      </c>
      <c r="AR19" s="5" t="n">
        <v>109.51</v>
      </c>
      <c r="AS19" s="5" t="n">
        <v>109.51</v>
      </c>
      <c r="AT19" s="6">
        <f>IF(COUNT(J19:J20)=2,(J19/J20-1)*100,"")</f>
        <v/>
      </c>
      <c r="AU19" s="6">
        <f>IF(COUNT(O19:O20)=2,(O19/O20-1)*100,"")</f>
        <v/>
      </c>
      <c r="AV19" s="6">
        <f>IF(COUNT(T19:T20)=2,(T19/T20-1)*100,"")</f>
        <v/>
      </c>
      <c r="AW19" s="6">
        <f>IF(COUNT(Y19:Y20)=2,(Y19/Y20-1)*100,"")</f>
        <v/>
      </c>
      <c r="AX19" s="6">
        <f>IF(COUNT(AD19:AD20)=2,(AD19/AD20-1)*100,"")</f>
        <v/>
      </c>
      <c r="AY19" s="6">
        <f>IF(COUNT(AI19:AI20)=2,(AI19/AI20-1)*100,"")</f>
        <v/>
      </c>
      <c r="AZ19" s="6">
        <f>IF(COUNT(AN19:AN20)=2,(AN19/AN20-1)*100,"")</f>
        <v/>
      </c>
      <c r="BA19" s="6">
        <f>IF(COUNT(AS19:AS20)=2,(AS19/AS20-1)*100,"")</f>
        <v/>
      </c>
      <c r="BB19" s="5" t="n">
        <v>20.66</v>
      </c>
      <c r="BC19" s="6">
        <f>IF(COUNT(BB19:BB20)=2,(BB19/BB20-1)*100,"")</f>
        <v/>
      </c>
      <c r="BD19" s="6" t="n">
        <v>13.4541</v>
      </c>
      <c r="BE19" s="6">
        <f>IF(AND(BD19&gt;$BE$12,D19&lt;=$BE$13),D18,"")</f>
        <v/>
      </c>
      <c r="BF19" s="6">
        <f>IF(AND(AV19&lt;$BF$12,AW19&gt;$BF$13),D18,"")</f>
        <v/>
      </c>
      <c r="BG19" s="6">
        <f>IF(AND(AT19&gt;$BG$12,AU19&lt;$BG$13,AV19&gt;$BG$11),D18,"")</f>
        <v/>
      </c>
      <c r="BH19" s="6">
        <f>IF(BE19&lt;&gt;"",BE19,IF(BF19&lt;&gt;"",BF19,BG19))</f>
        <v/>
      </c>
      <c r="BI19" s="6">
        <f>IF(AND(AZ19&gt;$BI$12,BA19&lt;$BI$13),E18,"")</f>
        <v/>
      </c>
      <c r="BJ19" s="6">
        <f>IF(AND(AX19&lt;=$BJ$12,E19&lt;$BJ$13),E18,"")</f>
        <v/>
      </c>
      <c r="BK19" s="6">
        <f>IF(AND(AY19&gt;$BK$12,AZ19&gt;$BK$13),E18,"")</f>
        <v/>
      </c>
      <c r="BL19" s="6">
        <f>IF(BI19&lt;&gt;"",BI19,IF(BJ19&lt;&gt;"",BJ19,BK19))</f>
        <v/>
      </c>
    </row>
    <row r="20">
      <c r="A20" s="5" t="inlineStr">
        <is>
          <t>2026/07/28</t>
        </is>
      </c>
      <c r="B20" s="5" t="n">
        <v>143.57</v>
      </c>
      <c r="C20" s="5" t="n">
        <v>179.29</v>
      </c>
      <c r="D20" s="6">
        <f>IF(COUNT(B20:B21)=2,(B20/B21-1)*100,"")</f>
        <v/>
      </c>
      <c r="E20" s="6">
        <f>IF(COUNT(C20:C21)=2,(C20/C21-1)*100,"")</f>
        <v/>
      </c>
      <c r="F20" s="5" t="n">
        <v>62.06</v>
      </c>
      <c r="G20" s="5" t="n">
        <v>62.8</v>
      </c>
      <c r="H20" s="5" t="n">
        <v>61.68</v>
      </c>
      <c r="I20" s="5" t="n">
        <v>62.36</v>
      </c>
      <c r="J20" s="5" t="n">
        <v>62.36</v>
      </c>
      <c r="K20" s="5" t="n">
        <v>369.61</v>
      </c>
      <c r="L20" s="5" t="n">
        <v>371.23</v>
      </c>
      <c r="M20" s="5" t="n">
        <v>367.98</v>
      </c>
      <c r="N20" s="5" t="n">
        <v>369.37</v>
      </c>
      <c r="O20" s="5" t="n">
        <v>369.37</v>
      </c>
      <c r="P20" s="5" t="n">
        <v>79.31999999999999</v>
      </c>
      <c r="Q20" s="5" t="n">
        <v>79.42</v>
      </c>
      <c r="R20" s="5" t="n">
        <v>79.25</v>
      </c>
      <c r="S20" s="5" t="n">
        <v>79.42</v>
      </c>
      <c r="T20" s="5" t="n">
        <v>79.0363</v>
      </c>
      <c r="U20" s="5" t="n">
        <v>107.5</v>
      </c>
      <c r="V20" s="5" t="n">
        <v>107.8</v>
      </c>
      <c r="W20" s="5" t="n">
        <v>107.48</v>
      </c>
      <c r="X20" s="5" t="n">
        <v>107.66</v>
      </c>
      <c r="Y20" s="5" t="n">
        <v>106.8758</v>
      </c>
      <c r="Z20" s="5" t="n">
        <v>57.13</v>
      </c>
      <c r="AA20" s="5" t="n">
        <v>57.6</v>
      </c>
      <c r="AB20" s="5" t="n">
        <v>56.95</v>
      </c>
      <c r="AC20" s="5" t="n">
        <v>57.6</v>
      </c>
      <c r="AD20" s="5" t="n">
        <v>57.6</v>
      </c>
      <c r="AE20" s="5" t="n">
        <v>55.98</v>
      </c>
      <c r="AF20" s="5" t="n">
        <v>56.06</v>
      </c>
      <c r="AG20" s="5" t="n">
        <v>55.97</v>
      </c>
      <c r="AH20" s="5" t="n">
        <v>56</v>
      </c>
      <c r="AI20" s="5" t="n">
        <v>56</v>
      </c>
      <c r="AJ20" s="5" t="n">
        <v>74.5</v>
      </c>
      <c r="AK20" s="5" t="n">
        <v>75.15000000000001</v>
      </c>
      <c r="AL20" s="5" t="n">
        <v>73.33</v>
      </c>
      <c r="AM20" s="5" t="n">
        <v>74.20999999999999</v>
      </c>
      <c r="AN20" s="5" t="n">
        <v>74.20999999999999</v>
      </c>
      <c r="AO20" s="5" t="n">
        <v>108.33</v>
      </c>
      <c r="AP20" s="5" t="n">
        <v>110.03</v>
      </c>
      <c r="AQ20" s="5" t="n">
        <v>108.33</v>
      </c>
      <c r="AR20" s="5" t="n">
        <v>109.67</v>
      </c>
      <c r="AS20" s="5" t="n">
        <v>109.67</v>
      </c>
      <c r="AT20" s="6">
        <f>IF(COUNT(J20:J21)=2,(J20/J21-1)*100,"")</f>
        <v/>
      </c>
      <c r="AU20" s="6">
        <f>IF(COUNT(O20:O21)=2,(O20/O21-1)*100,"")</f>
        <v/>
      </c>
      <c r="AV20" s="6">
        <f>IF(COUNT(T20:T21)=2,(T20/T21-1)*100,"")</f>
        <v/>
      </c>
      <c r="AW20" s="6">
        <f>IF(COUNT(Y20:Y21)=2,(Y20/Y21-1)*100,"")</f>
        <v/>
      </c>
      <c r="AX20" s="6">
        <f>IF(COUNT(AD20:AD21)=2,(AD20/AD21-1)*100,"")</f>
        <v/>
      </c>
      <c r="AY20" s="6">
        <f>IF(COUNT(AI20:AI21)=2,(AI20/AI21-1)*100,"")</f>
        <v/>
      </c>
      <c r="AZ20" s="6">
        <f>IF(COUNT(AN20:AN21)=2,(AN20/AN21-1)*100,"")</f>
        <v/>
      </c>
      <c r="BA20" s="6">
        <f>IF(COUNT(AS20:AS21)=2,(AS20/AS21-1)*100,"")</f>
        <v/>
      </c>
      <c r="BB20" s="5" t="n">
        <v>18.21</v>
      </c>
      <c r="BC20" s="6">
        <f>IF(COUNT(BB20:BB21)=2,(BB20/BB21-1)*100,"")</f>
        <v/>
      </c>
      <c r="BD20" s="6" t="n">
        <v>-2.4638</v>
      </c>
      <c r="BE20" s="6">
        <f>IF(AND(BD20&gt;$BE$12,D20&lt;=$BE$13),D19,"")</f>
        <v/>
      </c>
      <c r="BF20" s="6">
        <f>IF(AND(AV20&lt;$BF$12,AW20&gt;$BF$13),D19,"")</f>
        <v/>
      </c>
      <c r="BG20" s="6">
        <f>IF(AND(AT20&gt;$BG$12,AU20&lt;$BG$13,AV20&gt;$BG$11),D19,"")</f>
        <v/>
      </c>
      <c r="BH20" s="6">
        <f>IF(BE20&lt;&gt;"",BE20,IF(BF20&lt;&gt;"",BF20,BG20))</f>
        <v/>
      </c>
      <c r="BI20" s="6">
        <f>IF(AND(AZ20&gt;$BI$12,BA20&lt;$BI$13),E19,"")</f>
        <v/>
      </c>
      <c r="BJ20" s="6">
        <f>IF(AND(AX20&lt;=$BJ$12,E20&lt;$BJ$13),E19,"")</f>
        <v/>
      </c>
      <c r="BK20" s="6">
        <f>IF(AND(AY20&gt;$BK$12,AZ20&gt;$BK$13),E19,"")</f>
        <v/>
      </c>
      <c r="BL20" s="6">
        <f>IF(BI20&lt;&gt;"",BI20,IF(BJ20&lt;&gt;"",BJ20,BK20))</f>
        <v/>
      </c>
    </row>
    <row r="21">
      <c r="A21" s="5" t="inlineStr">
        <is>
          <t>2026/07/27</t>
        </is>
      </c>
      <c r="B21" s="5" t="n">
        <v>146.46</v>
      </c>
      <c r="C21" s="5" t="n">
        <v>178.54</v>
      </c>
      <c r="D21" s="6">
        <f>IF(COUNT(B21:B22)=2,(B21/B22-1)*100,"")</f>
        <v/>
      </c>
      <c r="E21" s="6">
        <f>IF(COUNT(C21:C22)=2,(C21/C22-1)*100,"")</f>
        <v/>
      </c>
      <c r="F21" s="5" t="n">
        <v>64.22</v>
      </c>
      <c r="G21" s="5" t="n">
        <v>64.27</v>
      </c>
      <c r="H21" s="5" t="n">
        <v>62.85</v>
      </c>
      <c r="I21" s="5" t="n">
        <v>63.62</v>
      </c>
      <c r="J21" s="5" t="n">
        <v>63.62</v>
      </c>
      <c r="K21" s="5" t="n">
        <v>373.89</v>
      </c>
      <c r="L21" s="5" t="n">
        <v>375.53</v>
      </c>
      <c r="M21" s="5" t="n">
        <v>372.91</v>
      </c>
      <c r="N21" s="5" t="n">
        <v>374.63</v>
      </c>
      <c r="O21" s="5" t="n">
        <v>374.63</v>
      </c>
      <c r="P21" s="5" t="n">
        <v>79.34</v>
      </c>
      <c r="Q21" s="5" t="n">
        <v>79.40000000000001</v>
      </c>
      <c r="R21" s="5" t="n">
        <v>79.23999999999999</v>
      </c>
      <c r="S21" s="5" t="n">
        <v>79.27</v>
      </c>
      <c r="T21" s="5" t="n">
        <v>78.887</v>
      </c>
      <c r="U21" s="5" t="n">
        <v>107.57</v>
      </c>
      <c r="V21" s="5" t="n">
        <v>107.63</v>
      </c>
      <c r="W21" s="5" t="n">
        <v>107.39</v>
      </c>
      <c r="X21" s="5" t="n">
        <v>107.39</v>
      </c>
      <c r="Y21" s="5" t="n">
        <v>106.6077</v>
      </c>
      <c r="Z21" s="5" t="n">
        <v>56.76</v>
      </c>
      <c r="AA21" s="5" t="n">
        <v>57.13</v>
      </c>
      <c r="AB21" s="5" t="n">
        <v>56.59</v>
      </c>
      <c r="AC21" s="5" t="n">
        <v>56.88</v>
      </c>
      <c r="AD21" s="5" t="n">
        <v>56.88</v>
      </c>
      <c r="AE21" s="5" t="n">
        <v>56.04</v>
      </c>
      <c r="AF21" s="5" t="n">
        <v>56.09</v>
      </c>
      <c r="AG21" s="5" t="n">
        <v>56.01</v>
      </c>
      <c r="AH21" s="5" t="n">
        <v>56.01</v>
      </c>
      <c r="AI21" s="5" t="n">
        <v>56.01</v>
      </c>
      <c r="AJ21" s="5" t="n">
        <v>76.20999999999999</v>
      </c>
      <c r="AK21" s="5" t="n">
        <v>76.56</v>
      </c>
      <c r="AL21" s="5" t="n">
        <v>74.25</v>
      </c>
      <c r="AM21" s="5" t="n">
        <v>75.73</v>
      </c>
      <c r="AN21" s="5" t="n">
        <v>75.73</v>
      </c>
      <c r="AO21" s="5" t="n">
        <v>107.52</v>
      </c>
      <c r="AP21" s="5" t="n">
        <v>108.54</v>
      </c>
      <c r="AQ21" s="5" t="n">
        <v>107.44</v>
      </c>
      <c r="AR21" s="5" t="n">
        <v>107.66</v>
      </c>
      <c r="AS21" s="5" t="n">
        <v>107.66</v>
      </c>
      <c r="AT21" s="6">
        <f>IF(COUNT(J21:J22)=2,(J21/J22-1)*100,"")</f>
        <v/>
      </c>
      <c r="AU21" s="6">
        <f>IF(COUNT(O21:O22)=2,(O21/O22-1)*100,"")</f>
        <v/>
      </c>
      <c r="AV21" s="6">
        <f>IF(COUNT(T21:T22)=2,(T21/T22-1)*100,"")</f>
        <v/>
      </c>
      <c r="AW21" s="6">
        <f>IF(COUNT(Y21:Y22)=2,(Y21/Y22-1)*100,"")</f>
        <v/>
      </c>
      <c r="AX21" s="6">
        <f>IF(COUNT(AD21:AD22)=2,(AD21/AD22-1)*100,"")</f>
        <v/>
      </c>
      <c r="AY21" s="6">
        <f>IF(COUNT(AI21:AI22)=2,(AI21/AI22-1)*100,"")</f>
        <v/>
      </c>
      <c r="AZ21" s="6">
        <f>IF(COUNT(AN21:AN22)=2,(AN21/AN22-1)*100,"")</f>
        <v/>
      </c>
      <c r="BA21" s="6">
        <f>IF(COUNT(AS21:AS22)=2,(AS21/AS22-1)*100,"")</f>
        <v/>
      </c>
      <c r="BB21" s="5" t="n">
        <v>18.67</v>
      </c>
      <c r="BC21" s="6">
        <f>IF(COUNT(BB21:BB22)=2,(BB21/BB22-1)*100,"")</f>
        <v/>
      </c>
      <c r="BD21" s="6" t="n">
        <v>0.4844</v>
      </c>
      <c r="BE21" s="6">
        <f>IF(AND(BD21&gt;$BE$12,D21&lt;=$BE$13),D20,"")</f>
        <v/>
      </c>
      <c r="BF21" s="6">
        <f>IF(AND(AV21&lt;$BF$12,AW21&gt;$BF$13),D20,"")</f>
        <v/>
      </c>
      <c r="BG21" s="6">
        <f>IF(AND(AT21&gt;$BG$12,AU21&lt;$BG$13,AV21&gt;$BG$11),D20,"")</f>
        <v/>
      </c>
      <c r="BH21" s="6">
        <f>IF(BE21&lt;&gt;"",BE21,IF(BF21&lt;&gt;"",BF21,BG21))</f>
        <v/>
      </c>
      <c r="BI21" s="6">
        <f>IF(AND(AZ21&gt;$BI$12,BA21&lt;$BI$13),E20,"")</f>
        <v/>
      </c>
      <c r="BJ21" s="6">
        <f>IF(AND(AX21&lt;=$BJ$12,E21&lt;$BJ$13),E20,"")</f>
        <v/>
      </c>
      <c r="BK21" s="6">
        <f>IF(AND(AY21&gt;$BK$12,AZ21&gt;$BK$13),E20,"")</f>
        <v/>
      </c>
      <c r="BL21" s="6">
        <f>IF(BI21&lt;&gt;"",BI21,IF(BJ21&lt;&gt;"",BJ21,BK21))</f>
        <v/>
      </c>
    </row>
    <row r="22">
      <c r="A22" s="5" t="inlineStr">
        <is>
          <t>2026/07/24</t>
        </is>
      </c>
      <c r="B22" s="5" t="n">
        <v>147.47</v>
      </c>
      <c r="C22" s="5" t="n">
        <v>178.56</v>
      </c>
      <c r="D22" s="6">
        <f>IF(COUNT(B22:B23)=2,(B22/B23-1)*100,"")</f>
        <v/>
      </c>
      <c r="E22" s="6">
        <f>IF(COUNT(C22:C23)=2,(C22/C23-1)*100,"")</f>
        <v/>
      </c>
      <c r="F22" s="5" t="n">
        <v>63.95</v>
      </c>
      <c r="G22" s="5" t="n">
        <v>64.15000000000001</v>
      </c>
      <c r="H22" s="5" t="n">
        <v>63.25</v>
      </c>
      <c r="I22" s="5" t="n">
        <v>63.33</v>
      </c>
      <c r="J22" s="5" t="n">
        <v>63.33</v>
      </c>
      <c r="K22" s="5" t="n">
        <v>371.26</v>
      </c>
      <c r="L22" s="5" t="n">
        <v>374.49</v>
      </c>
      <c r="M22" s="5" t="n">
        <v>371.03</v>
      </c>
      <c r="N22" s="5" t="n">
        <v>371.9</v>
      </c>
      <c r="O22" s="5" t="n">
        <v>371.9</v>
      </c>
      <c r="P22" s="5" t="n">
        <v>79.25</v>
      </c>
      <c r="Q22" s="5" t="n">
        <v>79.31</v>
      </c>
      <c r="R22" s="5" t="n">
        <v>79.16</v>
      </c>
      <c r="S22" s="5" t="n">
        <v>79.23</v>
      </c>
      <c r="T22" s="5" t="n">
        <v>78.8472</v>
      </c>
      <c r="U22" s="5" t="n">
        <v>107.55</v>
      </c>
      <c r="V22" s="5" t="n">
        <v>107.74</v>
      </c>
      <c r="W22" s="5" t="n">
        <v>107.5</v>
      </c>
      <c r="X22" s="5" t="n">
        <v>107.5</v>
      </c>
      <c r="Y22" s="5" t="n">
        <v>106.7169</v>
      </c>
      <c r="Z22" s="5" t="n">
        <v>55.83</v>
      </c>
      <c r="AA22" s="5" t="n">
        <v>56.38</v>
      </c>
      <c r="AB22" s="5" t="n">
        <v>55.69</v>
      </c>
      <c r="AC22" s="5" t="n">
        <v>56.31</v>
      </c>
      <c r="AD22" s="5" t="n">
        <v>56.31</v>
      </c>
      <c r="AE22" s="5" t="n">
        <v>56</v>
      </c>
      <c r="AF22" s="5" t="n">
        <v>56.08</v>
      </c>
      <c r="AG22" s="5" t="n">
        <v>56</v>
      </c>
      <c r="AH22" s="5" t="n">
        <v>56.04</v>
      </c>
      <c r="AI22" s="5" t="n">
        <v>56.04</v>
      </c>
      <c r="AJ22" s="5" t="n">
        <v>75.5</v>
      </c>
      <c r="AK22" s="5" t="n">
        <v>76.48</v>
      </c>
      <c r="AL22" s="5" t="n">
        <v>74.62</v>
      </c>
      <c r="AM22" s="5" t="n">
        <v>75.23</v>
      </c>
      <c r="AN22" s="5" t="n">
        <v>75.23</v>
      </c>
      <c r="AO22" s="5" t="n">
        <v>105.295</v>
      </c>
      <c r="AP22" s="5" t="n">
        <v>106.95</v>
      </c>
      <c r="AQ22" s="5" t="n">
        <v>105.295</v>
      </c>
      <c r="AR22" s="5" t="n">
        <v>106.3</v>
      </c>
      <c r="AS22" s="5" t="n">
        <v>106.3</v>
      </c>
      <c r="AT22" s="6">
        <f>IF(COUNT(J22:J23)=2,(J22/J23-1)*100,"")</f>
        <v/>
      </c>
      <c r="AU22" s="6">
        <f>IF(COUNT(O22:O23)=2,(O22/O23-1)*100,"")</f>
        <v/>
      </c>
      <c r="AV22" s="6">
        <f>IF(COUNT(T22:T23)=2,(T22/T23-1)*100,"")</f>
        <v/>
      </c>
      <c r="AW22" s="6">
        <f>IF(COUNT(Y22:Y23)=2,(Y22/Y23-1)*100,"")</f>
        <v/>
      </c>
      <c r="AX22" s="6">
        <f>IF(COUNT(AD22:AD23)=2,(AD22/AD23-1)*100,"")</f>
        <v/>
      </c>
      <c r="AY22" s="6">
        <f>IF(COUNT(AI22:AI23)=2,(AI22/AI23-1)*100,"")</f>
        <v/>
      </c>
      <c r="AZ22" s="6">
        <f>IF(COUNT(AN22:AN23)=2,(AN22/AN23-1)*100,"")</f>
        <v/>
      </c>
      <c r="BA22" s="6">
        <f>IF(COUNT(AS22:AS23)=2,(AS22/AS23-1)*100,"")</f>
        <v/>
      </c>
      <c r="BB22" s="5" t="n">
        <v>18.58</v>
      </c>
      <c r="BC22" s="6">
        <f>IF(COUNT(BB22:BB23)=2,(BB22/BB23-1)*100,"")</f>
        <v/>
      </c>
      <c r="BD22" s="6" t="n">
        <v>-0.6417</v>
      </c>
      <c r="BE22" s="6">
        <f>IF(AND(BD22&gt;$BE$12,D22&lt;=$BE$13),D21,"")</f>
        <v/>
      </c>
      <c r="BF22" s="6">
        <f>IF(AND(AV22&lt;$BF$12,AW22&gt;$BF$13),D21,"")</f>
        <v/>
      </c>
      <c r="BG22" s="6">
        <f>IF(AND(AT22&gt;$BG$12,AU22&lt;$BG$13,AV22&gt;$BG$11),D21,"")</f>
        <v/>
      </c>
      <c r="BH22" s="6">
        <f>IF(BE22&lt;&gt;"",BE22,IF(BF22&lt;&gt;"",BF22,BG22))</f>
        <v/>
      </c>
      <c r="BI22" s="6">
        <f>IF(AND(AZ22&gt;$BI$12,BA22&lt;$BI$13),E21,"")</f>
        <v/>
      </c>
      <c r="BJ22" s="6">
        <f>IF(AND(AX22&lt;=$BJ$12,E22&lt;$BJ$13),E21,"")</f>
        <v/>
      </c>
      <c r="BK22" s="6">
        <f>IF(AND(AY22&gt;$BK$12,AZ22&gt;$BK$13),E21,"")</f>
        <v/>
      </c>
      <c r="BL22" s="6">
        <f>IF(BI22&lt;&gt;"",BI22,IF(BJ22&lt;&gt;"",BJ22,BK22))</f>
        <v/>
      </c>
    </row>
    <row r="23">
      <c r="A23" s="5" t="inlineStr">
        <is>
          <t>2026/07/23</t>
        </is>
      </c>
      <c r="B23" s="5" t="n">
        <v>150.94</v>
      </c>
      <c r="C23" s="5" t="n">
        <v>178.37</v>
      </c>
      <c r="D23" s="6">
        <f>IF(COUNT(B23:B24)=2,(B23/B24-1)*100,"")</f>
        <v/>
      </c>
      <c r="E23" s="6">
        <f>IF(COUNT(C23:C24)=2,(C23/C24-1)*100,"")</f>
        <v/>
      </c>
      <c r="F23" s="5" t="n">
        <v>64.48999999999999</v>
      </c>
      <c r="G23" s="5" t="n">
        <v>65.04000000000001</v>
      </c>
      <c r="H23" s="5" t="n">
        <v>63.99</v>
      </c>
      <c r="I23" s="5" t="n">
        <v>64.59999999999999</v>
      </c>
      <c r="J23" s="5" t="n">
        <v>64.59999999999999</v>
      </c>
      <c r="K23" s="5" t="n">
        <v>372.36</v>
      </c>
      <c r="L23" s="5" t="n">
        <v>373.09</v>
      </c>
      <c r="M23" s="5" t="n">
        <v>370.53</v>
      </c>
      <c r="N23" s="5" t="n">
        <v>371.52</v>
      </c>
      <c r="O23" s="5" t="n">
        <v>371.52</v>
      </c>
      <c r="P23" s="5" t="n">
        <v>79.28</v>
      </c>
      <c r="Q23" s="5" t="n">
        <v>79.37</v>
      </c>
      <c r="R23" s="5" t="n">
        <v>79.15000000000001</v>
      </c>
      <c r="S23" s="5" t="n">
        <v>79.23</v>
      </c>
      <c r="T23" s="5" t="n">
        <v>78.8472</v>
      </c>
      <c r="U23" s="5" t="n">
        <v>107.54</v>
      </c>
      <c r="V23" s="5" t="n">
        <v>107.65</v>
      </c>
      <c r="W23" s="5" t="n">
        <v>107.48</v>
      </c>
      <c r="X23" s="5" t="n">
        <v>107.49</v>
      </c>
      <c r="Y23" s="5" t="n">
        <v>106.707</v>
      </c>
      <c r="Z23" s="5" t="n">
        <v>55.68</v>
      </c>
      <c r="AA23" s="5" t="n">
        <v>55.86</v>
      </c>
      <c r="AB23" s="5" t="n">
        <v>55.45</v>
      </c>
      <c r="AC23" s="5" t="n">
        <v>55.83</v>
      </c>
      <c r="AD23" s="5" t="n">
        <v>55.83</v>
      </c>
      <c r="AE23" s="5" t="n">
        <v>56.04</v>
      </c>
      <c r="AF23" s="5" t="n">
        <v>56.07</v>
      </c>
      <c r="AG23" s="5" t="n">
        <v>55.96</v>
      </c>
      <c r="AH23" s="5" t="n">
        <v>56.01</v>
      </c>
      <c r="AI23" s="5" t="n">
        <v>56.01</v>
      </c>
      <c r="AJ23" s="5" t="n">
        <v>74.44</v>
      </c>
      <c r="AK23" s="5" t="n">
        <v>75.36</v>
      </c>
      <c r="AL23" s="5" t="n">
        <v>73.84999999999999</v>
      </c>
      <c r="AM23" s="5" t="n">
        <v>75.02</v>
      </c>
      <c r="AN23" s="5" t="n">
        <v>75.02</v>
      </c>
      <c r="AO23" s="5" t="n">
        <v>106.96</v>
      </c>
      <c r="AP23" s="5" t="n">
        <v>106.96</v>
      </c>
      <c r="AQ23" s="5" t="n">
        <v>105.255</v>
      </c>
      <c r="AR23" s="5" t="n">
        <v>105.38</v>
      </c>
      <c r="AS23" s="5" t="n">
        <v>105.38</v>
      </c>
      <c r="AT23" s="6">
        <f>IF(COUNT(J23:J24)=2,(J23/J24-1)*100,"")</f>
        <v/>
      </c>
      <c r="AU23" s="6">
        <f>IF(COUNT(O23:O24)=2,(O23/O24-1)*100,"")</f>
        <v/>
      </c>
      <c r="AV23" s="6">
        <f>IF(COUNT(T23:T24)=2,(T23/T24-1)*100,"")</f>
        <v/>
      </c>
      <c r="AW23" s="6">
        <f>IF(COUNT(Y23:Y24)=2,(Y23/Y24-1)*100,"")</f>
        <v/>
      </c>
      <c r="AX23" s="6">
        <f>IF(COUNT(AD23:AD24)=2,(AD23/AD24-1)*100,"")</f>
        <v/>
      </c>
      <c r="AY23" s="6">
        <f>IF(COUNT(AI23:AI24)=2,(AI23/AI24-1)*100,"")</f>
        <v/>
      </c>
      <c r="AZ23" s="6">
        <f>IF(COUNT(AN23:AN24)=2,(AN23/AN24-1)*100,"")</f>
        <v/>
      </c>
      <c r="BA23" s="6">
        <f>IF(COUNT(AS23:AS24)=2,(AS23/AS24-1)*100,"")</f>
        <v/>
      </c>
      <c r="BB23" s="5" t="n">
        <v>18.7</v>
      </c>
      <c r="BC23" s="6">
        <f>IF(COUNT(BB23:BB24)=2,(BB23/BB24-1)*100,"")</f>
        <v/>
      </c>
      <c r="BD23" s="6" t="n">
        <v>12.3798</v>
      </c>
      <c r="BE23" s="6">
        <f>IF(AND(BD23&gt;$BE$12,D23&lt;=$BE$13),D22,"")</f>
        <v/>
      </c>
      <c r="BF23" s="6">
        <f>IF(AND(AV23&lt;$BF$12,AW23&gt;$BF$13),D22,"")</f>
        <v/>
      </c>
      <c r="BG23" s="6">
        <f>IF(AND(AT23&gt;$BG$12,AU23&lt;$BG$13,AV23&gt;$BG$11),D22,"")</f>
        <v/>
      </c>
      <c r="BH23" s="6">
        <f>IF(BE23&lt;&gt;"",BE23,IF(BF23&lt;&gt;"",BF23,BG23))</f>
        <v/>
      </c>
      <c r="BI23" s="6">
        <f>IF(AND(AZ23&gt;$BI$12,BA23&lt;$BI$13),E22,"")</f>
        <v/>
      </c>
      <c r="BJ23" s="6">
        <f>IF(AND(AX23&lt;=$BJ$12,E23&lt;$BJ$13),E22,"")</f>
        <v/>
      </c>
      <c r="BK23" s="6">
        <f>IF(AND(AY23&gt;$BK$12,AZ23&gt;$BK$13),E22,"")</f>
        <v/>
      </c>
      <c r="BL23" s="6">
        <f>IF(BI23&lt;&gt;"",BI23,IF(BJ23&lt;&gt;"",BJ23,BK23))</f>
        <v/>
      </c>
    </row>
    <row r="24">
      <c r="A24" s="5" t="inlineStr">
        <is>
          <t>2026/07/22</t>
        </is>
      </c>
      <c r="B24" s="5" t="n">
        <v>156.87</v>
      </c>
      <c r="C24" s="5" t="n">
        <v>182.85</v>
      </c>
      <c r="D24" s="6">
        <f>IF(COUNT(B24:B25)=2,(B24/B25-1)*100,"")</f>
        <v/>
      </c>
      <c r="E24" s="6">
        <f>IF(COUNT(C24:C25)=2,(C24/C25-1)*100,"")</f>
        <v/>
      </c>
      <c r="F24" s="5" t="n">
        <v>64.64</v>
      </c>
      <c r="G24" s="5" t="n">
        <v>65.19</v>
      </c>
      <c r="H24" s="5" t="n">
        <v>64.63</v>
      </c>
      <c r="I24" s="5" t="n">
        <v>64.98999999999999</v>
      </c>
      <c r="J24" s="5" t="n">
        <v>64.98999999999999</v>
      </c>
      <c r="K24" s="5" t="n">
        <v>379.07</v>
      </c>
      <c r="L24" s="5" t="n">
        <v>382.22</v>
      </c>
      <c r="M24" s="5" t="n">
        <v>378.83</v>
      </c>
      <c r="N24" s="5" t="n">
        <v>379.12</v>
      </c>
      <c r="O24" s="5" t="n">
        <v>379.12</v>
      </c>
      <c r="P24" s="5" t="n">
        <v>79.61</v>
      </c>
      <c r="Q24" s="5" t="n">
        <v>79.65000000000001</v>
      </c>
      <c r="R24" s="5" t="n">
        <v>79.48</v>
      </c>
      <c r="S24" s="5" t="n">
        <v>79.52</v>
      </c>
      <c r="T24" s="5" t="n">
        <v>79.1358</v>
      </c>
      <c r="U24" s="5" t="n">
        <v>107.95</v>
      </c>
      <c r="V24" s="5" t="n">
        <v>107.96</v>
      </c>
      <c r="W24" s="5" t="n">
        <v>107.76</v>
      </c>
      <c r="X24" s="5" t="n">
        <v>107.77</v>
      </c>
      <c r="Y24" s="5" t="n">
        <v>106.985</v>
      </c>
      <c r="Z24" s="5" t="n">
        <v>56.14</v>
      </c>
      <c r="AA24" s="5" t="n">
        <v>56.28</v>
      </c>
      <c r="AB24" s="5" t="n">
        <v>55.91</v>
      </c>
      <c r="AC24" s="5" t="n">
        <v>56.05</v>
      </c>
      <c r="AD24" s="5" t="n">
        <v>56.05</v>
      </c>
      <c r="AE24" s="5" t="n">
        <v>56.28</v>
      </c>
      <c r="AF24" s="5" t="n">
        <v>56.29</v>
      </c>
      <c r="AG24" s="5" t="n">
        <v>56.22</v>
      </c>
      <c r="AH24" s="5" t="n">
        <v>56.23</v>
      </c>
      <c r="AI24" s="5" t="n">
        <v>56.23</v>
      </c>
      <c r="AJ24" s="5" t="n">
        <v>75.92</v>
      </c>
      <c r="AK24" s="5" t="n">
        <v>77.98999999999999</v>
      </c>
      <c r="AL24" s="5" t="n">
        <v>75.92</v>
      </c>
      <c r="AM24" s="5" t="n">
        <v>76.68000000000001</v>
      </c>
      <c r="AN24" s="5" t="n">
        <v>76.68000000000001</v>
      </c>
      <c r="AO24" s="5" t="n">
        <v>110.91</v>
      </c>
      <c r="AP24" s="5" t="n">
        <v>111.105</v>
      </c>
      <c r="AQ24" s="5" t="n">
        <v>109.16</v>
      </c>
      <c r="AR24" s="5" t="n">
        <v>109.2</v>
      </c>
      <c r="AS24" s="5" t="n">
        <v>109.2</v>
      </c>
      <c r="AT24" s="6">
        <f>IF(COUNT(J24:J25)=2,(J24/J25-1)*100,"")</f>
        <v/>
      </c>
      <c r="AU24" s="6">
        <f>IF(COUNT(O24:O25)=2,(O24/O25-1)*100,"")</f>
        <v/>
      </c>
      <c r="AV24" s="6">
        <f>IF(COUNT(T24:T25)=2,(T24/T25-1)*100,"")</f>
        <v/>
      </c>
      <c r="AW24" s="6">
        <f>IF(COUNT(Y24:Y25)=2,(Y24/Y25-1)*100,"")</f>
        <v/>
      </c>
      <c r="AX24" s="6">
        <f>IF(COUNT(AD24:AD25)=2,(AD24/AD25-1)*100,"")</f>
        <v/>
      </c>
      <c r="AY24" s="6">
        <f>IF(COUNT(AI24:AI25)=2,(AI24/AI25-1)*100,"")</f>
        <v/>
      </c>
      <c r="AZ24" s="6">
        <f>IF(COUNT(AN24:AN25)=2,(AN24/AN25-1)*100,"")</f>
        <v/>
      </c>
      <c r="BA24" s="6">
        <f>IF(COUNT(AS24:AS25)=2,(AS24/AS25-1)*100,"")</f>
        <v/>
      </c>
      <c r="BB24" s="5" t="n">
        <v>16.64</v>
      </c>
      <c r="BC24" s="6">
        <f>IF(COUNT(BB24:BB25)=2,(BB24/BB25-1)*100,"")</f>
        <v/>
      </c>
      <c r="BD24" s="6" t="n">
        <v>-2.4047</v>
      </c>
      <c r="BE24" s="6">
        <f>IF(AND(BD24&gt;$BE$12,D24&lt;=$BE$13),D23,"")</f>
        <v/>
      </c>
      <c r="BF24" s="6">
        <f>IF(AND(AV24&lt;$BF$12,AW24&gt;$BF$13),D23,"")</f>
        <v/>
      </c>
      <c r="BG24" s="6">
        <f>IF(AND(AT24&gt;$BG$12,AU24&lt;$BG$13,AV24&gt;$BG$11),D23,"")</f>
        <v/>
      </c>
      <c r="BH24" s="6">
        <f>IF(BE24&lt;&gt;"",BE24,IF(BF24&lt;&gt;"",BF24,BG24))</f>
        <v/>
      </c>
      <c r="BI24" s="6">
        <f>IF(AND(AZ24&gt;$BI$12,BA24&lt;$BI$13),E23,"")</f>
        <v/>
      </c>
      <c r="BJ24" s="6">
        <f>IF(AND(AX24&lt;=$BJ$12,E24&lt;$BJ$13),E23,"")</f>
        <v/>
      </c>
      <c r="BK24" s="6">
        <f>IF(AND(AY24&gt;$BK$12,AZ24&gt;$BK$13),E23,"")</f>
        <v/>
      </c>
      <c r="BL24" s="6">
        <f>IF(BI24&lt;&gt;"",BI24,IF(BJ24&lt;&gt;"",BJ24,BK24))</f>
        <v/>
      </c>
    </row>
    <row r="25">
      <c r="A25" s="5" t="inlineStr">
        <is>
          <t>2026/07/21</t>
        </is>
      </c>
      <c r="B25" s="5" t="n">
        <v>158.58</v>
      </c>
      <c r="C25" s="5" t="n">
        <v>183.34</v>
      </c>
      <c r="D25" s="6">
        <f>IF(COUNT(B25:B26)=2,(B25/B26-1)*100,"")</f>
        <v/>
      </c>
      <c r="E25" s="6">
        <f>IF(COUNT(C25:C26)=2,(C25/C26-1)*100,"")</f>
        <v/>
      </c>
      <c r="F25" s="5" t="n">
        <v>65.12</v>
      </c>
      <c r="G25" s="5" t="n">
        <v>65.5</v>
      </c>
      <c r="H25" s="5" t="n">
        <v>64.81999999999999</v>
      </c>
      <c r="I25" s="5" t="n">
        <v>65.34</v>
      </c>
      <c r="J25" s="5" t="n">
        <v>65.34</v>
      </c>
      <c r="K25" s="5" t="n">
        <v>371.7</v>
      </c>
      <c r="L25" s="5" t="n">
        <v>375.01</v>
      </c>
      <c r="M25" s="5" t="n">
        <v>371.07</v>
      </c>
      <c r="N25" s="5" t="n">
        <v>374.81</v>
      </c>
      <c r="O25" s="5" t="n">
        <v>374.81</v>
      </c>
      <c r="P25" s="5" t="n">
        <v>79.72</v>
      </c>
      <c r="Q25" s="5" t="n">
        <v>79.73999999999999</v>
      </c>
      <c r="R25" s="5" t="n">
        <v>79.59999999999999</v>
      </c>
      <c r="S25" s="5" t="n">
        <v>79.65000000000001</v>
      </c>
      <c r="T25" s="5" t="n">
        <v>79.26519999999999</v>
      </c>
      <c r="U25" s="5" t="n">
        <v>108</v>
      </c>
      <c r="V25" s="5" t="n">
        <v>108.01</v>
      </c>
      <c r="W25" s="5" t="n">
        <v>107.84</v>
      </c>
      <c r="X25" s="5" t="n">
        <v>107.88</v>
      </c>
      <c r="Y25" s="5" t="n">
        <v>107.0942</v>
      </c>
      <c r="Z25" s="5" t="n">
        <v>55.99</v>
      </c>
      <c r="AA25" s="5" t="n">
        <v>56.34</v>
      </c>
      <c r="AB25" s="5" t="n">
        <v>55.72</v>
      </c>
      <c r="AC25" s="5" t="n">
        <v>56.11</v>
      </c>
      <c r="AD25" s="5" t="n">
        <v>56.11</v>
      </c>
      <c r="AE25" s="5" t="n">
        <v>56.35</v>
      </c>
      <c r="AF25" s="5" t="n">
        <v>56.35</v>
      </c>
      <c r="AG25" s="5" t="n">
        <v>56.21</v>
      </c>
      <c r="AH25" s="5" t="n">
        <v>56.22</v>
      </c>
      <c r="AI25" s="5" t="n">
        <v>56.22</v>
      </c>
      <c r="AJ25" s="5" t="n">
        <v>72.44</v>
      </c>
      <c r="AK25" s="5" t="n">
        <v>74.23</v>
      </c>
      <c r="AL25" s="5" t="n">
        <v>72.11</v>
      </c>
      <c r="AM25" s="5" t="n">
        <v>74.19</v>
      </c>
      <c r="AN25" s="5" t="n">
        <v>74.19</v>
      </c>
      <c r="AO25" s="5" t="n">
        <v>110.53</v>
      </c>
      <c r="AP25" s="5" t="n">
        <v>110.62</v>
      </c>
      <c r="AQ25" s="5" t="n">
        <v>109.99</v>
      </c>
      <c r="AR25" s="5" t="n">
        <v>110.03</v>
      </c>
      <c r="AS25" s="5" t="n">
        <v>110.03</v>
      </c>
      <c r="AT25" s="6">
        <f>IF(COUNT(J25:J26)=2,(J25/J26-1)*100,"")</f>
        <v/>
      </c>
      <c r="AU25" s="6">
        <f>IF(COUNT(O25:O26)=2,(O25/O26-1)*100,"")</f>
        <v/>
      </c>
      <c r="AV25" s="6">
        <f>IF(COUNT(T25:T26)=2,(T25/T26-1)*100,"")</f>
        <v/>
      </c>
      <c r="AW25" s="6">
        <f>IF(COUNT(Y25:Y26)=2,(Y25/Y26-1)*100,"")</f>
        <v/>
      </c>
      <c r="AX25" s="6">
        <f>IF(COUNT(AD25:AD26)=2,(AD25/AD26-1)*100,"")</f>
        <v/>
      </c>
      <c r="AY25" s="6">
        <f>IF(COUNT(AI25:AI26)=2,(AI25/AI26-1)*100,"")</f>
        <v/>
      </c>
      <c r="AZ25" s="6">
        <f>IF(COUNT(AN25:AN26)=2,(AN25/AN26-1)*100,"")</f>
        <v/>
      </c>
      <c r="BA25" s="6">
        <f>IF(COUNT(AS25:AS26)=2,(AS25/AS26-1)*100,"")</f>
        <v/>
      </c>
      <c r="BB25" s="5" t="n">
        <v>17.05</v>
      </c>
      <c r="BC25" s="6">
        <f>IF(COUNT(BB25:BB26)=2,(BB25/BB26-1)*100,"")</f>
        <v/>
      </c>
      <c r="BD25" s="6" t="n">
        <v>-8.5791</v>
      </c>
      <c r="BE25" s="6">
        <f>IF(AND(BD25&gt;$BE$12,D25&lt;=$BE$13),D24,"")</f>
        <v/>
      </c>
      <c r="BF25" s="6">
        <f>IF(AND(AV25&lt;$BF$12,AW25&gt;$BF$13),D24,"")</f>
        <v/>
      </c>
      <c r="BG25" s="6">
        <f>IF(AND(AT25&gt;$BG$12,AU25&lt;$BG$13,AV25&gt;$BG$11),D24,"")</f>
        <v/>
      </c>
      <c r="BH25" s="6">
        <f>IF(BE25&lt;&gt;"",BE25,IF(BF25&lt;&gt;"",BF25,BG25))</f>
        <v/>
      </c>
      <c r="BI25" s="6">
        <f>IF(AND(AZ25&gt;$BI$12,BA25&lt;$BI$13),E24,"")</f>
        <v/>
      </c>
      <c r="BJ25" s="6">
        <f>IF(AND(AX25&lt;=$BJ$12,E25&lt;$BJ$13),E24,"")</f>
        <v/>
      </c>
      <c r="BK25" s="6">
        <f>IF(AND(AY25&gt;$BK$12,AZ25&gt;$BK$13),E24,"")</f>
        <v/>
      </c>
      <c r="BL25" s="6">
        <f>IF(BI25&lt;&gt;"",BI25,IF(BJ25&lt;&gt;"",BJ25,BK25))</f>
        <v/>
      </c>
    </row>
    <row r="26">
      <c r="A26" s="5" t="inlineStr">
        <is>
          <t>2026/07/20</t>
        </is>
      </c>
      <c r="B26" s="5" t="n">
        <v>152.76</v>
      </c>
      <c r="C26" s="5" t="n">
        <v>180.23</v>
      </c>
      <c r="D26" s="6">
        <f>IF(COUNT(B26:B27)=2,(B26/B27-1)*100,"")</f>
        <v/>
      </c>
      <c r="E26" s="6">
        <f>IF(COUNT(C26:C27)=2,(C26/C27-1)*100,"")</f>
        <v/>
      </c>
      <c r="F26" s="5" t="n">
        <v>64.04000000000001</v>
      </c>
      <c r="G26" s="5" t="n">
        <v>64.17</v>
      </c>
      <c r="H26" s="5" t="n">
        <v>63.48</v>
      </c>
      <c r="I26" s="5" t="n">
        <v>63.56</v>
      </c>
      <c r="J26" s="5" t="n">
        <v>63.56</v>
      </c>
      <c r="K26" s="5" t="n">
        <v>367.79</v>
      </c>
      <c r="L26" s="5" t="n">
        <v>368.79</v>
      </c>
      <c r="M26" s="5" t="n">
        <v>366.8</v>
      </c>
      <c r="N26" s="5" t="n">
        <v>367.6</v>
      </c>
      <c r="O26" s="5" t="n">
        <v>367.6</v>
      </c>
      <c r="P26" s="5" t="n">
        <v>79.73999999999999</v>
      </c>
      <c r="Q26" s="5" t="n">
        <v>79.77</v>
      </c>
      <c r="R26" s="5" t="n">
        <v>79.67</v>
      </c>
      <c r="S26" s="5" t="n">
        <v>79.68000000000001</v>
      </c>
      <c r="T26" s="5" t="n">
        <v>79.295</v>
      </c>
      <c r="U26" s="5" t="n">
        <v>108.19</v>
      </c>
      <c r="V26" s="5" t="n">
        <v>108.22</v>
      </c>
      <c r="W26" s="5" t="n">
        <v>108.01</v>
      </c>
      <c r="X26" s="5" t="n">
        <v>108.05</v>
      </c>
      <c r="Y26" s="5" t="n">
        <v>107.2629</v>
      </c>
      <c r="Z26" s="5" t="n">
        <v>56.3</v>
      </c>
      <c r="AA26" s="5" t="n">
        <v>56.38</v>
      </c>
      <c r="AB26" s="5" t="n">
        <v>55.89</v>
      </c>
      <c r="AC26" s="5" t="n">
        <v>56.04</v>
      </c>
      <c r="AD26" s="5" t="n">
        <v>56.04</v>
      </c>
      <c r="AE26" s="5" t="n">
        <v>56.47</v>
      </c>
      <c r="AF26" s="5" t="n">
        <v>56.49</v>
      </c>
      <c r="AG26" s="5" t="n">
        <v>56.41</v>
      </c>
      <c r="AH26" s="5" t="n">
        <v>56.46</v>
      </c>
      <c r="AI26" s="5" t="n">
        <v>56.46</v>
      </c>
      <c r="AJ26" s="5" t="n">
        <v>71.14</v>
      </c>
      <c r="AK26" s="5" t="n">
        <v>71.61</v>
      </c>
      <c r="AL26" s="5" t="n">
        <v>70.52</v>
      </c>
      <c r="AM26" s="5" t="n">
        <v>70.73999999999999</v>
      </c>
      <c r="AN26" s="5" t="n">
        <v>70.73999999999999</v>
      </c>
      <c r="AO26" s="5" t="n">
        <v>110.815</v>
      </c>
      <c r="AP26" s="5" t="n">
        <v>111.66</v>
      </c>
      <c r="AQ26" s="5" t="n">
        <v>110.51</v>
      </c>
      <c r="AR26" s="5" t="n">
        <v>110.8</v>
      </c>
      <c r="AS26" s="5" t="n">
        <v>110.8</v>
      </c>
      <c r="AT26" s="6">
        <f>IF(COUNT(J26:J27)=2,(J26/J27-1)*100,"")</f>
        <v/>
      </c>
      <c r="AU26" s="6">
        <f>IF(COUNT(O26:O27)=2,(O26/O27-1)*100,"")</f>
        <v/>
      </c>
      <c r="AV26" s="6">
        <f>IF(COUNT(T26:T27)=2,(T26/T27-1)*100,"")</f>
        <v/>
      </c>
      <c r="AW26" s="6">
        <f>IF(COUNT(Y26:Y27)=2,(Y26/Y27-1)*100,"")</f>
        <v/>
      </c>
      <c r="AX26" s="6">
        <f>IF(COUNT(AD26:AD27)=2,(AD26/AD27-1)*100,"")</f>
        <v/>
      </c>
      <c r="AY26" s="6">
        <f>IF(COUNT(AI26:AI27)=2,(AI26/AI27-1)*100,"")</f>
        <v/>
      </c>
      <c r="AZ26" s="6">
        <f>IF(COUNT(AN26:AN27)=2,(AN26/AN27-1)*100,"")</f>
        <v/>
      </c>
      <c r="BA26" s="6">
        <f>IF(COUNT(AS26:AS27)=2,(AS26/AS27-1)*100,"")</f>
        <v/>
      </c>
      <c r="BB26" s="5" t="n">
        <v>18.65</v>
      </c>
      <c r="BC26" s="6">
        <f>IF(COUNT(BB26:BB27)=2,(BB26/BB27-1)*100,"")</f>
        <v/>
      </c>
      <c r="BD26" s="6" t="n">
        <v>-0.6393</v>
      </c>
      <c r="BE26" s="6">
        <f>IF(AND(BD26&gt;$BE$12,D26&lt;=$BE$13),D25,"")</f>
        <v/>
      </c>
      <c r="BF26" s="6">
        <f>IF(AND(AV26&lt;$BF$12,AW26&gt;$BF$13),D25,"")</f>
        <v/>
      </c>
      <c r="BG26" s="6">
        <f>IF(AND(AT26&gt;$BG$12,AU26&lt;$BG$13,AV26&gt;$BG$11),D25,"")</f>
        <v/>
      </c>
      <c r="BH26" s="6">
        <f>IF(BE26&lt;&gt;"",BE26,IF(BF26&lt;&gt;"",BF26,BG26))</f>
        <v/>
      </c>
      <c r="BI26" s="6">
        <f>IF(AND(AZ26&gt;$BI$12,BA26&lt;$BI$13),E25,"")</f>
        <v/>
      </c>
      <c r="BJ26" s="6">
        <f>IF(AND(AX26&lt;=$BJ$12,E26&lt;$BJ$13),E25,"")</f>
        <v/>
      </c>
      <c r="BK26" s="6">
        <f>IF(AND(AY26&gt;$BK$12,AZ26&gt;$BK$13),E25,"")</f>
        <v/>
      </c>
      <c r="BL26" s="6">
        <f>IF(BI26&lt;&gt;"",BI26,IF(BJ26&lt;&gt;"",BJ26,BK26))</f>
        <v/>
      </c>
    </row>
    <row r="27">
      <c r="A27" s="5" t="inlineStr">
        <is>
          <t>2026/07/17</t>
        </is>
      </c>
      <c r="B27" s="5" t="n">
        <v>152.68</v>
      </c>
      <c r="C27" s="5" t="n">
        <v>180.98</v>
      </c>
      <c r="D27" s="6">
        <f>IF(COUNT(B27:B28)=2,(B27/B28-1)*100,"")</f>
        <v/>
      </c>
      <c r="E27" s="6">
        <f>IF(COUNT(C27:C28)=2,(C27/C28-1)*100,"")</f>
        <v/>
      </c>
      <c r="F27" s="5" t="n">
        <v>62.3</v>
      </c>
      <c r="G27" s="5" t="n">
        <v>63.89</v>
      </c>
      <c r="H27" s="5" t="n">
        <v>62.01</v>
      </c>
      <c r="I27" s="5" t="n">
        <v>63.29</v>
      </c>
      <c r="J27" s="5" t="n">
        <v>63.29</v>
      </c>
      <c r="K27" s="5" t="n">
        <v>364.11</v>
      </c>
      <c r="L27" s="5" t="n">
        <v>369.21</v>
      </c>
      <c r="M27" s="5" t="n">
        <v>363.6</v>
      </c>
      <c r="N27" s="5" t="n">
        <v>368.41</v>
      </c>
      <c r="O27" s="5" t="n">
        <v>368.41</v>
      </c>
      <c r="P27" s="5" t="n">
        <v>79.75</v>
      </c>
      <c r="Q27" s="5" t="n">
        <v>79.84</v>
      </c>
      <c r="R27" s="5" t="n">
        <v>79.63</v>
      </c>
      <c r="S27" s="5" t="n">
        <v>79.65000000000001</v>
      </c>
      <c r="T27" s="5" t="n">
        <v>79.26519999999999</v>
      </c>
      <c r="U27" s="5" t="n">
        <v>108.27</v>
      </c>
      <c r="V27" s="5" t="n">
        <v>108.37</v>
      </c>
      <c r="W27" s="5" t="n">
        <v>108.17</v>
      </c>
      <c r="X27" s="5" t="n">
        <v>108.27</v>
      </c>
      <c r="Y27" s="5" t="n">
        <v>107.4813</v>
      </c>
      <c r="Z27" s="5" t="n">
        <v>56.43</v>
      </c>
      <c r="AA27" s="5" t="n">
        <v>56.94</v>
      </c>
      <c r="AB27" s="5" t="n">
        <v>56.12</v>
      </c>
      <c r="AC27" s="5" t="n">
        <v>56.26</v>
      </c>
      <c r="AD27" s="5" t="n">
        <v>56.26</v>
      </c>
      <c r="AE27" s="5" t="n">
        <v>56.47</v>
      </c>
      <c r="AF27" s="5" t="n">
        <v>56.51</v>
      </c>
      <c r="AG27" s="5" t="n">
        <v>56.44</v>
      </c>
      <c r="AH27" s="5" t="n">
        <v>56.51</v>
      </c>
      <c r="AI27" s="5" t="n">
        <v>56.51</v>
      </c>
      <c r="AJ27" s="5" t="n">
        <v>70.40000000000001</v>
      </c>
      <c r="AK27" s="5" t="n">
        <v>71.93000000000001</v>
      </c>
      <c r="AL27" s="5" t="n">
        <v>69.73999999999999</v>
      </c>
      <c r="AM27" s="5" t="n">
        <v>71.31999999999999</v>
      </c>
      <c r="AN27" s="5" t="n">
        <v>71.31999999999999</v>
      </c>
      <c r="AO27" s="5" t="n">
        <v>111.2</v>
      </c>
      <c r="AP27" s="5" t="n">
        <v>111.51</v>
      </c>
      <c r="AQ27" s="5" t="n">
        <v>110.31</v>
      </c>
      <c r="AR27" s="5" t="n">
        <v>110.65</v>
      </c>
      <c r="AS27" s="5" t="n">
        <v>110.65</v>
      </c>
      <c r="AT27" s="6">
        <f>IF(COUNT(J27:J28)=2,(J27/J28-1)*100,"")</f>
        <v/>
      </c>
      <c r="AU27" s="6">
        <f>IF(COUNT(O27:O28)=2,(O27/O28-1)*100,"")</f>
        <v/>
      </c>
      <c r="AV27" s="6">
        <f>IF(COUNT(T27:T28)=2,(T27/T28-1)*100,"")</f>
        <v/>
      </c>
      <c r="AW27" s="6">
        <f>IF(COUNT(Y27:Y28)=2,(Y27/Y28-1)*100,"")</f>
        <v/>
      </c>
      <c r="AX27" s="6">
        <f>IF(COUNT(AD27:AD28)=2,(AD27/AD28-1)*100,"")</f>
        <v/>
      </c>
      <c r="AY27" s="6">
        <f>IF(COUNT(AI27:AI28)=2,(AI27/AI28-1)*100,"")</f>
        <v/>
      </c>
      <c r="AZ27" s="6">
        <f>IF(COUNT(AN27:AN28)=2,(AN27/AN28-1)*100,"")</f>
        <v/>
      </c>
      <c r="BA27" s="6">
        <f>IF(COUNT(AS27:AS28)=2,(AS27/AS28-1)*100,"")</f>
        <v/>
      </c>
      <c r="BB27" s="5" t="n">
        <v>18.77</v>
      </c>
      <c r="BC27" s="6">
        <f>IF(COUNT(BB27:BB28)=2,(BB27/BB28-1)*100,"")</f>
        <v/>
      </c>
      <c r="BD27" s="6" t="n">
        <v>12.1937</v>
      </c>
      <c r="BE27" s="6">
        <f>IF(AND(BD27&gt;$BE$12,D27&lt;=$BE$13),D26,"")</f>
        <v/>
      </c>
      <c r="BF27" s="6">
        <f>IF(AND(AV27&lt;$BF$12,AW27&gt;$BF$13),D26,"")</f>
        <v/>
      </c>
      <c r="BG27" s="6">
        <f>IF(AND(AT27&gt;$BG$12,AU27&lt;$BG$13,AV27&gt;$BG$11),D26,"")</f>
        <v/>
      </c>
      <c r="BH27" s="6">
        <f>IF(BE27&lt;&gt;"",BE27,IF(BF27&lt;&gt;"",BF27,BG27))</f>
        <v/>
      </c>
      <c r="BI27" s="6">
        <f>IF(AND(AZ27&gt;$BI$12,BA27&lt;$BI$13),E26,"")</f>
        <v/>
      </c>
      <c r="BJ27" s="6">
        <f>IF(AND(AX27&lt;=$BJ$12,E27&lt;$BJ$13),E26,"")</f>
        <v/>
      </c>
      <c r="BK27" s="6">
        <f>IF(AND(AY27&gt;$BK$12,AZ27&gt;$BK$13),E26,"")</f>
        <v/>
      </c>
      <c r="BL27" s="6">
        <f>IF(BI27&lt;&gt;"",BI27,IF(BJ27&lt;&gt;"",BJ27,BK27))</f>
        <v/>
      </c>
    </row>
    <row r="28">
      <c r="A28" s="5" t="inlineStr">
        <is>
          <t>2026/07/16</t>
        </is>
      </c>
      <c r="B28" s="5" t="n">
        <v>157.41</v>
      </c>
      <c r="C28" s="5" t="n">
        <v>184.73</v>
      </c>
      <c r="D28" s="6">
        <f>IF(COUNT(B28:B29)=2,(B28/B29-1)*100,"")</f>
        <v/>
      </c>
      <c r="E28" s="6">
        <f>IF(COUNT(C28:C29)=2,(C28/C29-1)*100,"")</f>
        <v/>
      </c>
      <c r="F28" s="5" t="n">
        <v>64.43000000000001</v>
      </c>
      <c r="G28" s="5" t="n">
        <v>64.72</v>
      </c>
      <c r="H28" s="5" t="n">
        <v>63.92</v>
      </c>
      <c r="I28" s="5" t="n">
        <v>64.19</v>
      </c>
      <c r="J28" s="5" t="n">
        <v>64.19</v>
      </c>
      <c r="K28" s="5" t="n">
        <v>367.45</v>
      </c>
      <c r="L28" s="5" t="n">
        <v>368.43</v>
      </c>
      <c r="M28" s="5" t="n">
        <v>364.05</v>
      </c>
      <c r="N28" s="5" t="n">
        <v>364.96</v>
      </c>
      <c r="O28" s="5" t="n">
        <v>364.96</v>
      </c>
      <c r="P28" s="5" t="n">
        <v>79.76000000000001</v>
      </c>
      <c r="Q28" s="5" t="n">
        <v>79.84</v>
      </c>
      <c r="R28" s="5" t="n">
        <v>79.73</v>
      </c>
      <c r="S28" s="5" t="n">
        <v>79.8</v>
      </c>
      <c r="T28" s="5" t="n">
        <v>79.4145</v>
      </c>
      <c r="U28" s="5" t="n">
        <v>107.98</v>
      </c>
      <c r="V28" s="5" t="n">
        <v>108.05</v>
      </c>
      <c r="W28" s="5" t="n">
        <v>107.92</v>
      </c>
      <c r="X28" s="5" t="n">
        <v>107.97</v>
      </c>
      <c r="Y28" s="5" t="n">
        <v>107.1835</v>
      </c>
      <c r="Z28" s="5" t="n">
        <v>56.76</v>
      </c>
      <c r="AA28" s="5" t="n">
        <v>56.84</v>
      </c>
      <c r="AB28" s="5" t="n">
        <v>56.39</v>
      </c>
      <c r="AC28" s="5" t="n">
        <v>56.75</v>
      </c>
      <c r="AD28" s="5" t="n">
        <v>56.75</v>
      </c>
      <c r="AE28" s="5" t="n">
        <v>56.51</v>
      </c>
      <c r="AF28" s="5" t="n">
        <v>56.52</v>
      </c>
      <c r="AG28" s="5" t="n">
        <v>56.41</v>
      </c>
      <c r="AH28" s="5" t="n">
        <v>56.45</v>
      </c>
      <c r="AI28" s="5" t="n">
        <v>56.45</v>
      </c>
      <c r="AJ28" s="5" t="n">
        <v>72.88</v>
      </c>
      <c r="AK28" s="5" t="n">
        <v>72.90000000000001</v>
      </c>
      <c r="AL28" s="5" t="n">
        <v>71.04000000000001</v>
      </c>
      <c r="AM28" s="5" t="n">
        <v>71.40000000000001</v>
      </c>
      <c r="AN28" s="5" t="n">
        <v>71.40000000000001</v>
      </c>
      <c r="AO28" s="5" t="n">
        <v>113.6</v>
      </c>
      <c r="AP28" s="5" t="n">
        <v>114.03</v>
      </c>
      <c r="AQ28" s="5" t="n">
        <v>112.27</v>
      </c>
      <c r="AR28" s="5" t="n">
        <v>112.65</v>
      </c>
      <c r="AS28" s="5" t="n">
        <v>112.65</v>
      </c>
      <c r="AT28" s="6">
        <f>IF(COUNT(J28:J29)=2,(J28/J29-1)*100,"")</f>
        <v/>
      </c>
      <c r="AU28" s="6">
        <f>IF(COUNT(O28:O29)=2,(O28/O29-1)*100,"")</f>
        <v/>
      </c>
      <c r="AV28" s="6">
        <f>IF(COUNT(T28:T29)=2,(T28/T29-1)*100,"")</f>
        <v/>
      </c>
      <c r="AW28" s="6">
        <f>IF(COUNT(Y28:Y29)=2,(Y28/Y29-1)*100,"")</f>
        <v/>
      </c>
      <c r="AX28" s="6">
        <f>IF(COUNT(AD28:AD29)=2,(AD28/AD29-1)*100,"")</f>
        <v/>
      </c>
      <c r="AY28" s="6">
        <f>IF(COUNT(AI28:AI29)=2,(AI28/AI29-1)*100,"")</f>
        <v/>
      </c>
      <c r="AZ28" s="6">
        <f>IF(COUNT(AN28:AN29)=2,(AN28/AN29-1)*100,"")</f>
        <v/>
      </c>
      <c r="BA28" s="6">
        <f>IF(COUNT(AS28:AS29)=2,(AS28/AS29-1)*100,"")</f>
        <v/>
      </c>
      <c r="BB28" s="5" t="n">
        <v>16.73</v>
      </c>
      <c r="BC28" s="6">
        <f>IF(COUNT(BB28:BB29)=2,(BB28/BB29-1)*100,"")</f>
        <v/>
      </c>
      <c r="BD28" s="6" t="n">
        <v>6.7645</v>
      </c>
      <c r="BE28" s="6">
        <f>IF(AND(BD28&gt;$BE$12,D28&lt;=$BE$13),D27,"")</f>
        <v/>
      </c>
      <c r="BF28" s="6">
        <f>IF(AND(AV28&lt;$BF$12,AW28&gt;$BF$13),D27,"")</f>
        <v/>
      </c>
      <c r="BG28" s="6">
        <f>IF(AND(AT28&gt;$BG$12,AU28&lt;$BG$13,AV28&gt;$BG$11),D27,"")</f>
        <v/>
      </c>
      <c r="BH28" s="6">
        <f>IF(BE28&lt;&gt;"",BE28,IF(BF28&lt;&gt;"",BF28,BG28))</f>
        <v/>
      </c>
      <c r="BI28" s="6">
        <f>IF(AND(AZ28&gt;$BI$12,BA28&lt;$BI$13),E27,"")</f>
        <v/>
      </c>
      <c r="BJ28" s="6">
        <f>IF(AND(AX28&lt;=$BJ$12,E28&lt;$BJ$13),E27,"")</f>
        <v/>
      </c>
      <c r="BK28" s="6">
        <f>IF(AND(AY28&gt;$BK$12,AZ28&gt;$BK$13),E27,"")</f>
        <v/>
      </c>
      <c r="BL28" s="6">
        <f>IF(BI28&lt;&gt;"",BI28,IF(BJ28&lt;&gt;"",BJ28,BK28))</f>
        <v/>
      </c>
    </row>
    <row r="29">
      <c r="A29" s="5" t="inlineStr">
        <is>
          <t>2026/07/15</t>
        </is>
      </c>
      <c r="B29" s="5" t="n">
        <v>162.7</v>
      </c>
      <c r="C29" s="5" t="n">
        <v>186.67</v>
      </c>
      <c r="D29" s="6">
        <f>IF(COUNT(B29:B30)=2,(B29/B30-1)*100,"")</f>
        <v/>
      </c>
      <c r="E29" s="6">
        <f>IF(COUNT(C29:C30)=2,(C29/C30-1)*100,"")</f>
        <v/>
      </c>
      <c r="F29" s="5" t="n">
        <v>65.87</v>
      </c>
      <c r="G29" s="5" t="n">
        <v>66.04000000000001</v>
      </c>
      <c r="H29" s="5" t="n">
        <v>64.66</v>
      </c>
      <c r="I29" s="5" t="n">
        <v>65.56999999999999</v>
      </c>
      <c r="J29" s="5" t="n">
        <v>65.56999999999999</v>
      </c>
      <c r="K29" s="5" t="n">
        <v>372.11</v>
      </c>
      <c r="L29" s="5" t="n">
        <v>374.49</v>
      </c>
      <c r="M29" s="5" t="n">
        <v>369.5</v>
      </c>
      <c r="N29" s="5" t="n">
        <v>372.35</v>
      </c>
      <c r="O29" s="5" t="n">
        <v>372.35</v>
      </c>
      <c r="P29" s="5" t="n">
        <v>79.70999999999999</v>
      </c>
      <c r="Q29" s="5" t="n">
        <v>79.84</v>
      </c>
      <c r="R29" s="5" t="n">
        <v>79.70999999999999</v>
      </c>
      <c r="S29" s="5" t="n">
        <v>79.81</v>
      </c>
      <c r="T29" s="5" t="n">
        <v>79.42440000000001</v>
      </c>
      <c r="U29" s="5" t="n">
        <v>107.99</v>
      </c>
      <c r="V29" s="5" t="n">
        <v>108.16</v>
      </c>
      <c r="W29" s="5" t="n">
        <v>107.99</v>
      </c>
      <c r="X29" s="5" t="n">
        <v>108.07</v>
      </c>
      <c r="Y29" s="5" t="n">
        <v>107.2828</v>
      </c>
      <c r="Z29" s="5" t="n">
        <v>56.3</v>
      </c>
      <c r="AA29" s="5" t="n">
        <v>56.82</v>
      </c>
      <c r="AB29" s="5" t="n">
        <v>56.18</v>
      </c>
      <c r="AC29" s="5" t="n">
        <v>56.56</v>
      </c>
      <c r="AD29" s="5" t="n">
        <v>56.56</v>
      </c>
      <c r="AE29" s="5" t="n">
        <v>56.51</v>
      </c>
      <c r="AF29" s="5" t="n">
        <v>56.66</v>
      </c>
      <c r="AG29" s="5" t="n">
        <v>56.51</v>
      </c>
      <c r="AH29" s="5" t="n">
        <v>56.53</v>
      </c>
      <c r="AI29" s="5" t="n">
        <v>56.53</v>
      </c>
      <c r="AJ29" s="5" t="n">
        <v>74.44</v>
      </c>
      <c r="AK29" s="5" t="n">
        <v>75.29000000000001</v>
      </c>
      <c r="AL29" s="5" t="n">
        <v>72.64</v>
      </c>
      <c r="AM29" s="5" t="n">
        <v>74</v>
      </c>
      <c r="AN29" s="5" t="n">
        <v>74</v>
      </c>
      <c r="AO29" s="5" t="n">
        <v>111.7</v>
      </c>
      <c r="AP29" s="5" t="n">
        <v>113.86</v>
      </c>
      <c r="AQ29" s="5" t="n">
        <v>111.53</v>
      </c>
      <c r="AR29" s="5" t="n">
        <v>113.38</v>
      </c>
      <c r="AS29" s="5" t="n">
        <v>113.38</v>
      </c>
      <c r="AT29" s="6">
        <f>IF(COUNT(J29:J30)=2,(J29/J30-1)*100,"")</f>
        <v/>
      </c>
      <c r="AU29" s="6">
        <f>IF(COUNT(O29:O30)=2,(O29/O30-1)*100,"")</f>
        <v/>
      </c>
      <c r="AV29" s="6">
        <f>IF(COUNT(T29:T30)=2,(T29/T30-1)*100,"")</f>
        <v/>
      </c>
      <c r="AW29" s="6">
        <f>IF(COUNT(Y29:Y30)=2,(Y29/Y30-1)*100,"")</f>
        <v/>
      </c>
      <c r="AX29" s="6">
        <f>IF(COUNT(AD29:AD30)=2,(AD29/AD30-1)*100,"")</f>
        <v/>
      </c>
      <c r="AY29" s="6">
        <f>IF(COUNT(AI29:AI30)=2,(AI29/AI30-1)*100,"")</f>
        <v/>
      </c>
      <c r="AZ29" s="6">
        <f>IF(COUNT(AN29:AN30)=2,(AN29/AN30-1)*100,"")</f>
        <v/>
      </c>
      <c r="BA29" s="6">
        <f>IF(COUNT(AS29:AS30)=2,(AS29/AS30-1)*100,"")</f>
        <v/>
      </c>
      <c r="BB29" s="5" t="n">
        <v>15.67</v>
      </c>
      <c r="BC29" s="6">
        <f>IF(COUNT(BB29:BB30)=2,(BB29/BB30-1)*100,"")</f>
        <v/>
      </c>
      <c r="BD29" s="6" t="n">
        <v>-5.0303</v>
      </c>
      <c r="BE29" s="6">
        <f>IF(AND(BD29&gt;$BE$12,D29&lt;=$BE$13),D28,"")</f>
        <v/>
      </c>
      <c r="BF29" s="6">
        <f>IF(AND(AV29&lt;$BF$12,AW29&gt;$BF$13),D28,"")</f>
        <v/>
      </c>
      <c r="BG29" s="6">
        <f>IF(AND(AT29&gt;$BG$12,AU29&lt;$BG$13,AV29&gt;$BG$11),D28,"")</f>
        <v/>
      </c>
      <c r="BH29" s="6">
        <f>IF(BE29&lt;&gt;"",BE29,IF(BF29&lt;&gt;"",BF29,BG29))</f>
        <v/>
      </c>
      <c r="BI29" s="6">
        <f>IF(AND(AZ29&gt;$BI$12,BA29&lt;$BI$13),E28,"")</f>
        <v/>
      </c>
      <c r="BJ29" s="6">
        <f>IF(AND(AX29&lt;=$BJ$12,E29&lt;$BJ$13),E28,"")</f>
        <v/>
      </c>
      <c r="BK29" s="6">
        <f>IF(AND(AY29&gt;$BK$12,AZ29&gt;$BK$13),E28,"")</f>
        <v/>
      </c>
      <c r="BL29" s="6">
        <f>IF(BI29&lt;&gt;"",BI29,IF(BJ29&lt;&gt;"",BJ29,BK29))</f>
        <v/>
      </c>
    </row>
    <row r="30">
      <c r="A30" s="5" t="inlineStr">
        <is>
          <t>2026/07/14</t>
        </is>
      </c>
      <c r="B30" s="5" t="n">
        <v>163.66</v>
      </c>
      <c r="C30" s="5" t="n">
        <v>185.27</v>
      </c>
      <c r="D30" s="6">
        <f>IF(COUNT(B30:B31)=2,(B30/B31-1)*100,"")</f>
        <v/>
      </c>
      <c r="E30" s="6">
        <f>IF(COUNT(C30:C31)=2,(C30/C31-1)*100,"")</f>
        <v/>
      </c>
      <c r="F30" s="5" t="n">
        <v>65.53</v>
      </c>
      <c r="G30" s="5" t="n">
        <v>65.8</v>
      </c>
      <c r="H30" s="5" t="n">
        <v>65.11</v>
      </c>
      <c r="I30" s="5" t="n">
        <v>65.67</v>
      </c>
      <c r="J30" s="5" t="n">
        <v>65.67</v>
      </c>
      <c r="K30" s="5" t="n">
        <v>374.53</v>
      </c>
      <c r="L30" s="5" t="n">
        <v>376.28</v>
      </c>
      <c r="M30" s="5" t="n">
        <v>370.92</v>
      </c>
      <c r="N30" s="5" t="n">
        <v>372.15</v>
      </c>
      <c r="O30" s="5" t="n">
        <v>372.15</v>
      </c>
      <c r="P30" s="5" t="n">
        <v>79.68000000000001</v>
      </c>
      <c r="Q30" s="5" t="n">
        <v>79.69</v>
      </c>
      <c r="R30" s="5" t="n">
        <v>79.56999999999999</v>
      </c>
      <c r="S30" s="5" t="n">
        <v>79.68000000000001</v>
      </c>
      <c r="T30" s="5" t="n">
        <v>79.295</v>
      </c>
      <c r="U30" s="5" t="n">
        <v>107.95</v>
      </c>
      <c r="V30" s="5" t="n">
        <v>108.13</v>
      </c>
      <c r="W30" s="5" t="n">
        <v>107.91</v>
      </c>
      <c r="X30" s="5" t="n">
        <v>108.01</v>
      </c>
      <c r="Y30" s="5" t="n">
        <v>107.2232</v>
      </c>
      <c r="Z30" s="5" t="n">
        <v>55.6</v>
      </c>
      <c r="AA30" s="5" t="n">
        <v>56.8</v>
      </c>
      <c r="AB30" s="5" t="n">
        <v>55.59</v>
      </c>
      <c r="AC30" s="5" t="n">
        <v>56.18</v>
      </c>
      <c r="AD30" s="5" t="n">
        <v>56.18</v>
      </c>
      <c r="AE30" s="5" t="n">
        <v>56.65</v>
      </c>
      <c r="AF30" s="5" t="n">
        <v>56.68</v>
      </c>
      <c r="AG30" s="5" t="n">
        <v>56.53</v>
      </c>
      <c r="AH30" s="5" t="n">
        <v>56.57</v>
      </c>
      <c r="AI30" s="5" t="n">
        <v>56.57</v>
      </c>
      <c r="AJ30" s="5" t="n">
        <v>76.09999999999999</v>
      </c>
      <c r="AK30" s="5" t="n">
        <v>76.86</v>
      </c>
      <c r="AL30" s="5" t="n">
        <v>74.48</v>
      </c>
      <c r="AM30" s="5" t="n">
        <v>74.88</v>
      </c>
      <c r="AN30" s="5" t="n">
        <v>74.88</v>
      </c>
      <c r="AO30" s="5" t="n">
        <v>110.83</v>
      </c>
      <c r="AP30" s="5" t="n">
        <v>111.83</v>
      </c>
      <c r="AQ30" s="5" t="n">
        <v>110.83</v>
      </c>
      <c r="AR30" s="5" t="n">
        <v>111.45</v>
      </c>
      <c r="AS30" s="5" t="n">
        <v>111.45</v>
      </c>
      <c r="AT30" s="6">
        <f>IF(COUNT(J30:J31)=2,(J30/J31-1)*100,"")</f>
        <v/>
      </c>
      <c r="AU30" s="6">
        <f>IF(COUNT(O30:O31)=2,(O30/O31-1)*100,"")</f>
        <v/>
      </c>
      <c r="AV30" s="6">
        <f>IF(COUNT(T30:T31)=2,(T30/T31-1)*100,"")</f>
        <v/>
      </c>
      <c r="AW30" s="6">
        <f>IF(COUNT(Y30:Y31)=2,(Y30/Y31-1)*100,"")</f>
        <v/>
      </c>
      <c r="AX30" s="6">
        <f>IF(COUNT(AD30:AD31)=2,(AD30/AD31-1)*100,"")</f>
        <v/>
      </c>
      <c r="AY30" s="6">
        <f>IF(COUNT(AI30:AI31)=2,(AI30/AI31-1)*100,"")</f>
        <v/>
      </c>
      <c r="AZ30" s="6">
        <f>IF(COUNT(AN30:AN31)=2,(AN30/AN31-1)*100,"")</f>
        <v/>
      </c>
      <c r="BA30" s="6">
        <f>IF(COUNT(AS30:AS31)=2,(AS30/AS31-1)*100,"")</f>
        <v/>
      </c>
      <c r="BB30" s="5" t="n">
        <v>16.5</v>
      </c>
      <c r="BC30" s="6">
        <f>IF(COUNT(BB30:BB31)=2,(BB30/BB31-1)*100,"")</f>
        <v/>
      </c>
      <c r="BD30" s="6" t="n">
        <v>-3.8462</v>
      </c>
      <c r="BE30" s="6">
        <f>IF(AND(BD30&gt;$BE$12,D30&lt;=$BE$13),D29,"")</f>
        <v/>
      </c>
      <c r="BF30" s="6">
        <f>IF(AND(AV30&lt;$BF$12,AW30&gt;$BF$13),D29,"")</f>
        <v/>
      </c>
      <c r="BG30" s="6">
        <f>IF(AND(AT30&gt;$BG$12,AU30&lt;$BG$13,AV30&gt;$BG$11),D29,"")</f>
        <v/>
      </c>
      <c r="BH30" s="6">
        <f>IF(BE30&lt;&gt;"",BE30,IF(BF30&lt;&gt;"",BF30,BG30))</f>
        <v/>
      </c>
      <c r="BI30" s="6">
        <f>IF(AND(AZ30&gt;$BI$12,BA30&lt;$BI$13),E29,"")</f>
        <v/>
      </c>
      <c r="BJ30" s="6">
        <f>IF(AND(AX30&lt;=$BJ$12,E30&lt;$BJ$13),E29,"")</f>
        <v/>
      </c>
      <c r="BK30" s="6">
        <f>IF(AND(AY30&gt;$BK$12,AZ30&gt;$BK$13),E29,"")</f>
        <v/>
      </c>
      <c r="BL30" s="6">
        <f>IF(BI30&lt;&gt;"",BI30,IF(BJ30&lt;&gt;"",BJ30,BK30))</f>
        <v/>
      </c>
    </row>
    <row r="31">
      <c r="A31" s="5" t="inlineStr">
        <is>
          <t>2026/07/13</t>
        </is>
      </c>
      <c r="B31" s="5" t="n">
        <v>160.15</v>
      </c>
      <c r="C31" s="5" t="n">
        <v>183.93</v>
      </c>
      <c r="D31" s="6">
        <f>IF(COUNT(B31:B32)=2,(B31/B32-1)*100,"")</f>
        <v/>
      </c>
      <c r="E31" s="6">
        <f>IF(COUNT(C31:C32)=2,(C31/C32-1)*100,"")</f>
        <v/>
      </c>
      <c r="F31" s="5" t="n">
        <v>65.19</v>
      </c>
      <c r="G31" s="5" t="n">
        <v>65.29000000000001</v>
      </c>
      <c r="H31" s="5" t="n">
        <v>64.39</v>
      </c>
      <c r="I31" s="5" t="n">
        <v>64.5</v>
      </c>
      <c r="J31" s="5" t="n">
        <v>64.5</v>
      </c>
      <c r="K31" s="5" t="n">
        <v>372.77</v>
      </c>
      <c r="L31" s="5" t="n">
        <v>372.89</v>
      </c>
      <c r="M31" s="5" t="n">
        <v>365.77</v>
      </c>
      <c r="N31" s="5" t="n">
        <v>367.13</v>
      </c>
      <c r="O31" s="5" t="n">
        <v>367.13</v>
      </c>
      <c r="P31" s="5" t="n">
        <v>79.67</v>
      </c>
      <c r="Q31" s="5" t="n">
        <v>79.69</v>
      </c>
      <c r="R31" s="5" t="n">
        <v>79.45999999999999</v>
      </c>
      <c r="S31" s="5" t="n">
        <v>79.52</v>
      </c>
      <c r="T31" s="5" t="n">
        <v>79.1358</v>
      </c>
      <c r="U31" s="5" t="n">
        <v>108.05</v>
      </c>
      <c r="V31" s="5" t="n">
        <v>108.05</v>
      </c>
      <c r="W31" s="5" t="n">
        <v>107.82</v>
      </c>
      <c r="X31" s="5" t="n">
        <v>107.91</v>
      </c>
      <c r="Y31" s="5" t="n">
        <v>107.124</v>
      </c>
      <c r="Z31" s="5" t="n">
        <v>55.98</v>
      </c>
      <c r="AA31" s="5" t="n">
        <v>56.16</v>
      </c>
      <c r="AB31" s="5" t="n">
        <v>55.61</v>
      </c>
      <c r="AC31" s="5" t="n">
        <v>56.07</v>
      </c>
      <c r="AD31" s="5" t="n">
        <v>56.07</v>
      </c>
      <c r="AE31" s="5" t="n">
        <v>56.59</v>
      </c>
      <c r="AF31" s="5" t="n">
        <v>56.59</v>
      </c>
      <c r="AG31" s="5" t="n">
        <v>56.45</v>
      </c>
      <c r="AH31" s="5" t="n">
        <v>56.46</v>
      </c>
      <c r="AI31" s="5" t="n">
        <v>56.46</v>
      </c>
      <c r="AJ31" s="5" t="n">
        <v>74.09999999999999</v>
      </c>
      <c r="AK31" s="5" t="n">
        <v>74.64</v>
      </c>
      <c r="AL31" s="5" t="n">
        <v>72.84</v>
      </c>
      <c r="AM31" s="5" t="n">
        <v>73.37</v>
      </c>
      <c r="AN31" s="5" t="n">
        <v>73.37</v>
      </c>
      <c r="AO31" s="5" t="n">
        <v>111.78</v>
      </c>
      <c r="AP31" s="5" t="n">
        <v>112.76</v>
      </c>
      <c r="AQ31" s="5" t="n">
        <v>111.465</v>
      </c>
      <c r="AR31" s="5" t="n">
        <v>111.59</v>
      </c>
      <c r="AS31" s="5" t="n">
        <v>111.59</v>
      </c>
      <c r="AT31" s="6">
        <f>IF(COUNT(J31:J32)=2,(J31/J32-1)*100,"")</f>
        <v/>
      </c>
      <c r="AU31" s="6">
        <f>IF(COUNT(O31:O32)=2,(O31/O32-1)*100,"")</f>
        <v/>
      </c>
      <c r="AV31" s="6">
        <f>IF(COUNT(T31:T32)=2,(T31/T32-1)*100,"")</f>
        <v/>
      </c>
      <c r="AW31" s="6">
        <f>IF(COUNT(Y31:Y32)=2,(Y31/Y32-1)*100,"")</f>
        <v/>
      </c>
      <c r="AX31" s="6">
        <f>IF(COUNT(AD31:AD32)=2,(AD31/AD32-1)*100,"")</f>
        <v/>
      </c>
      <c r="AY31" s="6">
        <f>IF(COUNT(AI31:AI32)=2,(AI31/AI32-1)*100,"")</f>
        <v/>
      </c>
      <c r="AZ31" s="6">
        <f>IF(COUNT(AN31:AN32)=2,(AN31/AN32-1)*100,"")</f>
        <v/>
      </c>
      <c r="BA31" s="6">
        <f>IF(COUNT(AS31:AS32)=2,(AS31/AS32-1)*100,"")</f>
        <v/>
      </c>
      <c r="BB31" s="5" t="n">
        <v>17.16</v>
      </c>
      <c r="BC31" s="6">
        <f>IF(COUNT(BB31:BB32)=2,(BB31/BB32-1)*100,"")</f>
        <v/>
      </c>
      <c r="BD31" s="6" t="n">
        <v>14.1717</v>
      </c>
      <c r="BE31" s="6">
        <f>IF(AND(BD31&gt;$BE$12,D31&lt;=$BE$13),D30,"")</f>
        <v/>
      </c>
      <c r="BF31" s="6">
        <f>IF(AND(AV31&lt;$BF$12,AW31&gt;$BF$13),D30,"")</f>
        <v/>
      </c>
      <c r="BG31" s="6">
        <f>IF(AND(AT31&gt;$BG$12,AU31&lt;$BG$13,AV31&gt;$BG$11),D30,"")</f>
        <v/>
      </c>
      <c r="BH31" s="6">
        <f>IF(BE31&lt;&gt;"",BE31,IF(BF31&lt;&gt;"",BF31,BG31))</f>
        <v/>
      </c>
      <c r="BI31" s="6">
        <f>IF(AND(AZ31&gt;$BI$12,BA31&lt;$BI$13),E30,"")</f>
        <v/>
      </c>
      <c r="BJ31" s="6">
        <f>IF(AND(AX31&lt;=$BJ$12,E31&lt;$BJ$13),E30,"")</f>
        <v/>
      </c>
      <c r="BK31" s="6">
        <f>IF(AND(AY31&gt;$BK$12,AZ31&gt;$BK$13),E30,"")</f>
        <v/>
      </c>
      <c r="BL31" s="6">
        <f>IF(BI31&lt;&gt;"",BI31,IF(BJ31&lt;&gt;"",BJ31,BK31))</f>
        <v/>
      </c>
    </row>
    <row r="32">
      <c r="A32" s="5" t="inlineStr">
        <is>
          <t>2026/07/10</t>
        </is>
      </c>
      <c r="B32" s="5" t="n">
        <v>166.49</v>
      </c>
      <c r="C32" s="5" t="n">
        <v>186.95</v>
      </c>
      <c r="D32" s="6">
        <f>IF(COUNT(B32:B33)=2,(B32/B33-1)*100,"")</f>
        <v/>
      </c>
      <c r="E32" s="6">
        <f>IF(COUNT(C32:C33)=2,(C32/C33-1)*100,"")</f>
        <v/>
      </c>
      <c r="F32" s="5" t="n">
        <v>66.54000000000001</v>
      </c>
      <c r="G32" s="5" t="n">
        <v>67.02</v>
      </c>
      <c r="H32" s="5" t="n">
        <v>66.19</v>
      </c>
      <c r="I32" s="5" t="n">
        <v>66.90000000000001</v>
      </c>
      <c r="J32" s="5" t="n">
        <v>66.90000000000001</v>
      </c>
      <c r="K32" s="5" t="n">
        <v>375</v>
      </c>
      <c r="L32" s="5" t="n">
        <v>377.55</v>
      </c>
      <c r="M32" s="5" t="n">
        <v>373.7</v>
      </c>
      <c r="N32" s="5" t="n">
        <v>377.01</v>
      </c>
      <c r="O32" s="5" t="n">
        <v>377.01</v>
      </c>
      <c r="P32" s="5" t="n">
        <v>79.78</v>
      </c>
      <c r="Q32" s="5" t="n">
        <v>79.83</v>
      </c>
      <c r="R32" s="5" t="n">
        <v>79.62</v>
      </c>
      <c r="S32" s="5" t="n">
        <v>79.70999999999999</v>
      </c>
      <c r="T32" s="5" t="n">
        <v>79.3249</v>
      </c>
      <c r="U32" s="5" t="n">
        <v>108.08</v>
      </c>
      <c r="V32" s="5" t="n">
        <v>108.15</v>
      </c>
      <c r="W32" s="5" t="n">
        <v>107.98</v>
      </c>
      <c r="X32" s="5" t="n">
        <v>108.13</v>
      </c>
      <c r="Y32" s="5" t="n">
        <v>107.3424</v>
      </c>
      <c r="Z32" s="5" t="n">
        <v>55.99</v>
      </c>
      <c r="AA32" s="5" t="n">
        <v>56.03</v>
      </c>
      <c r="AB32" s="5" t="n">
        <v>55.36</v>
      </c>
      <c r="AC32" s="5" t="n">
        <v>55.71</v>
      </c>
      <c r="AD32" s="5" t="n">
        <v>55.71</v>
      </c>
      <c r="AE32" s="5" t="n">
        <v>56.7</v>
      </c>
      <c r="AF32" s="5" t="n">
        <v>56.87</v>
      </c>
      <c r="AG32" s="5" t="n">
        <v>56.68</v>
      </c>
      <c r="AH32" s="5" t="n">
        <v>56.74</v>
      </c>
      <c r="AI32" s="5" t="n">
        <v>56.74</v>
      </c>
      <c r="AJ32" s="5" t="n">
        <v>75.09</v>
      </c>
      <c r="AK32" s="5" t="n">
        <v>76.04000000000001</v>
      </c>
      <c r="AL32" s="5" t="n">
        <v>74.51000000000001</v>
      </c>
      <c r="AM32" s="5" t="n">
        <v>75.53</v>
      </c>
      <c r="AN32" s="5" t="n">
        <v>75.53</v>
      </c>
      <c r="AO32" s="5" t="n">
        <v>111.72</v>
      </c>
      <c r="AP32" s="5" t="n">
        <v>112.16</v>
      </c>
      <c r="AQ32" s="5" t="n">
        <v>111.025</v>
      </c>
      <c r="AR32" s="5" t="n">
        <v>111.64</v>
      </c>
      <c r="AS32" s="5" t="n">
        <v>111.64</v>
      </c>
      <c r="AT32" s="6">
        <f>IF(COUNT(J32:J33)=2,(J32/J33-1)*100,"")</f>
        <v/>
      </c>
      <c r="AU32" s="6">
        <f>IF(COUNT(O32:O33)=2,(O32/O33-1)*100,"")</f>
        <v/>
      </c>
      <c r="AV32" s="6">
        <f>IF(COUNT(T32:T33)=2,(T32/T33-1)*100,"")</f>
        <v/>
      </c>
      <c r="AW32" s="6">
        <f>IF(COUNT(Y32:Y33)=2,(Y32/Y33-1)*100,"")</f>
        <v/>
      </c>
      <c r="AX32" s="6">
        <f>IF(COUNT(AD32:AD33)=2,(AD32/AD33-1)*100,"")</f>
        <v/>
      </c>
      <c r="AY32" s="6">
        <f>IF(COUNT(AI32:AI33)=2,(AI32/AI33-1)*100,"")</f>
        <v/>
      </c>
      <c r="AZ32" s="6">
        <f>IF(COUNT(AN32:AN33)=2,(AN32/AN33-1)*100,"")</f>
        <v/>
      </c>
      <c r="BA32" s="6">
        <f>IF(COUNT(AS32:AS33)=2,(AS32/AS33-1)*100,"")</f>
        <v/>
      </c>
      <c r="BB32" s="5" t="n">
        <v>15.03</v>
      </c>
      <c r="BC32" s="6">
        <f>IF(COUNT(BB32:BB33)=2,(BB32/BB33-1)*100,"")</f>
        <v/>
      </c>
      <c r="BD32" s="6" t="n">
        <v>-5.1136</v>
      </c>
      <c r="BE32" s="6">
        <f>IF(AND(BD32&gt;$BE$12,D32&lt;=$BE$13),D31,"")</f>
        <v/>
      </c>
      <c r="BF32" s="6">
        <f>IF(AND(AV32&lt;$BF$12,AW32&gt;$BF$13),D31,"")</f>
        <v/>
      </c>
      <c r="BG32" s="6">
        <f>IF(AND(AT32&gt;$BG$12,AU32&lt;$BG$13,AV32&gt;$BG$11),D31,"")</f>
        <v/>
      </c>
      <c r="BH32" s="6">
        <f>IF(BE32&lt;&gt;"",BE32,IF(BF32&lt;&gt;"",BF32,BG32))</f>
        <v/>
      </c>
      <c r="BI32" s="6">
        <f>IF(AND(AZ32&gt;$BI$12,BA32&lt;$BI$13),E31,"")</f>
        <v/>
      </c>
      <c r="BJ32" s="6">
        <f>IF(AND(AX32&lt;=$BJ$12,E32&lt;$BJ$13),E31,"")</f>
        <v/>
      </c>
      <c r="BK32" s="6">
        <f>IF(AND(AY32&gt;$BK$12,AZ32&gt;$BK$13),E31,"")</f>
        <v/>
      </c>
      <c r="BL32" s="6">
        <f>IF(BI32&lt;&gt;"",BI32,IF(BJ32&lt;&gt;"",BJ32,BK32))</f>
        <v/>
      </c>
    </row>
    <row r="33">
      <c r="A33" s="5" t="inlineStr">
        <is>
          <t>2026/07/09</t>
        </is>
      </c>
      <c r="B33" s="5" t="n">
        <v>165.43</v>
      </c>
      <c r="C33" s="5" t="n">
        <v>185.38</v>
      </c>
      <c r="D33" s="6">
        <f>IF(COUNT(B33:B34)=2,(B33/B34-1)*100,"")</f>
        <v/>
      </c>
      <c r="E33" s="6">
        <f>IF(COUNT(C33:C34)=2,(C33/C34-1)*100,"")</f>
        <v/>
      </c>
      <c r="F33" s="5" t="n">
        <v>66.56999999999999</v>
      </c>
      <c r="G33" s="5" t="n">
        <v>66.95999999999999</v>
      </c>
      <c r="H33" s="5" t="n">
        <v>66.37</v>
      </c>
      <c r="I33" s="5" t="n">
        <v>66.78</v>
      </c>
      <c r="J33" s="5" t="n">
        <v>66.78</v>
      </c>
      <c r="K33" s="5" t="n">
        <v>378.51</v>
      </c>
      <c r="L33" s="5" t="n">
        <v>379.65</v>
      </c>
      <c r="M33" s="5" t="n">
        <v>377.41</v>
      </c>
      <c r="N33" s="5" t="n">
        <v>378.18</v>
      </c>
      <c r="O33" s="5" t="n">
        <v>378.18</v>
      </c>
      <c r="P33" s="5" t="n">
        <v>79.73</v>
      </c>
      <c r="Q33" s="5" t="n">
        <v>79.86</v>
      </c>
      <c r="R33" s="5" t="n">
        <v>79.67</v>
      </c>
      <c r="S33" s="5" t="n">
        <v>79.75</v>
      </c>
      <c r="T33" s="5" t="n">
        <v>79.3647</v>
      </c>
      <c r="U33" s="5" t="n">
        <v>108.14</v>
      </c>
      <c r="V33" s="5" t="n">
        <v>108.22</v>
      </c>
      <c r="W33" s="5" t="n">
        <v>108.09</v>
      </c>
      <c r="X33" s="5" t="n">
        <v>108.12</v>
      </c>
      <c r="Y33" s="5" t="n">
        <v>107.3324</v>
      </c>
      <c r="Z33" s="5" t="n">
        <v>55.07</v>
      </c>
      <c r="AA33" s="5" t="n">
        <v>55.69</v>
      </c>
      <c r="AB33" s="5" t="n">
        <v>54.97</v>
      </c>
      <c r="AC33" s="5" t="n">
        <v>55.54</v>
      </c>
      <c r="AD33" s="5" t="n">
        <v>55.54</v>
      </c>
      <c r="AE33" s="5" t="n">
        <v>56.47</v>
      </c>
      <c r="AF33" s="5" t="n">
        <v>56.53</v>
      </c>
      <c r="AG33" s="5" t="n">
        <v>56.47</v>
      </c>
      <c r="AH33" s="5" t="n">
        <v>56.48</v>
      </c>
      <c r="AI33" s="5" t="n">
        <v>56.48</v>
      </c>
      <c r="AJ33" s="5" t="n">
        <v>75.15000000000001</v>
      </c>
      <c r="AK33" s="5" t="n">
        <v>76.05</v>
      </c>
      <c r="AL33" s="5" t="n">
        <v>74.31999999999999</v>
      </c>
      <c r="AM33" s="5" t="n">
        <v>75.78</v>
      </c>
      <c r="AN33" s="5" t="n">
        <v>75.78</v>
      </c>
      <c r="AO33" s="5" t="n">
        <v>108.08</v>
      </c>
      <c r="AP33" s="5" t="n">
        <v>110.595</v>
      </c>
      <c r="AQ33" s="5" t="n">
        <v>107.82</v>
      </c>
      <c r="AR33" s="5" t="n">
        <v>110.51</v>
      </c>
      <c r="AS33" s="5" t="n">
        <v>110.51</v>
      </c>
      <c r="AT33" s="6">
        <f>IF(COUNT(J33:J34)=2,(J33/J34-1)*100,"")</f>
        <v/>
      </c>
      <c r="AU33" s="6">
        <f>IF(COUNT(O33:O34)=2,(O33/O34-1)*100,"")</f>
        <v/>
      </c>
      <c r="AV33" s="6">
        <f>IF(COUNT(T33:T34)=2,(T33/T34-1)*100,"")</f>
        <v/>
      </c>
      <c r="AW33" s="6">
        <f>IF(COUNT(Y33:Y34)=2,(Y33/Y34-1)*100,"")</f>
        <v/>
      </c>
      <c r="AX33" s="6">
        <f>IF(COUNT(AD33:AD34)=2,(AD33/AD34-1)*100,"")</f>
        <v/>
      </c>
      <c r="AY33" s="6">
        <f>IF(COUNT(AI33:AI34)=2,(AI33/AI34-1)*100,"")</f>
        <v/>
      </c>
      <c r="AZ33" s="6">
        <f>IF(COUNT(AN33:AN34)=2,(AN33/AN34-1)*100,"")</f>
        <v/>
      </c>
      <c r="BA33" s="6">
        <f>IF(COUNT(AS33:AS34)=2,(AS33/AS34-1)*100,"")</f>
        <v/>
      </c>
      <c r="BB33" s="5" t="n">
        <v>15.84</v>
      </c>
      <c r="BC33" s="6">
        <f>IF(COUNT(BB33:BB34)=2,(BB33/BB34-1)*100,"")</f>
        <v/>
      </c>
      <c r="BD33" s="6" t="n">
        <v>-6.2722</v>
      </c>
      <c r="BE33" s="6">
        <f>IF(AND(BD33&gt;$BE$12,D33&lt;=$BE$13),D32,"")</f>
        <v/>
      </c>
      <c r="BF33" s="6">
        <f>IF(AND(AV33&lt;$BF$12,AW33&gt;$BF$13),D32,"")</f>
        <v/>
      </c>
      <c r="BG33" s="6">
        <f>IF(AND(AT33&gt;$BG$12,AU33&lt;$BG$13,AV33&gt;$BG$11),D32,"")</f>
        <v/>
      </c>
      <c r="BH33" s="6">
        <f>IF(BE33&lt;&gt;"",BE33,IF(BF33&lt;&gt;"",BF33,BG33))</f>
        <v/>
      </c>
      <c r="BI33" s="6">
        <f>IF(AND(AZ33&gt;$BI$12,BA33&lt;$BI$13),E32,"")</f>
        <v/>
      </c>
      <c r="BJ33" s="6">
        <f>IF(AND(AX33&lt;=$BJ$12,E33&lt;$BJ$13),E32,"")</f>
        <v/>
      </c>
      <c r="BK33" s="6">
        <f>IF(AND(AY33&gt;$BK$12,AZ33&gt;$BK$13),E32,"")</f>
        <v/>
      </c>
      <c r="BL33" s="6">
        <f>IF(BI33&lt;&gt;"",BI33,IF(BJ33&lt;&gt;"",BJ33,BK33))</f>
        <v/>
      </c>
    </row>
    <row r="34">
      <c r="A34" s="5" t="inlineStr">
        <is>
          <t>2026/07/08</t>
        </is>
      </c>
      <c r="B34" s="5" t="n">
        <v>160.25</v>
      </c>
      <c r="C34" s="5" t="n">
        <v>182.42</v>
      </c>
      <c r="D34" s="6">
        <f>IF(COUNT(B34:B35)=2,(B34/B35-1)*100,"")</f>
        <v/>
      </c>
      <c r="E34" s="6">
        <f>IF(COUNT(C34:C35)=2,(C34/C35-1)*100,"")</f>
        <v/>
      </c>
      <c r="F34" s="5" t="n">
        <v>65.16</v>
      </c>
      <c r="G34" s="5" t="n">
        <v>66.25</v>
      </c>
      <c r="H34" s="5" t="n">
        <v>64.97</v>
      </c>
      <c r="I34" s="5" t="n">
        <v>66.23</v>
      </c>
      <c r="J34" s="5" t="n">
        <v>66.23</v>
      </c>
      <c r="K34" s="5" t="n">
        <v>373.17</v>
      </c>
      <c r="L34" s="5" t="n">
        <v>375.47</v>
      </c>
      <c r="M34" s="5" t="n">
        <v>368.95</v>
      </c>
      <c r="N34" s="5" t="n">
        <v>374.45</v>
      </c>
      <c r="O34" s="5" t="n">
        <v>374.45</v>
      </c>
      <c r="P34" s="5" t="n">
        <v>79.61</v>
      </c>
      <c r="Q34" s="5" t="n">
        <v>79.68000000000001</v>
      </c>
      <c r="R34" s="5" t="n">
        <v>79.54000000000001</v>
      </c>
      <c r="S34" s="5" t="n">
        <v>79.66</v>
      </c>
      <c r="T34" s="5" t="n">
        <v>79.27509999999999</v>
      </c>
      <c r="U34" s="5" t="n">
        <v>108.09</v>
      </c>
      <c r="V34" s="5" t="n">
        <v>108.12</v>
      </c>
      <c r="W34" s="5" t="n">
        <v>107.98</v>
      </c>
      <c r="X34" s="5" t="n">
        <v>108.05</v>
      </c>
      <c r="Y34" s="5" t="n">
        <v>107.2629</v>
      </c>
      <c r="Z34" s="5" t="n">
        <v>55.79</v>
      </c>
      <c r="AA34" s="5" t="n">
        <v>55.8</v>
      </c>
      <c r="AB34" s="5" t="n">
        <v>54.95</v>
      </c>
      <c r="AC34" s="5" t="n">
        <v>54.97</v>
      </c>
      <c r="AD34" s="5" t="n">
        <v>54.97</v>
      </c>
      <c r="AE34" s="5" t="n">
        <v>56.45</v>
      </c>
      <c r="AF34" s="5" t="n">
        <v>56.48</v>
      </c>
      <c r="AG34" s="5" t="n">
        <v>56.39</v>
      </c>
      <c r="AH34" s="5" t="n">
        <v>56.46</v>
      </c>
      <c r="AI34" s="5" t="n">
        <v>56.46</v>
      </c>
      <c r="AJ34" s="5" t="n">
        <v>74.09</v>
      </c>
      <c r="AK34" s="5" t="n">
        <v>74.81</v>
      </c>
      <c r="AL34" s="5" t="n">
        <v>71.89</v>
      </c>
      <c r="AM34" s="5" t="n">
        <v>73.53</v>
      </c>
      <c r="AN34" s="5" t="n">
        <v>73.53</v>
      </c>
      <c r="AO34" s="5" t="n">
        <v>110.92</v>
      </c>
      <c r="AP34" s="5" t="n">
        <v>110.985</v>
      </c>
      <c r="AQ34" s="5" t="n">
        <v>109.28</v>
      </c>
      <c r="AR34" s="5" t="n">
        <v>109.46</v>
      </c>
      <c r="AS34" s="5" t="n">
        <v>109.46</v>
      </c>
      <c r="AT34" s="6">
        <f>IF(COUNT(J34:J35)=2,(J34/J35-1)*100,"")</f>
        <v/>
      </c>
      <c r="AU34" s="6">
        <f>IF(COUNT(O34:O35)=2,(O34/O35-1)*100,"")</f>
        <v/>
      </c>
      <c r="AV34" s="6">
        <f>IF(COUNT(T34:T35)=2,(T34/T35-1)*100,"")</f>
        <v/>
      </c>
      <c r="AW34" s="6">
        <f>IF(COUNT(Y34:Y35)=2,(Y34/Y35-1)*100,"")</f>
        <v/>
      </c>
      <c r="AX34" s="6">
        <f>IF(COUNT(AD34:AD35)=2,(AD34/AD35-1)*100,"")</f>
        <v/>
      </c>
      <c r="AY34" s="6">
        <f>IF(COUNT(AI34:AI35)=2,(AI34/AI35-1)*100,"")</f>
        <v/>
      </c>
      <c r="AZ34" s="6">
        <f>IF(COUNT(AN34:AN35)=2,(AN34/AN35-1)*100,"")</f>
        <v/>
      </c>
      <c r="BA34" s="6">
        <f>IF(COUNT(AS34:AS35)=2,(AS34/AS35-1)*100,"")</f>
        <v/>
      </c>
      <c r="BB34" s="5" t="n">
        <v>16.9</v>
      </c>
      <c r="BC34" s="6">
        <f>IF(COUNT(BB34:BB35)=2,(BB34/BB35-1)*100,"")</f>
        <v/>
      </c>
      <c r="BD34" s="6" t="n">
        <v>4.7737</v>
      </c>
      <c r="BE34" s="6">
        <f>IF(AND(BD34&gt;$BE$12,D34&lt;=$BE$13),D33,"")</f>
        <v/>
      </c>
      <c r="BF34" s="6">
        <f>IF(AND(AV34&lt;$BF$12,AW34&gt;$BF$13),D33,"")</f>
        <v/>
      </c>
      <c r="BG34" s="6">
        <f>IF(AND(AT34&gt;$BG$12,AU34&lt;$BG$13,AV34&gt;$BG$11),D33,"")</f>
        <v/>
      </c>
      <c r="BH34" s="6">
        <f>IF(BE34&lt;&gt;"",BE34,IF(BF34&lt;&gt;"",BF34,BG34))</f>
        <v/>
      </c>
      <c r="BI34" s="6">
        <f>IF(AND(AZ34&gt;$BI$12,BA34&lt;$BI$13),E33,"")</f>
        <v/>
      </c>
      <c r="BJ34" s="6">
        <f>IF(AND(AX34&lt;=$BJ$12,E34&lt;$BJ$13),E33,"")</f>
        <v/>
      </c>
      <c r="BK34" s="6">
        <f>IF(AND(AY34&gt;$BK$12,AZ34&gt;$BK$13),E33,"")</f>
        <v/>
      </c>
      <c r="BL34" s="6">
        <f>IF(BI34&lt;&gt;"",BI34,IF(BJ34&lt;&gt;"",BJ34,BK34))</f>
        <v/>
      </c>
    </row>
    <row r="35">
      <c r="A35" s="5" t="inlineStr">
        <is>
          <t>2026/07/07</t>
        </is>
      </c>
      <c r="B35" s="5" t="n">
        <v>159.4</v>
      </c>
      <c r="C35" s="5" t="n">
        <v>183.5</v>
      </c>
      <c r="D35" s="6">
        <f>IF(COUNT(B35:B36)=2,(B35/B36-1)*100,"")</f>
        <v/>
      </c>
      <c r="E35" s="6">
        <f>IF(COUNT(C35:C36)=2,(C35/C36-1)*100,"")</f>
        <v/>
      </c>
      <c r="F35" s="5" t="n">
        <v>65.98999999999999</v>
      </c>
      <c r="G35" s="5" t="n">
        <v>66.33</v>
      </c>
      <c r="H35" s="5" t="n">
        <v>65.26000000000001</v>
      </c>
      <c r="I35" s="5" t="n">
        <v>65.72</v>
      </c>
      <c r="J35" s="5" t="n">
        <v>65.72</v>
      </c>
      <c r="K35" s="5" t="n">
        <v>382.39</v>
      </c>
      <c r="L35" s="5" t="n">
        <v>383.6</v>
      </c>
      <c r="M35" s="5" t="n">
        <v>375.52</v>
      </c>
      <c r="N35" s="5" t="n">
        <v>377.49</v>
      </c>
      <c r="O35" s="5" t="n">
        <v>377.49</v>
      </c>
      <c r="P35" s="5" t="n">
        <v>79.84999999999999</v>
      </c>
      <c r="Q35" s="5" t="n">
        <v>79.88</v>
      </c>
      <c r="R35" s="5" t="n">
        <v>79.72</v>
      </c>
      <c r="S35" s="5" t="n">
        <v>79.76000000000001</v>
      </c>
      <c r="T35" s="5" t="n">
        <v>79.3746</v>
      </c>
      <c r="U35" s="5" t="n">
        <v>108.36</v>
      </c>
      <c r="V35" s="5" t="n">
        <v>108.36</v>
      </c>
      <c r="W35" s="5" t="n">
        <v>108.11</v>
      </c>
      <c r="X35" s="5" t="n">
        <v>108.17</v>
      </c>
      <c r="Y35" s="5" t="n">
        <v>107.3821</v>
      </c>
      <c r="Z35" s="5" t="n">
        <v>56.31</v>
      </c>
      <c r="AA35" s="5" t="n">
        <v>56.59</v>
      </c>
      <c r="AB35" s="5" t="n">
        <v>56.01</v>
      </c>
      <c r="AC35" s="5" t="n">
        <v>56.05</v>
      </c>
      <c r="AD35" s="5" t="n">
        <v>56.05</v>
      </c>
      <c r="AE35" s="5" t="n">
        <v>56.64</v>
      </c>
      <c r="AF35" s="5" t="n">
        <v>56.68</v>
      </c>
      <c r="AG35" s="5" t="n">
        <v>56.58</v>
      </c>
      <c r="AH35" s="5" t="n">
        <v>56.63</v>
      </c>
      <c r="AI35" s="5" t="n">
        <v>56.63</v>
      </c>
      <c r="AJ35" s="5" t="n">
        <v>78.34999999999999</v>
      </c>
      <c r="AK35" s="5" t="n">
        <v>78.79000000000001</v>
      </c>
      <c r="AL35" s="5" t="n">
        <v>75.13</v>
      </c>
      <c r="AM35" s="5" t="n">
        <v>75.76000000000001</v>
      </c>
      <c r="AN35" s="5" t="n">
        <v>75.76000000000001</v>
      </c>
      <c r="AO35" s="5" t="n">
        <v>111.67</v>
      </c>
      <c r="AP35" s="5" t="n">
        <v>112.27</v>
      </c>
      <c r="AQ35" s="5" t="n">
        <v>110.95</v>
      </c>
      <c r="AR35" s="5" t="n">
        <v>111.02</v>
      </c>
      <c r="AS35" s="5" t="n">
        <v>111.02</v>
      </c>
      <c r="AT35" s="6">
        <f>IF(COUNT(J35:J36)=2,(J35/J36-1)*100,"")</f>
        <v/>
      </c>
      <c r="AU35" s="6">
        <f>IF(COUNT(O35:O36)=2,(O35/O36-1)*100,"")</f>
        <v/>
      </c>
      <c r="AV35" s="6">
        <f>IF(COUNT(T35:T36)=2,(T35/T36-1)*100,"")</f>
        <v/>
      </c>
      <c r="AW35" s="6">
        <f>IF(COUNT(Y35:Y36)=2,(Y35/Y36-1)*100,"")</f>
        <v/>
      </c>
      <c r="AX35" s="6">
        <f>IF(COUNT(AD35:AD36)=2,(AD35/AD36-1)*100,"")</f>
        <v/>
      </c>
      <c r="AY35" s="6">
        <f>IF(COUNT(AI35:AI36)=2,(AI35/AI36-1)*100,"")</f>
        <v/>
      </c>
      <c r="AZ35" s="6">
        <f>IF(COUNT(AN35:AN36)=2,(AN35/AN36-1)*100,"")</f>
        <v/>
      </c>
      <c r="BA35" s="6">
        <f>IF(COUNT(AS35:AS36)=2,(AS35/AS36-1)*100,"")</f>
        <v/>
      </c>
      <c r="BB35" s="5" t="n">
        <v>16.13</v>
      </c>
      <c r="BC35" s="6">
        <f>IF(COUNT(BB35:BB36)=2,(BB35/BB36-1)*100,"")</f>
        <v/>
      </c>
      <c r="BD35" s="6" t="n">
        <v>3.5967</v>
      </c>
      <c r="BE35" s="6">
        <f>IF(AND(BD35&gt;$BE$12,D35&lt;=$BE$13),D34,"")</f>
        <v/>
      </c>
      <c r="BF35" s="6">
        <f>IF(AND(AV35&lt;$BF$12,AW35&gt;$BF$13),D34,"")</f>
        <v/>
      </c>
      <c r="BG35" s="6">
        <f>IF(AND(AT35&gt;$BG$12,AU35&lt;$BG$13,AV35&gt;$BG$11),D34,"")</f>
        <v/>
      </c>
      <c r="BH35" s="6">
        <f>IF(BE35&lt;&gt;"",BE35,IF(BF35&lt;&gt;"",BF35,BG35))</f>
        <v/>
      </c>
      <c r="BI35" s="6">
        <f>IF(AND(AZ35&gt;$BI$12,BA35&lt;$BI$13),E34,"")</f>
        <v/>
      </c>
      <c r="BJ35" s="6">
        <f>IF(AND(AX35&lt;=$BJ$12,E35&lt;$BJ$13),E34,"")</f>
        <v/>
      </c>
      <c r="BK35" s="6">
        <f>IF(AND(AY35&gt;$BK$12,AZ35&gt;$BK$13),E34,"")</f>
        <v/>
      </c>
      <c r="BL35" s="6">
        <f>IF(BI35&lt;&gt;"",BI35,IF(BJ35&lt;&gt;"",BJ35,BK35))</f>
        <v/>
      </c>
    </row>
    <row r="36">
      <c r="A36" s="5" t="inlineStr">
        <is>
          <t>2026/07/06</t>
        </is>
      </c>
      <c r="B36" s="5" t="n">
        <v>165.32</v>
      </c>
      <c r="C36" s="5" t="n">
        <v>185.21</v>
      </c>
      <c r="D36" s="6">
        <f>IF(COUNT(B36:B37)=2,(B36/B37-1)*100,"")</f>
        <v/>
      </c>
      <c r="E36" s="6">
        <f>IF(COUNT(C36:C37)=2,(C36/C37-1)*100,"")</f>
        <v/>
      </c>
      <c r="F36" s="5" t="n">
        <v>67.25</v>
      </c>
      <c r="G36" s="5" t="n">
        <v>67.79000000000001</v>
      </c>
      <c r="H36" s="5" t="n">
        <v>67.20999999999999</v>
      </c>
      <c r="I36" s="5" t="n">
        <v>67.56999999999999</v>
      </c>
      <c r="J36" s="5" t="n">
        <v>67.56999999999999</v>
      </c>
      <c r="K36" s="5" t="n">
        <v>380.21</v>
      </c>
      <c r="L36" s="5" t="n">
        <v>382.43</v>
      </c>
      <c r="M36" s="5" t="n">
        <v>378.83</v>
      </c>
      <c r="N36" s="5" t="n">
        <v>382.13</v>
      </c>
      <c r="O36" s="5" t="n">
        <v>382.13</v>
      </c>
      <c r="P36" s="5" t="n">
        <v>79.73</v>
      </c>
      <c r="Q36" s="5" t="n">
        <v>79.91</v>
      </c>
      <c r="R36" s="5" t="n">
        <v>79.73</v>
      </c>
      <c r="S36" s="5" t="n">
        <v>79.87</v>
      </c>
      <c r="T36" s="5" t="n">
        <v>79.4841</v>
      </c>
      <c r="U36" s="5" t="n">
        <v>108.43</v>
      </c>
      <c r="V36" s="5" t="n">
        <v>108.49</v>
      </c>
      <c r="W36" s="5" t="n">
        <v>108.3</v>
      </c>
      <c r="X36" s="5" t="n">
        <v>108.49</v>
      </c>
      <c r="Y36" s="5" t="n">
        <v>107.6997</v>
      </c>
      <c r="Z36" s="5" t="n">
        <v>55.85</v>
      </c>
      <c r="AA36" s="5" t="n">
        <v>56.16</v>
      </c>
      <c r="AB36" s="5" t="n">
        <v>55.58</v>
      </c>
      <c r="AC36" s="5" t="n">
        <v>56.14</v>
      </c>
      <c r="AD36" s="5" t="n">
        <v>56.14</v>
      </c>
      <c r="AE36" s="5" t="n">
        <v>56.5</v>
      </c>
      <c r="AF36" s="5" t="n">
        <v>56.61</v>
      </c>
      <c r="AG36" s="5" t="n">
        <v>56.48</v>
      </c>
      <c r="AH36" s="5" t="n">
        <v>56.59</v>
      </c>
      <c r="AI36" s="5" t="n">
        <v>56.59</v>
      </c>
      <c r="AJ36" s="5" t="n">
        <v>79.52</v>
      </c>
      <c r="AK36" s="5" t="n">
        <v>80.18000000000001</v>
      </c>
      <c r="AL36" s="5" t="n">
        <v>77.5</v>
      </c>
      <c r="AM36" s="5" t="n">
        <v>78.73999999999999</v>
      </c>
      <c r="AN36" s="5" t="n">
        <v>78.73999999999999</v>
      </c>
      <c r="AO36" s="5" t="n">
        <v>110.075</v>
      </c>
      <c r="AP36" s="5" t="n">
        <v>110.375</v>
      </c>
      <c r="AQ36" s="5" t="n">
        <v>108.98</v>
      </c>
      <c r="AR36" s="5" t="n">
        <v>110.21</v>
      </c>
      <c r="AS36" s="5" t="n">
        <v>110.21</v>
      </c>
      <c r="AT36" s="6">
        <f>IF(COUNT(J36:J37)=2,(J36/J37-1)*100,"")</f>
        <v/>
      </c>
      <c r="AU36" s="6">
        <f>IF(COUNT(O36:O37)=2,(O36/O37-1)*100,"")</f>
        <v/>
      </c>
      <c r="AV36" s="6">
        <f>IF(COUNT(T36:T37)=2,(T36/T37-1)*100,"")</f>
        <v/>
      </c>
      <c r="AW36" s="6">
        <f>IF(COUNT(Y36:Y37)=2,(Y36/Y37-1)*100,"")</f>
        <v/>
      </c>
      <c r="AX36" s="6">
        <f>IF(COUNT(AD36:AD37)=2,(AD36/AD37-1)*100,"")</f>
        <v/>
      </c>
      <c r="AY36" s="6">
        <f>IF(COUNT(AI36:AI37)=2,(AI36/AI37-1)*100,"")</f>
        <v/>
      </c>
      <c r="AZ36" s="6">
        <f>IF(COUNT(AN36:AN37)=2,(AN36/AN37-1)*100,"")</f>
        <v/>
      </c>
      <c r="BA36" s="6">
        <f>IF(COUNT(AS36:AS37)=2,(AS36/AS37-1)*100,"")</f>
        <v/>
      </c>
      <c r="BB36" s="5" t="n">
        <v>15.57</v>
      </c>
      <c r="BC36" s="6">
        <f>IF(COUNT(BB36:BB37)=2,(BB36/BB37-1)*100,"")</f>
        <v/>
      </c>
      <c r="BD36" s="6" t="n">
        <v>-3.5913</v>
      </c>
      <c r="BE36" s="6">
        <f>IF(AND(BD36&gt;$BE$12,D36&lt;=$BE$13),D35,"")</f>
        <v/>
      </c>
      <c r="BF36" s="6">
        <f>IF(AND(AV36&lt;$BF$12,AW36&gt;$BF$13),D35,"")</f>
        <v/>
      </c>
      <c r="BG36" s="6">
        <f>IF(AND(AT36&gt;$BG$12,AU36&lt;$BG$13,AV36&gt;$BG$11),D35,"")</f>
        <v/>
      </c>
      <c r="BH36" s="6">
        <f>IF(BE36&lt;&gt;"",BE36,IF(BF36&lt;&gt;"",BF36,BG36))</f>
        <v/>
      </c>
      <c r="BI36" s="6">
        <f>IF(AND(AZ36&gt;$BI$12,BA36&lt;$BI$13),E35,"")</f>
        <v/>
      </c>
      <c r="BJ36" s="6">
        <f>IF(AND(AX36&lt;=$BJ$12,E36&lt;$BJ$13),E35,"")</f>
        <v/>
      </c>
      <c r="BK36" s="6">
        <f>IF(AND(AY36&gt;$BK$12,AZ36&gt;$BK$13),E35,"")</f>
        <v/>
      </c>
      <c r="BL36" s="6">
        <f>IF(BI36&lt;&gt;"",BI36,IF(BJ36&lt;&gt;"",BJ36,BK36))</f>
        <v/>
      </c>
    </row>
    <row r="37">
      <c r="A37" s="5" t="inlineStr">
        <is>
          <t>2026/07/02</t>
        </is>
      </c>
      <c r="B37" s="5" t="n">
        <v>161.26</v>
      </c>
      <c r="C37" s="5" t="n">
        <v>182.53</v>
      </c>
      <c r="D37" s="6">
        <f>IF(COUNT(B37:B38)=2,(B37/B38-1)*100,"")</f>
        <v/>
      </c>
      <c r="E37" s="6">
        <f>IF(COUNT(C37:C38)=2,(C37/C38-1)*100,"")</f>
        <v/>
      </c>
      <c r="F37" s="5" t="n">
        <v>66.53</v>
      </c>
      <c r="G37" s="5" t="n">
        <v>67.19</v>
      </c>
      <c r="H37" s="5" t="n">
        <v>64.8</v>
      </c>
      <c r="I37" s="5" t="n">
        <v>65.7</v>
      </c>
      <c r="J37" s="5" t="n">
        <v>65.7</v>
      </c>
      <c r="K37" s="5" t="n">
        <v>377.44</v>
      </c>
      <c r="L37" s="5" t="n">
        <v>380.27</v>
      </c>
      <c r="M37" s="5" t="n">
        <v>376.29</v>
      </c>
      <c r="N37" s="5" t="n">
        <v>378.13</v>
      </c>
      <c r="O37" s="5" t="n">
        <v>378.13</v>
      </c>
      <c r="P37" s="5" t="n">
        <v>79.73</v>
      </c>
      <c r="Q37" s="5" t="n">
        <v>79.79000000000001</v>
      </c>
      <c r="R37" s="5" t="n">
        <v>79.67</v>
      </c>
      <c r="S37" s="5" t="n">
        <v>79.70999999999999</v>
      </c>
      <c r="T37" s="5" t="n">
        <v>79.3249</v>
      </c>
      <c r="U37" s="5" t="n">
        <v>108.31</v>
      </c>
      <c r="V37" s="5" t="n">
        <v>108.43</v>
      </c>
      <c r="W37" s="5" t="n">
        <v>108.24</v>
      </c>
      <c r="X37" s="5" t="n">
        <v>108.33</v>
      </c>
      <c r="Y37" s="5" t="n">
        <v>107.5409</v>
      </c>
      <c r="Z37" s="5" t="n">
        <v>55.28</v>
      </c>
      <c r="AA37" s="5" t="n">
        <v>55.64</v>
      </c>
      <c r="AB37" s="5" t="n">
        <v>55.01</v>
      </c>
      <c r="AC37" s="5" t="n">
        <v>55.62</v>
      </c>
      <c r="AD37" s="5" t="n">
        <v>55.62</v>
      </c>
      <c r="AE37" s="5" t="n">
        <v>56.94</v>
      </c>
      <c r="AF37" s="5" t="n">
        <v>57.06</v>
      </c>
      <c r="AG37" s="5" t="n">
        <v>56.92</v>
      </c>
      <c r="AH37" s="5" t="n">
        <v>56.95</v>
      </c>
      <c r="AI37" s="5" t="n">
        <v>56.95</v>
      </c>
      <c r="AJ37" s="5" t="n">
        <v>77.70999999999999</v>
      </c>
      <c r="AK37" s="5" t="n">
        <v>79.2</v>
      </c>
      <c r="AL37" s="5" t="n">
        <v>76.78</v>
      </c>
      <c r="AM37" s="5" t="n">
        <v>78.43000000000001</v>
      </c>
      <c r="AN37" s="5" t="n">
        <v>78.43000000000001</v>
      </c>
      <c r="AO37" s="5" t="n">
        <v>109.61</v>
      </c>
      <c r="AP37" s="5" t="n">
        <v>110.01</v>
      </c>
      <c r="AQ37" s="5" t="n">
        <v>108.55</v>
      </c>
      <c r="AR37" s="5" t="n">
        <v>109.6</v>
      </c>
      <c r="AS37" s="5" t="n">
        <v>109.6</v>
      </c>
      <c r="AT37" s="6">
        <f>IF(COUNT(J37:J38)=2,(J37/J38-1)*100,"")</f>
        <v/>
      </c>
      <c r="AU37" s="6">
        <f>IF(COUNT(O37:O38)=2,(O37/O38-1)*100,"")</f>
        <v/>
      </c>
      <c r="AV37" s="6">
        <f>IF(COUNT(T37:T38)=2,(T37/T38-1)*100,"")</f>
        <v/>
      </c>
      <c r="AW37" s="6">
        <f>IF(COUNT(Y37:Y38)=2,(Y37/Y38-1)*100,"")</f>
        <v/>
      </c>
      <c r="AX37" s="6">
        <f>IF(COUNT(AD37:AD38)=2,(AD37/AD38-1)*100,"")</f>
        <v/>
      </c>
      <c r="AY37" s="6">
        <f>IF(COUNT(AI37:AI38)=2,(AI37/AI38-1)*100,"")</f>
        <v/>
      </c>
      <c r="AZ37" s="6">
        <f>IF(COUNT(AN37:AN38)=2,(AN37/AN38-1)*100,"")</f>
        <v/>
      </c>
      <c r="BA37" s="6">
        <f>IF(COUNT(AS37:AS38)=2,(AS37/AS38-1)*100,"")</f>
        <v/>
      </c>
      <c r="BB37" s="5" t="n">
        <v>16.15</v>
      </c>
      <c r="BC37" s="6">
        <f>IF(COUNT(BB37:BB38)=2,(BB37/BB38-1)*100,"")</f>
        <v/>
      </c>
      <c r="BD37" s="6" t="n">
        <v>-2.6522</v>
      </c>
      <c r="BE37" s="6">
        <f>IF(AND(BD37&gt;$BE$12,D37&lt;=$BE$13),D36,"")</f>
        <v/>
      </c>
      <c r="BF37" s="6">
        <f>IF(AND(AV37&lt;$BF$12,AW37&gt;$BF$13),D36,"")</f>
        <v/>
      </c>
      <c r="BG37" s="6">
        <f>IF(AND(AT37&gt;$BG$12,AU37&lt;$BG$13,AV37&gt;$BG$11),D36,"")</f>
        <v/>
      </c>
      <c r="BH37" s="6">
        <f>IF(BE37&lt;&gt;"",BE37,IF(BF37&lt;&gt;"",BF37,BG37))</f>
        <v/>
      </c>
      <c r="BI37" s="6">
        <f>IF(AND(AZ37&gt;$BI$12,BA37&lt;$BI$13),E36,"")</f>
        <v/>
      </c>
      <c r="BJ37" s="6">
        <f>IF(AND(AX37&lt;=$BJ$12,E37&lt;$BJ$13),E36,"")</f>
        <v/>
      </c>
      <c r="BK37" s="6">
        <f>IF(AND(AY37&gt;$BK$12,AZ37&gt;$BK$13),E36,"")</f>
        <v/>
      </c>
      <c r="BL37" s="6">
        <f>IF(BI37&lt;&gt;"",BI37,IF(BJ37&lt;&gt;"",BJ37,BK37))</f>
        <v/>
      </c>
    </row>
    <row r="38">
      <c r="A38" s="5" t="inlineStr">
        <is>
          <t>2026/07/01</t>
        </is>
      </c>
      <c r="B38" s="5" t="n">
        <v>166.74</v>
      </c>
      <c r="C38" s="5" t="n">
        <v>182.68</v>
      </c>
      <c r="D38" s="6">
        <f>IF(COUNT(B38:B39)=2,(B38/B39-1)*100,"")</f>
        <v/>
      </c>
      <c r="E38" s="6">
        <f>IF(COUNT(C38:C39)=2,(C38/C39-1)*100,"")</f>
        <v/>
      </c>
      <c r="F38" s="5" t="n">
        <v>66.91</v>
      </c>
      <c r="G38" s="5" t="n">
        <v>67.45999999999999</v>
      </c>
      <c r="H38" s="5" t="n">
        <v>66.48</v>
      </c>
      <c r="I38" s="5" t="n">
        <v>66.48</v>
      </c>
      <c r="J38" s="5" t="n">
        <v>66.48</v>
      </c>
      <c r="K38" s="5" t="n">
        <v>371.21</v>
      </c>
      <c r="L38" s="5" t="n">
        <v>377.78</v>
      </c>
      <c r="M38" s="5" t="n">
        <v>370.21</v>
      </c>
      <c r="N38" s="5" t="n">
        <v>370.6</v>
      </c>
      <c r="O38" s="5" t="n">
        <v>370.6</v>
      </c>
      <c r="P38" s="5" t="n">
        <v>79.56</v>
      </c>
      <c r="Q38" s="5" t="n">
        <v>79.66</v>
      </c>
      <c r="R38" s="5" t="n">
        <v>79.51000000000001</v>
      </c>
      <c r="S38" s="5" t="n">
        <v>79.59</v>
      </c>
      <c r="T38" s="5" t="n">
        <v>79.2055</v>
      </c>
      <c r="U38" s="5" t="n">
        <v>108.29</v>
      </c>
      <c r="V38" s="5" t="n">
        <v>108.46</v>
      </c>
      <c r="W38" s="5" t="n">
        <v>108.16</v>
      </c>
      <c r="X38" s="5" t="n">
        <v>108.17</v>
      </c>
      <c r="Y38" s="5" t="n">
        <v>107.3821</v>
      </c>
      <c r="Z38" s="5" t="n">
        <v>53.83</v>
      </c>
      <c r="AA38" s="5" t="n">
        <v>55.08</v>
      </c>
      <c r="AB38" s="5" t="n">
        <v>53.75</v>
      </c>
      <c r="AC38" s="5" t="n">
        <v>54.78</v>
      </c>
      <c r="AD38" s="5" t="n">
        <v>54.78</v>
      </c>
      <c r="AE38" s="5" t="n">
        <v>56.41</v>
      </c>
      <c r="AF38" s="5" t="n">
        <v>56.53</v>
      </c>
      <c r="AG38" s="5" t="n">
        <v>56.41</v>
      </c>
      <c r="AH38" s="5" t="n">
        <v>56.43</v>
      </c>
      <c r="AI38" s="5" t="n">
        <v>56.43</v>
      </c>
      <c r="AJ38" s="5" t="n">
        <v>75.43000000000001</v>
      </c>
      <c r="AK38" s="5" t="n">
        <v>78.16</v>
      </c>
      <c r="AL38" s="5" t="n">
        <v>74.98</v>
      </c>
      <c r="AM38" s="5" t="n">
        <v>75.06999999999999</v>
      </c>
      <c r="AN38" s="5" t="n">
        <v>75.06999999999999</v>
      </c>
      <c r="AO38" s="5" t="n">
        <v>109.03</v>
      </c>
      <c r="AP38" s="5" t="n">
        <v>110.84</v>
      </c>
      <c r="AQ38" s="5" t="n">
        <v>108.635</v>
      </c>
      <c r="AR38" s="5" t="n">
        <v>109.74</v>
      </c>
      <c r="AS38" s="5" t="n">
        <v>109.74</v>
      </c>
      <c r="AT38" s="6">
        <f>IF(COUNT(J38:J39)=2,(J38/J39-1)*100,"")</f>
        <v/>
      </c>
      <c r="AU38" s="6">
        <f>IF(COUNT(O38:O39)=2,(O38/O39-1)*100,"")</f>
        <v/>
      </c>
      <c r="AV38" s="6">
        <f>IF(COUNT(T38:T39)=2,(T38/T39-1)*100,"")</f>
        <v/>
      </c>
      <c r="AW38" s="6">
        <f>IF(COUNT(Y38:Y39)=2,(Y38/Y39-1)*100,"")</f>
        <v/>
      </c>
      <c r="AX38" s="6">
        <f>IF(COUNT(AD38:AD39)=2,(AD38/AD39-1)*100,"")</f>
        <v/>
      </c>
      <c r="AY38" s="6">
        <f>IF(COUNT(AI38:AI39)=2,(AI38/AI39-1)*100,"")</f>
        <v/>
      </c>
      <c r="AZ38" s="6">
        <f>IF(COUNT(AN38:AN39)=2,(AN38/AN39-1)*100,"")</f>
        <v/>
      </c>
      <c r="BA38" s="6">
        <f>IF(COUNT(AS38:AS39)=2,(AS38/AS39-1)*100,"")</f>
        <v/>
      </c>
      <c r="BB38" s="5" t="n">
        <v>16.59</v>
      </c>
      <c r="BC38" s="6">
        <f>IF(COUNT(BB38:BB39)=2,(BB38/BB39-1)*100,"")</f>
        <v/>
      </c>
      <c r="BD38" s="6" t="n">
        <v>0.8511</v>
      </c>
      <c r="BE38" s="6">
        <f>IF(AND(BD38&gt;$BE$12,D38&lt;=$BE$13),D37,"")</f>
        <v/>
      </c>
      <c r="BF38" s="6">
        <f>IF(AND(AV38&lt;$BF$12,AW38&gt;$BF$13),D37,"")</f>
        <v/>
      </c>
      <c r="BG38" s="6">
        <f>IF(AND(AT38&gt;$BG$12,AU38&lt;$BG$13,AV38&gt;$BG$11),D37,"")</f>
        <v/>
      </c>
      <c r="BH38" s="6">
        <f>IF(BE38&lt;&gt;"",BE38,IF(BF38&lt;&gt;"",BF38,BG38))</f>
        <v/>
      </c>
      <c r="BI38" s="6">
        <f>IF(AND(AZ38&gt;$BI$12,BA38&lt;$BI$13),E37,"")</f>
        <v/>
      </c>
      <c r="BJ38" s="6">
        <f>IF(AND(AX38&lt;=$BJ$12,E38&lt;$BJ$13),E37,"")</f>
        <v/>
      </c>
      <c r="BK38" s="6">
        <f>IF(AND(AY38&gt;$BK$12,AZ38&gt;$BK$13),E37,"")</f>
        <v/>
      </c>
      <c r="BL38" s="6">
        <f>IF(BI38&lt;&gt;"",BI38,IF(BJ38&lt;&gt;"",BJ38,BK38))</f>
        <v/>
      </c>
    </row>
    <row r="39">
      <c r="A39" s="5" t="inlineStr">
        <is>
          <t>2026/06/30</t>
        </is>
      </c>
      <c r="B39" s="5" t="n">
        <v>172.04</v>
      </c>
      <c r="C39" s="5" t="n">
        <v>183.4</v>
      </c>
      <c r="D39" s="6">
        <f>IF(COUNT(B39:B40)=2,(B39/B40-1)*100,"")</f>
        <v/>
      </c>
      <c r="E39" s="6">
        <f>IF(COUNT(C39:C40)=2,(C39/C40-1)*100,"")</f>
        <v/>
      </c>
      <c r="F39" s="5" t="n">
        <v>67.59</v>
      </c>
      <c r="G39" s="5" t="n">
        <v>68.5</v>
      </c>
      <c r="H39" s="5" t="n">
        <v>67.48</v>
      </c>
      <c r="I39" s="5" t="n">
        <v>68.41</v>
      </c>
      <c r="J39" s="5" t="n">
        <v>68.41</v>
      </c>
      <c r="K39" s="5" t="n">
        <v>369.22</v>
      </c>
      <c r="L39" s="5" t="n">
        <v>372.83</v>
      </c>
      <c r="M39" s="5" t="n">
        <v>368.26</v>
      </c>
      <c r="N39" s="5" t="n">
        <v>368.38</v>
      </c>
      <c r="O39" s="5" t="n">
        <v>368.38</v>
      </c>
      <c r="P39" s="5" t="n">
        <v>80</v>
      </c>
      <c r="Q39" s="5" t="n">
        <v>80.05</v>
      </c>
      <c r="R39" s="5" t="n">
        <v>79.92</v>
      </c>
      <c r="S39" s="5" t="n">
        <v>79.97</v>
      </c>
      <c r="T39" s="5" t="n">
        <v>79.21639999999999</v>
      </c>
      <c r="U39" s="5" t="n">
        <v>109.84</v>
      </c>
      <c r="V39" s="5" t="n">
        <v>109.86</v>
      </c>
      <c r="W39" s="5" t="n">
        <v>109.43</v>
      </c>
      <c r="X39" s="5" t="n">
        <v>109.43</v>
      </c>
      <c r="Y39" s="5" t="n">
        <v>107.5826</v>
      </c>
      <c r="Z39" s="5" t="n">
        <v>53.66</v>
      </c>
      <c r="AA39" s="5" t="n">
        <v>53.85</v>
      </c>
      <c r="AB39" s="5" t="n">
        <v>53.4</v>
      </c>
      <c r="AC39" s="5" t="n">
        <v>53.61</v>
      </c>
      <c r="AD39" s="5" t="n">
        <v>53.61</v>
      </c>
      <c r="AE39" s="5" t="n">
        <v>56.52</v>
      </c>
      <c r="AF39" s="5" t="n">
        <v>56.53</v>
      </c>
      <c r="AG39" s="5" t="n">
        <v>56.4</v>
      </c>
      <c r="AH39" s="5" t="n">
        <v>56.44</v>
      </c>
      <c r="AI39" s="5" t="n">
        <v>56.44</v>
      </c>
      <c r="AJ39" s="5" t="n">
        <v>75.39</v>
      </c>
      <c r="AK39" s="5" t="n">
        <v>75.93000000000001</v>
      </c>
      <c r="AL39" s="5" t="n">
        <v>73.89</v>
      </c>
      <c r="AM39" s="5" t="n">
        <v>75.45</v>
      </c>
      <c r="AN39" s="5" t="n">
        <v>75.45</v>
      </c>
      <c r="AO39" s="5" t="n">
        <v>107.525</v>
      </c>
      <c r="AP39" s="5" t="n">
        <v>107.68</v>
      </c>
      <c r="AQ39" s="5" t="n">
        <v>106.38</v>
      </c>
      <c r="AR39" s="5" t="n">
        <v>107.13</v>
      </c>
      <c r="AS39" s="5" t="n">
        <v>107.13</v>
      </c>
      <c r="AT39" s="6">
        <f>IF(COUNT(J39:J40)=2,(J39/J40-1)*100,"")</f>
        <v/>
      </c>
      <c r="AU39" s="6">
        <f>IF(COUNT(O39:O40)=2,(O39/O40-1)*100,"")</f>
        <v/>
      </c>
      <c r="AV39" s="6">
        <f>IF(COUNT(T39:T40)=2,(T39/T40-1)*100,"")</f>
        <v/>
      </c>
      <c r="AW39" s="6">
        <f>IF(COUNT(Y39:Y40)=2,(Y39/Y40-1)*100,"")</f>
        <v/>
      </c>
      <c r="AX39" s="6">
        <f>IF(COUNT(AD39:AD40)=2,(AD39/AD40-1)*100,"")</f>
        <v/>
      </c>
      <c r="AY39" s="6">
        <f>IF(COUNT(AI39:AI40)=2,(AI39/AI40-1)*100,"")</f>
        <v/>
      </c>
      <c r="AZ39" s="6">
        <f>IF(COUNT(AN39:AN40)=2,(AN39/AN40-1)*100,"")</f>
        <v/>
      </c>
      <c r="BA39" s="6">
        <f>IF(COUNT(AS39:AS40)=2,(AS39/AS40-1)*100,"")</f>
        <v/>
      </c>
      <c r="BB39" s="5" t="n">
        <v>16.45</v>
      </c>
      <c r="BC39" s="6">
        <f>IF(COUNT(BB39:BB40)=2,(BB39/BB40-1)*100,"")</f>
        <v/>
      </c>
      <c r="BD39" s="6" t="n">
        <v>-6.7989</v>
      </c>
      <c r="BE39" s="6">
        <f>IF(AND(BD39&gt;$BE$12,D39&lt;=$BE$13),D38,"")</f>
        <v/>
      </c>
      <c r="BF39" s="6">
        <f>IF(AND(AV39&lt;$BF$12,AW39&gt;$BF$13),D38,"")</f>
        <v/>
      </c>
      <c r="BG39" s="6">
        <f>IF(AND(AT39&gt;$BG$12,AU39&lt;$BG$13,AV39&gt;$BG$11),D38,"")</f>
        <v/>
      </c>
      <c r="BH39" s="6">
        <f>IF(BE39&lt;&gt;"",BE39,IF(BF39&lt;&gt;"",BF39,BG39))</f>
        <v/>
      </c>
      <c r="BI39" s="6">
        <f>IF(AND(AZ39&gt;$BI$12,BA39&lt;$BI$13),E38,"")</f>
        <v/>
      </c>
      <c r="BJ39" s="6">
        <f>IF(AND(AX39&lt;=$BJ$12,E39&lt;$BJ$13),E38,"")</f>
        <v/>
      </c>
      <c r="BK39" s="6">
        <f>IF(AND(AY39&gt;$BK$12,AZ39&gt;$BK$13),E38,"")</f>
        <v/>
      </c>
      <c r="BL39" s="6">
        <f>IF(BI39&lt;&gt;"",BI39,IF(BJ39&lt;&gt;"",BJ39,BK39))</f>
        <v/>
      </c>
    </row>
    <row r="40">
      <c r="A40" s="5" t="inlineStr">
        <is>
          <t>2026/06/29</t>
        </is>
      </c>
      <c r="B40" s="5" t="n">
        <v>166.43</v>
      </c>
      <c r="C40" s="5" t="n">
        <v>180.59</v>
      </c>
      <c r="D40" s="6">
        <f>IF(COUNT(B40:B41)=2,(B40/B41-1)*100,"")</f>
        <v/>
      </c>
      <c r="E40" s="6">
        <f>IF(COUNT(C40:C41)=2,(C40/C41-1)*100,"")</f>
        <v/>
      </c>
      <c r="F40" s="5" t="n">
        <v>66.98999999999999</v>
      </c>
      <c r="G40" s="5" t="n">
        <v>67.45999999999999</v>
      </c>
      <c r="H40" s="5" t="n">
        <v>66</v>
      </c>
      <c r="I40" s="5" t="n">
        <v>67.43000000000001</v>
      </c>
      <c r="J40" s="5" t="n">
        <v>67.43000000000001</v>
      </c>
      <c r="K40" s="5" t="n">
        <v>370.58</v>
      </c>
      <c r="L40" s="5" t="n">
        <v>371.19</v>
      </c>
      <c r="M40" s="5" t="n">
        <v>366.97</v>
      </c>
      <c r="N40" s="5" t="n">
        <v>368.58</v>
      </c>
      <c r="O40" s="5" t="n">
        <v>368.58</v>
      </c>
      <c r="P40" s="5" t="n">
        <v>79.95</v>
      </c>
      <c r="Q40" s="5" t="n">
        <v>80.03</v>
      </c>
      <c r="R40" s="5" t="n">
        <v>79.84999999999999</v>
      </c>
      <c r="S40" s="5" t="n">
        <v>80.01000000000001</v>
      </c>
      <c r="T40" s="5" t="n">
        <v>79.256</v>
      </c>
      <c r="U40" s="5" t="n">
        <v>109.78</v>
      </c>
      <c r="V40" s="5" t="n">
        <v>109.91</v>
      </c>
      <c r="W40" s="5" t="n">
        <v>109.78</v>
      </c>
      <c r="X40" s="5" t="n">
        <v>109.9</v>
      </c>
      <c r="Y40" s="5" t="n">
        <v>108.0447</v>
      </c>
      <c r="Z40" s="5" t="n">
        <v>53.7</v>
      </c>
      <c r="AA40" s="5" t="n">
        <v>54.03</v>
      </c>
      <c r="AB40" s="5" t="n">
        <v>53.68</v>
      </c>
      <c r="AC40" s="5" t="n">
        <v>53.72</v>
      </c>
      <c r="AD40" s="5" t="n">
        <v>53.72</v>
      </c>
      <c r="AE40" s="5" t="n">
        <v>56.67</v>
      </c>
      <c r="AF40" s="5" t="n">
        <v>56.68</v>
      </c>
      <c r="AG40" s="5" t="n">
        <v>56.64</v>
      </c>
      <c r="AH40" s="5" t="n">
        <v>56.66</v>
      </c>
      <c r="AI40" s="5" t="n">
        <v>56.66</v>
      </c>
      <c r="AJ40" s="5" t="n">
        <v>76.13</v>
      </c>
      <c r="AK40" s="5" t="n">
        <v>76.2</v>
      </c>
      <c r="AL40" s="5" t="n">
        <v>74.59</v>
      </c>
      <c r="AM40" s="5" t="n">
        <v>75.68000000000001</v>
      </c>
      <c r="AN40" s="5" t="n">
        <v>75.68000000000001</v>
      </c>
      <c r="AO40" s="5" t="n">
        <v>108.3</v>
      </c>
      <c r="AP40" s="5" t="n">
        <v>108.51</v>
      </c>
      <c r="AQ40" s="5" t="n">
        <v>107.67</v>
      </c>
      <c r="AR40" s="5" t="n">
        <v>107.88</v>
      </c>
      <c r="AS40" s="5" t="n">
        <v>107.88</v>
      </c>
      <c r="AT40" s="6">
        <f>IF(COUNT(J40:J41)=2,(J40/J41-1)*100,"")</f>
        <v/>
      </c>
      <c r="AU40" s="6">
        <f>IF(COUNT(O40:O41)=2,(O40/O41-1)*100,"")</f>
        <v/>
      </c>
      <c r="AV40" s="6">
        <f>IF(COUNT(T40:T41)=2,(T40/T41-1)*100,"")</f>
        <v/>
      </c>
      <c r="AW40" s="6">
        <f>IF(COUNT(Y40:Y41)=2,(Y40/Y41-1)*100,"")</f>
        <v/>
      </c>
      <c r="AX40" s="6">
        <f>IF(COUNT(AD40:AD41)=2,(AD40/AD41-1)*100,"")</f>
        <v/>
      </c>
      <c r="AY40" s="6">
        <f>IF(COUNT(AI40:AI41)=2,(AI40/AI41-1)*100,"")</f>
        <v/>
      </c>
      <c r="AZ40" s="6">
        <f>IF(COUNT(AN40:AN41)=2,(AN40/AN41-1)*100,"")</f>
        <v/>
      </c>
      <c r="BA40" s="6">
        <f>IF(COUNT(AS40:AS41)=2,(AS40/AS41-1)*100,"")</f>
        <v/>
      </c>
      <c r="BB40" s="5" t="n">
        <v>17.65</v>
      </c>
      <c r="BC40" s="6">
        <f>IF(COUNT(BB40:BB41)=2,(BB40/BB41-1)*100,"")</f>
        <v/>
      </c>
      <c r="BD40" s="6" t="n">
        <v>-4.1282</v>
      </c>
      <c r="BE40" s="6">
        <f>IF(AND(BD40&gt;$BE$12,D40&lt;=$BE$13),D39,"")</f>
        <v/>
      </c>
      <c r="BF40" s="6">
        <f>IF(AND(AV40&lt;$BF$12,AW40&gt;$BF$13),D39,"")</f>
        <v/>
      </c>
      <c r="BG40" s="6">
        <f>IF(AND(AT40&gt;$BG$12,AU40&lt;$BG$13,AV40&gt;$BG$11),D39,"")</f>
        <v/>
      </c>
      <c r="BH40" s="6">
        <f>IF(BE40&lt;&gt;"",BE40,IF(BF40&lt;&gt;"",BF40,BG40))</f>
        <v/>
      </c>
      <c r="BI40" s="6">
        <f>IF(AND(AZ40&gt;$BI$12,BA40&lt;$BI$13),E39,"")</f>
        <v/>
      </c>
      <c r="BJ40" s="6">
        <f>IF(AND(AX40&lt;=$BJ$12,E40&lt;$BJ$13),E39,"")</f>
        <v/>
      </c>
      <c r="BK40" s="6">
        <f>IF(AND(AY40&gt;$BK$12,AZ40&gt;$BK$13),E39,"")</f>
        <v/>
      </c>
      <c r="BL40" s="6">
        <f>IF(BI40&lt;&gt;"",BI40,IF(BJ40&lt;&gt;"",BJ40,BK40))</f>
        <v/>
      </c>
    </row>
    <row r="41">
      <c r="A41" s="5" t="inlineStr">
        <is>
          <t>2026/06/26</t>
        </is>
      </c>
      <c r="B41" s="5" t="n">
        <v>159.19</v>
      </c>
      <c r="C41" s="5" t="n">
        <v>176.27</v>
      </c>
      <c r="D41" s="6">
        <f>IF(COUNT(B41:B42)=2,(B41/B42-1)*100,"")</f>
        <v/>
      </c>
      <c r="E41" s="6">
        <f>IF(COUNT(C41:C42)=2,(C41/C42-1)*100,"")</f>
        <v/>
      </c>
      <c r="F41" s="5" t="n">
        <v>66.34</v>
      </c>
      <c r="G41" s="5" t="n">
        <v>67.72</v>
      </c>
      <c r="H41" s="5" t="n">
        <v>66.27</v>
      </c>
      <c r="I41" s="5" t="n">
        <v>67.19</v>
      </c>
      <c r="J41" s="5" t="n">
        <v>67.19</v>
      </c>
      <c r="K41" s="5" t="n">
        <v>372.27</v>
      </c>
      <c r="L41" s="5" t="n">
        <v>375.85</v>
      </c>
      <c r="M41" s="5" t="n">
        <v>371.18</v>
      </c>
      <c r="N41" s="5" t="n">
        <v>373.63</v>
      </c>
      <c r="O41" s="5" t="n">
        <v>373.63</v>
      </c>
      <c r="P41" s="5" t="n">
        <v>79.81999999999999</v>
      </c>
      <c r="Q41" s="5" t="n">
        <v>79.95</v>
      </c>
      <c r="R41" s="5" t="n">
        <v>79.81</v>
      </c>
      <c r="S41" s="5" t="n">
        <v>79.83</v>
      </c>
      <c r="T41" s="5" t="n">
        <v>79.07769999999999</v>
      </c>
      <c r="U41" s="5" t="n">
        <v>109.55</v>
      </c>
      <c r="V41" s="5" t="n">
        <v>109.75</v>
      </c>
      <c r="W41" s="5" t="n">
        <v>109.53</v>
      </c>
      <c r="X41" s="5" t="n">
        <v>109.7</v>
      </c>
      <c r="Y41" s="5" t="n">
        <v>107.848</v>
      </c>
      <c r="Z41" s="5" t="n">
        <v>53.56</v>
      </c>
      <c r="AA41" s="5" t="n">
        <v>53.94</v>
      </c>
      <c r="AB41" s="5" t="n">
        <v>53.2</v>
      </c>
      <c r="AC41" s="5" t="n">
        <v>53.57</v>
      </c>
      <c r="AD41" s="5" t="n">
        <v>53.57</v>
      </c>
      <c r="AE41" s="5" t="n">
        <v>56.76</v>
      </c>
      <c r="AF41" s="5" t="n">
        <v>56.78</v>
      </c>
      <c r="AG41" s="5" t="n">
        <v>56.7</v>
      </c>
      <c r="AH41" s="5" t="n">
        <v>56.71</v>
      </c>
      <c r="AI41" s="5" t="n">
        <v>56.71</v>
      </c>
      <c r="AJ41" s="5" t="n">
        <v>76.66</v>
      </c>
      <c r="AK41" s="5" t="n">
        <v>78.48999999999999</v>
      </c>
      <c r="AL41" s="5" t="n">
        <v>76.19</v>
      </c>
      <c r="AM41" s="5" t="n">
        <v>77</v>
      </c>
      <c r="AN41" s="5" t="n">
        <v>77</v>
      </c>
      <c r="AO41" s="5" t="n">
        <v>105.66</v>
      </c>
      <c r="AP41" s="5" t="n">
        <v>107.25</v>
      </c>
      <c r="AQ41" s="5" t="n">
        <v>105.36</v>
      </c>
      <c r="AR41" s="5" t="n">
        <v>106.18</v>
      </c>
      <c r="AS41" s="5" t="n">
        <v>106.18</v>
      </c>
      <c r="AT41" s="6">
        <f>IF(COUNT(J41:J42)=2,(J41/J42-1)*100,"")</f>
        <v/>
      </c>
      <c r="AU41" s="6">
        <f>IF(COUNT(O41:O42)=2,(O41/O42-1)*100,"")</f>
        <v/>
      </c>
      <c r="AV41" s="6">
        <f>IF(COUNT(T41:T42)=2,(T41/T42-1)*100,"")</f>
        <v/>
      </c>
      <c r="AW41" s="6">
        <f>IF(COUNT(Y41:Y42)=2,(Y41/Y42-1)*100,"")</f>
        <v/>
      </c>
      <c r="AX41" s="6">
        <f>IF(COUNT(AD41:AD42)=2,(AD41/AD42-1)*100,"")</f>
        <v/>
      </c>
      <c r="AY41" s="6">
        <f>IF(COUNT(AI41:AI42)=2,(AI41/AI42-1)*100,"")</f>
        <v/>
      </c>
      <c r="AZ41" s="6">
        <f>IF(COUNT(AN41:AN42)=2,(AN41/AN42-1)*100,"")</f>
        <v/>
      </c>
      <c r="BA41" s="6">
        <f>IF(COUNT(AS41:AS42)=2,(AS41/AS42-1)*100,"")</f>
        <v/>
      </c>
      <c r="BB41" s="5" t="n">
        <v>18.41</v>
      </c>
      <c r="BC41" s="6">
        <f>IF(COUNT(BB41:BB42)=2,(BB41/BB42-1)*100,"")</f>
        <v/>
      </c>
      <c r="BD41" s="6" t="n">
        <v>-2.541</v>
      </c>
      <c r="BE41" s="6">
        <f>IF(AND(BD41&gt;$BE$12,D41&lt;=$BE$13),D40,"")</f>
        <v/>
      </c>
      <c r="BF41" s="6">
        <f>IF(AND(AV41&lt;$BF$12,AW41&gt;$BF$13),D40,"")</f>
        <v/>
      </c>
      <c r="BG41" s="6">
        <f>IF(AND(AT41&gt;$BG$12,AU41&lt;$BG$13,AV41&gt;$BG$11),D40,"")</f>
        <v/>
      </c>
      <c r="BH41" s="6">
        <f>IF(BE41&lt;&gt;"",BE41,IF(BF41&lt;&gt;"",BF41,BG41))</f>
        <v/>
      </c>
      <c r="BI41" s="6">
        <f>IF(AND(AZ41&gt;$BI$12,BA41&lt;$BI$13),E40,"")</f>
        <v/>
      </c>
      <c r="BJ41" s="6">
        <f>IF(AND(AX41&lt;=$BJ$12,E41&lt;$BJ$13),E40,"")</f>
        <v/>
      </c>
      <c r="BK41" s="6">
        <f>IF(AND(AY41&gt;$BK$12,AZ41&gt;$BK$13),E40,"")</f>
        <v/>
      </c>
      <c r="BL41" s="6">
        <f>IF(BI41&lt;&gt;"",BI41,IF(BJ41&lt;&gt;"",BJ41,BK41))</f>
        <v/>
      </c>
    </row>
    <row r="42">
      <c r="A42" s="5" t="inlineStr">
        <is>
          <t>2026/06/25</t>
        </is>
      </c>
      <c r="B42" s="5" t="n">
        <v>162.93</v>
      </c>
      <c r="C42" s="5" t="n">
        <v>176.82</v>
      </c>
      <c r="D42" s="6">
        <f>IF(COUNT(B42:B43)=2,(B42/B43-1)*100,"")</f>
        <v/>
      </c>
      <c r="E42" s="6">
        <f>IF(COUNT(C42:C43)=2,(C42/C43-1)*100,"")</f>
        <v/>
      </c>
      <c r="F42" s="5" t="n">
        <v>68.91</v>
      </c>
      <c r="G42" s="5" t="n">
        <v>68.98999999999999</v>
      </c>
      <c r="H42" s="5" t="n">
        <v>67.27</v>
      </c>
      <c r="I42" s="5" t="n">
        <v>67.95999999999999</v>
      </c>
      <c r="J42" s="5" t="n">
        <v>67.95999999999999</v>
      </c>
      <c r="K42" s="5" t="n">
        <v>368.99</v>
      </c>
      <c r="L42" s="5" t="n">
        <v>371.04</v>
      </c>
      <c r="M42" s="5" t="n">
        <v>366.8</v>
      </c>
      <c r="N42" s="5" t="n">
        <v>369.46</v>
      </c>
      <c r="O42" s="5" t="n">
        <v>369.46</v>
      </c>
      <c r="P42" s="5" t="n">
        <v>79.92</v>
      </c>
      <c r="Q42" s="5" t="n">
        <v>79.98</v>
      </c>
      <c r="R42" s="5" t="n">
        <v>79.81999999999999</v>
      </c>
      <c r="S42" s="5" t="n">
        <v>79.88</v>
      </c>
      <c r="T42" s="5" t="n">
        <v>79.12730000000001</v>
      </c>
      <c r="U42" s="5" t="n">
        <v>109.57</v>
      </c>
      <c r="V42" s="5" t="n">
        <v>109.76</v>
      </c>
      <c r="W42" s="5" t="n">
        <v>109.49</v>
      </c>
      <c r="X42" s="5" t="n">
        <v>109.5</v>
      </c>
      <c r="Y42" s="5" t="n">
        <v>107.6514</v>
      </c>
      <c r="Z42" s="5" t="n">
        <v>53.92</v>
      </c>
      <c r="AA42" s="5" t="n">
        <v>54.68</v>
      </c>
      <c r="AB42" s="5" t="n">
        <v>53.4</v>
      </c>
      <c r="AC42" s="5" t="n">
        <v>53.45</v>
      </c>
      <c r="AD42" s="5" t="n">
        <v>53.45</v>
      </c>
      <c r="AE42" s="5" t="n">
        <v>56.71</v>
      </c>
      <c r="AF42" s="5" t="n">
        <v>56.76</v>
      </c>
      <c r="AG42" s="5" t="n">
        <v>56.68</v>
      </c>
      <c r="AH42" s="5" t="n">
        <v>56.69</v>
      </c>
      <c r="AI42" s="5" t="n">
        <v>56.69</v>
      </c>
      <c r="AJ42" s="5" t="n">
        <v>76.48999999999999</v>
      </c>
      <c r="AK42" s="5" t="n">
        <v>76.93000000000001</v>
      </c>
      <c r="AL42" s="5" t="n">
        <v>74.53</v>
      </c>
      <c r="AM42" s="5" t="n">
        <v>75.67</v>
      </c>
      <c r="AN42" s="5" t="n">
        <v>75.67</v>
      </c>
      <c r="AO42" s="5" t="n">
        <v>105.68</v>
      </c>
      <c r="AP42" s="5" t="n">
        <v>106.63</v>
      </c>
      <c r="AQ42" s="5" t="n">
        <v>105.03</v>
      </c>
      <c r="AR42" s="5" t="n">
        <v>105.58</v>
      </c>
      <c r="AS42" s="5" t="n">
        <v>105.58</v>
      </c>
      <c r="AT42" s="6">
        <f>IF(COUNT(J42:J43)=2,(J42/J43-1)*100,"")</f>
        <v/>
      </c>
      <c r="AU42" s="6">
        <f>IF(COUNT(O42:O43)=2,(O42/O43-1)*100,"")</f>
        <v/>
      </c>
      <c r="AV42" s="6">
        <f>IF(COUNT(T42:T43)=2,(T42/T43-1)*100,"")</f>
        <v/>
      </c>
      <c r="AW42" s="6">
        <f>IF(COUNT(Y42:Y43)=2,(Y42/Y43-1)*100,"")</f>
        <v/>
      </c>
      <c r="AX42" s="6">
        <f>IF(COUNT(AD42:AD43)=2,(AD42/AD43-1)*100,"")</f>
        <v/>
      </c>
      <c r="AY42" s="6">
        <f>IF(COUNT(AI42:AI43)=2,(AI42/AI43-1)*100,"")</f>
        <v/>
      </c>
      <c r="AZ42" s="6">
        <f>IF(COUNT(AN42:AN43)=2,(AN42/AN43-1)*100,"")</f>
        <v/>
      </c>
      <c r="BA42" s="6">
        <f>IF(COUNT(AS42:AS43)=2,(AS42/AS43-1)*100,"")</f>
        <v/>
      </c>
      <c r="BB42" s="5" t="n">
        <v>18.89</v>
      </c>
      <c r="BC42" s="6">
        <f>IF(COUNT(BB42:BB43)=2,(BB42/BB43-1)*100,"")</f>
        <v/>
      </c>
      <c r="BD42" s="6" t="n">
        <v>1.3956</v>
      </c>
      <c r="BE42" s="6">
        <f>IF(AND(BD42&gt;$BE$12,D42&lt;=$BE$13),D41,"")</f>
        <v/>
      </c>
      <c r="BF42" s="6">
        <f>IF(AND(AV42&lt;$BF$12,AW42&gt;$BF$13),D41,"")</f>
        <v/>
      </c>
      <c r="BG42" s="6">
        <f>IF(AND(AT42&gt;$BG$12,AU42&lt;$BG$13,AV42&gt;$BG$11),D41,"")</f>
        <v/>
      </c>
      <c r="BH42" s="6">
        <f>IF(BE42&lt;&gt;"",BE42,IF(BF42&lt;&gt;"",BF42,BG42))</f>
        <v/>
      </c>
      <c r="BI42" s="6">
        <f>IF(AND(AZ42&gt;$BI$12,BA42&lt;$BI$13),E41,"")</f>
        <v/>
      </c>
      <c r="BJ42" s="6">
        <f>IF(AND(AX42&lt;=$BJ$12,E42&lt;$BJ$13),E41,"")</f>
        <v/>
      </c>
      <c r="BK42" s="6">
        <f>IF(AND(AY42&gt;$BK$12,AZ42&gt;$BK$13),E41,"")</f>
        <v/>
      </c>
      <c r="BL42" s="6">
        <f>IF(BI42&lt;&gt;"",BI42,IF(BJ42&lt;&gt;"",BJ42,BK42))</f>
        <v/>
      </c>
    </row>
    <row r="43">
      <c r="A43" s="5" t="inlineStr">
        <is>
          <t>2026/06/24</t>
        </is>
      </c>
      <c r="B43" s="5" t="n">
        <v>160.52</v>
      </c>
      <c r="C43" s="5" t="n">
        <v>176.82</v>
      </c>
      <c r="D43" s="6">
        <f>IF(COUNT(B43:B44)=2,(B43/B44-1)*100,"")</f>
        <v/>
      </c>
      <c r="E43" s="6">
        <f>IF(COUNT(C43:C44)=2,(C43/C44-1)*100,"")</f>
        <v/>
      </c>
      <c r="F43" s="5" t="n">
        <v>67.38</v>
      </c>
      <c r="G43" s="5" t="n">
        <v>67.61</v>
      </c>
      <c r="H43" s="5" t="n">
        <v>66.59999999999999</v>
      </c>
      <c r="I43" s="5" t="n">
        <v>67.25</v>
      </c>
      <c r="J43" s="5" t="n">
        <v>67.25</v>
      </c>
      <c r="K43" s="5" t="n">
        <v>364.81</v>
      </c>
      <c r="L43" s="5" t="n">
        <v>370.9</v>
      </c>
      <c r="M43" s="5" t="n">
        <v>363.32</v>
      </c>
      <c r="N43" s="5" t="n">
        <v>365.92</v>
      </c>
      <c r="O43" s="5" t="n">
        <v>365.92</v>
      </c>
      <c r="P43" s="5" t="n">
        <v>79.94</v>
      </c>
      <c r="Q43" s="5" t="n">
        <v>79.98999999999999</v>
      </c>
      <c r="R43" s="5" t="n">
        <v>79.84</v>
      </c>
      <c r="S43" s="5" t="n">
        <v>79.84999999999999</v>
      </c>
      <c r="T43" s="5" t="n">
        <v>79.0975</v>
      </c>
      <c r="U43" s="5" t="n">
        <v>109.12</v>
      </c>
      <c r="V43" s="5" t="n">
        <v>109.34</v>
      </c>
      <c r="W43" s="5" t="n">
        <v>109.05</v>
      </c>
      <c r="X43" s="5" t="n">
        <v>109.32</v>
      </c>
      <c r="Y43" s="5" t="n">
        <v>107.4744</v>
      </c>
      <c r="Z43" s="5" t="n">
        <v>53.86</v>
      </c>
      <c r="AA43" s="5" t="n">
        <v>54.1</v>
      </c>
      <c r="AB43" s="5" t="n">
        <v>53.54</v>
      </c>
      <c r="AC43" s="5" t="n">
        <v>53.72</v>
      </c>
      <c r="AD43" s="5" t="n">
        <v>53.72</v>
      </c>
      <c r="AE43" s="5" t="n">
        <v>56.74</v>
      </c>
      <c r="AF43" s="5" t="n">
        <v>56.74</v>
      </c>
      <c r="AG43" s="5" t="n">
        <v>56.69</v>
      </c>
      <c r="AH43" s="5" t="n">
        <v>56.7</v>
      </c>
      <c r="AI43" s="5" t="n">
        <v>56.7</v>
      </c>
      <c r="AJ43" s="5" t="n">
        <v>74.19</v>
      </c>
      <c r="AK43" s="5" t="n">
        <v>76.40000000000001</v>
      </c>
      <c r="AL43" s="5" t="n">
        <v>73.7</v>
      </c>
      <c r="AM43" s="5" t="n">
        <v>74.59</v>
      </c>
      <c r="AN43" s="5" t="n">
        <v>74.59</v>
      </c>
      <c r="AO43" s="5" t="n">
        <v>107.525</v>
      </c>
      <c r="AP43" s="5" t="n">
        <v>108.085</v>
      </c>
      <c r="AQ43" s="5" t="n">
        <v>106.45</v>
      </c>
      <c r="AR43" s="5" t="n">
        <v>106.54</v>
      </c>
      <c r="AS43" s="5" t="n">
        <v>106.54</v>
      </c>
      <c r="AT43" s="6">
        <f>IF(COUNT(J43:J44)=2,(J43/J44-1)*100,"")</f>
        <v/>
      </c>
      <c r="AU43" s="6">
        <f>IF(COUNT(O43:O44)=2,(O43/O44-1)*100,"")</f>
        <v/>
      </c>
      <c r="AV43" s="6">
        <f>IF(COUNT(T43:T44)=2,(T43/T44-1)*100,"")</f>
        <v/>
      </c>
      <c r="AW43" s="6">
        <f>IF(COUNT(Y43:Y44)=2,(Y43/Y44-1)*100,"")</f>
        <v/>
      </c>
      <c r="AX43" s="6">
        <f>IF(COUNT(AD43:AD44)=2,(AD43/AD44-1)*100,"")</f>
        <v/>
      </c>
      <c r="AY43" s="6">
        <f>IF(COUNT(AI43:AI44)=2,(AI43/AI44-1)*100,"")</f>
        <v/>
      </c>
      <c r="AZ43" s="6">
        <f>IF(COUNT(AN43:AN44)=2,(AN43/AN44-1)*100,"")</f>
        <v/>
      </c>
      <c r="BA43" s="6">
        <f>IF(COUNT(AS43:AS44)=2,(AS43/AS44-1)*100,"")</f>
        <v/>
      </c>
      <c r="BB43" s="5" t="n">
        <v>18.63</v>
      </c>
      <c r="BC43" s="6">
        <f>IF(COUNT(BB43:BB44)=2,(BB43/BB44-1)*100,"")</f>
        <v/>
      </c>
      <c r="BD43" s="6" t="n">
        <v>-4.4125</v>
      </c>
      <c r="BE43" s="6">
        <f>IF(AND(BD43&gt;$BE$12,D43&lt;=$BE$13),D42,"")</f>
        <v/>
      </c>
      <c r="BF43" s="6">
        <f>IF(AND(AV43&lt;$BF$12,AW43&gt;$BF$13),D42,"")</f>
        <v/>
      </c>
      <c r="BG43" s="6">
        <f>IF(AND(AT43&gt;$BG$12,AU43&lt;$BG$13,AV43&gt;$BG$11),D42,"")</f>
        <v/>
      </c>
      <c r="BH43" s="6">
        <f>IF(BE43&lt;&gt;"",BE43,IF(BF43&lt;&gt;"",BF43,BG43))</f>
        <v/>
      </c>
      <c r="BI43" s="6">
        <f>IF(AND(AZ43&gt;$BI$12,BA43&lt;$BI$13),E42,"")</f>
        <v/>
      </c>
      <c r="BJ43" s="6">
        <f>IF(AND(AX43&lt;=$BJ$12,E43&lt;$BJ$13),E42,"")</f>
        <v/>
      </c>
      <c r="BK43" s="6">
        <f>IF(AND(AY43&gt;$BK$12,AZ43&gt;$BK$13),E42,"")</f>
        <v/>
      </c>
      <c r="BL43" s="6">
        <f>IF(BI43&lt;&gt;"",BI43,IF(BJ43&lt;&gt;"",BJ43,BK43))</f>
        <v/>
      </c>
    </row>
    <row r="44">
      <c r="A44" s="5" t="inlineStr">
        <is>
          <t>2026/06/23</t>
        </is>
      </c>
      <c r="B44" s="5" t="n">
        <v>161.96</v>
      </c>
      <c r="C44" s="5" t="n">
        <v>177.18</v>
      </c>
      <c r="D44" s="6">
        <f>IF(COUNT(B44:B45)=2,(B44/B45-1)*100,"")</f>
        <v/>
      </c>
      <c r="E44" s="6">
        <f>IF(COUNT(C44:C45)=2,(C44/C45-1)*100,"")</f>
        <v/>
      </c>
      <c r="F44" s="5" t="n">
        <v>67.25</v>
      </c>
      <c r="G44" s="5" t="n">
        <v>68.23</v>
      </c>
      <c r="H44" s="5" t="n">
        <v>67.06999999999999</v>
      </c>
      <c r="I44" s="5" t="n">
        <v>67.17</v>
      </c>
      <c r="J44" s="5" t="n">
        <v>67.17</v>
      </c>
      <c r="K44" s="5" t="n">
        <v>377.72</v>
      </c>
      <c r="L44" s="5" t="n">
        <v>380.35</v>
      </c>
      <c r="M44" s="5" t="n">
        <v>377.17</v>
      </c>
      <c r="N44" s="5" t="n">
        <v>377.32</v>
      </c>
      <c r="O44" s="5" t="n">
        <v>377.32</v>
      </c>
      <c r="P44" s="5" t="n">
        <v>79.83</v>
      </c>
      <c r="Q44" s="5" t="n">
        <v>79.97</v>
      </c>
      <c r="R44" s="5" t="n">
        <v>79.81999999999999</v>
      </c>
      <c r="S44" s="5" t="n">
        <v>79.87</v>
      </c>
      <c r="T44" s="5" t="n">
        <v>79.1174</v>
      </c>
      <c r="U44" s="5" t="n">
        <v>108.94</v>
      </c>
      <c r="V44" s="5" t="n">
        <v>109.05</v>
      </c>
      <c r="W44" s="5" t="n">
        <v>108.88</v>
      </c>
      <c r="X44" s="5" t="n">
        <v>108.9</v>
      </c>
      <c r="Y44" s="5" t="n">
        <v>107.0615</v>
      </c>
      <c r="Z44" s="5" t="n">
        <v>53.63</v>
      </c>
      <c r="AA44" s="5" t="n">
        <v>54.03</v>
      </c>
      <c r="AB44" s="5" t="n">
        <v>53.49</v>
      </c>
      <c r="AC44" s="5" t="n">
        <v>53.88</v>
      </c>
      <c r="AD44" s="5" t="n">
        <v>53.88</v>
      </c>
      <c r="AE44" s="5" t="n">
        <v>56.8</v>
      </c>
      <c r="AF44" s="5" t="n">
        <v>56.82</v>
      </c>
      <c r="AG44" s="5" t="n">
        <v>56.77</v>
      </c>
      <c r="AH44" s="5" t="n">
        <v>56.8</v>
      </c>
      <c r="AI44" s="5" t="n">
        <v>56.8</v>
      </c>
      <c r="AJ44" s="5" t="n">
        <v>77.78</v>
      </c>
      <c r="AK44" s="5" t="n">
        <v>79.22</v>
      </c>
      <c r="AL44" s="5" t="n">
        <v>77.25</v>
      </c>
      <c r="AM44" s="5" t="n">
        <v>77.66</v>
      </c>
      <c r="AN44" s="5" t="n">
        <v>77.66</v>
      </c>
      <c r="AO44" s="5" t="n">
        <v>106.52</v>
      </c>
      <c r="AP44" s="5" t="n">
        <v>107.645</v>
      </c>
      <c r="AQ44" s="5" t="n">
        <v>106.39</v>
      </c>
      <c r="AR44" s="5" t="n">
        <v>107.27</v>
      </c>
      <c r="AS44" s="5" t="n">
        <v>107.27</v>
      </c>
      <c r="AT44" s="6">
        <f>IF(COUNT(J44:J45)=2,(J44/J45-1)*100,"")</f>
        <v/>
      </c>
      <c r="AU44" s="6">
        <f>IF(COUNT(O44:O45)=2,(O44/O45-1)*100,"")</f>
        <v/>
      </c>
      <c r="AV44" s="6">
        <f>IF(COUNT(T44:T45)=2,(T44/T45-1)*100,"")</f>
        <v/>
      </c>
      <c r="AW44" s="6">
        <f>IF(COUNT(Y44:Y45)=2,(Y44/Y45-1)*100,"")</f>
        <v/>
      </c>
      <c r="AX44" s="6">
        <f>IF(COUNT(AD44:AD45)=2,(AD44/AD45-1)*100,"")</f>
        <v/>
      </c>
      <c r="AY44" s="6">
        <f>IF(COUNT(AI44:AI45)=2,(AI44/AI45-1)*100,"")</f>
        <v/>
      </c>
      <c r="AZ44" s="6">
        <f>IF(COUNT(AN44:AN45)=2,(AN44/AN45-1)*100,"")</f>
        <v/>
      </c>
      <c r="BA44" s="6">
        <f>IF(COUNT(AS44:AS45)=2,(AS44/AS45-1)*100,"")</f>
        <v/>
      </c>
      <c r="BB44" s="5" t="n">
        <v>19.49</v>
      </c>
      <c r="BC44" s="6">
        <f>IF(COUNT(BB44:BB45)=2,(BB44/BB45-1)*100,"")</f>
        <v/>
      </c>
      <c r="BD44" s="6" t="n">
        <v>12.7894</v>
      </c>
      <c r="BE44" s="6">
        <f>IF(AND(BD44&gt;$BE$12,D44&lt;=$BE$13),D43,"")</f>
        <v/>
      </c>
      <c r="BF44" s="6">
        <f>IF(AND(AV44&lt;$BF$12,AW44&gt;$BF$13),D43,"")</f>
        <v/>
      </c>
      <c r="BG44" s="6">
        <f>IF(AND(AT44&gt;$BG$12,AU44&lt;$BG$13,AV44&gt;$BG$11),D43,"")</f>
        <v/>
      </c>
      <c r="BH44" s="6">
        <f>IF(BE44&lt;&gt;"",BE44,IF(BF44&lt;&gt;"",BF44,BG44))</f>
        <v/>
      </c>
      <c r="BI44" s="6">
        <f>IF(AND(AZ44&gt;$BI$12,BA44&lt;$BI$13),E43,"")</f>
        <v/>
      </c>
      <c r="BJ44" s="6">
        <f>IF(AND(AX44&lt;=$BJ$12,E44&lt;$BJ$13),E43,"")</f>
        <v/>
      </c>
      <c r="BK44" s="6">
        <f>IF(AND(AY44&gt;$BK$12,AZ44&gt;$BK$13),E43,"")</f>
        <v/>
      </c>
      <c r="BL44" s="6">
        <f>IF(BI44&lt;&gt;"",BI44,IF(BJ44&lt;&gt;"",BJ44,BK44))</f>
        <v/>
      </c>
    </row>
    <row r="45">
      <c r="A45" s="5" t="inlineStr">
        <is>
          <t>2026/06/22</t>
        </is>
      </c>
      <c r="B45" s="5" t="n">
        <v>173.38</v>
      </c>
      <c r="C45" s="5" t="n">
        <v>182.43</v>
      </c>
      <c r="D45" s="6">
        <f>IF(COUNT(B45:B46)=2,(B45/B46-1)*100,"")</f>
        <v/>
      </c>
      <c r="E45" s="6">
        <f>IF(COUNT(C45:C46)=2,(C45/C46-1)*100,"")</f>
        <v/>
      </c>
      <c r="F45" s="5" t="n">
        <v>71.29000000000001</v>
      </c>
      <c r="G45" s="5" t="n">
        <v>71.56999999999999</v>
      </c>
      <c r="H45" s="5" t="n">
        <v>70.98999999999999</v>
      </c>
      <c r="I45" s="5" t="n">
        <v>71.20999999999999</v>
      </c>
      <c r="J45" s="5" t="n">
        <v>71.20999999999999</v>
      </c>
      <c r="K45" s="5" t="n">
        <v>384.25</v>
      </c>
      <c r="L45" s="5" t="n">
        <v>386.41</v>
      </c>
      <c r="M45" s="5" t="n">
        <v>382.64</v>
      </c>
      <c r="N45" s="5" t="n">
        <v>384.59</v>
      </c>
      <c r="O45" s="5" t="n">
        <v>384.59</v>
      </c>
      <c r="P45" s="5" t="n">
        <v>79.94</v>
      </c>
      <c r="Q45" s="5" t="n">
        <v>79.98</v>
      </c>
      <c r="R45" s="5" t="n">
        <v>79.87</v>
      </c>
      <c r="S45" s="5" t="n">
        <v>79.94</v>
      </c>
      <c r="T45" s="5" t="n">
        <v>79.1867</v>
      </c>
      <c r="U45" s="5" t="n">
        <v>109.25</v>
      </c>
      <c r="V45" s="5" t="n">
        <v>109.26</v>
      </c>
      <c r="W45" s="5" t="n">
        <v>108.93</v>
      </c>
      <c r="X45" s="5" t="n">
        <v>108.94</v>
      </c>
      <c r="Y45" s="5" t="n">
        <v>107.1009</v>
      </c>
      <c r="Z45" s="5" t="n">
        <v>53.62</v>
      </c>
      <c r="AA45" s="5" t="n">
        <v>54.02</v>
      </c>
      <c r="AB45" s="5" t="n">
        <v>53.57</v>
      </c>
      <c r="AC45" s="5" t="n">
        <v>53.7</v>
      </c>
      <c r="AD45" s="5" t="n">
        <v>53.7</v>
      </c>
      <c r="AE45" s="5" t="n">
        <v>56.71</v>
      </c>
      <c r="AF45" s="5" t="n">
        <v>56.94</v>
      </c>
      <c r="AG45" s="5" t="n">
        <v>56.66</v>
      </c>
      <c r="AH45" s="5" t="n">
        <v>56.79</v>
      </c>
      <c r="AI45" s="5" t="n">
        <v>56.79</v>
      </c>
      <c r="AJ45" s="5" t="n">
        <v>80.42</v>
      </c>
      <c r="AK45" s="5" t="n">
        <v>81.67</v>
      </c>
      <c r="AL45" s="5" t="n">
        <v>80.14</v>
      </c>
      <c r="AM45" s="5" t="n">
        <v>81.44</v>
      </c>
      <c r="AN45" s="5" t="n">
        <v>81.44</v>
      </c>
      <c r="AO45" s="5" t="n">
        <v>108.125</v>
      </c>
      <c r="AP45" s="5" t="n">
        <v>108.535</v>
      </c>
      <c r="AQ45" s="5" t="n">
        <v>106.32</v>
      </c>
      <c r="AR45" s="5" t="n">
        <v>106.86</v>
      </c>
      <c r="AS45" s="5" t="n">
        <v>106.86</v>
      </c>
      <c r="AT45" s="6">
        <f>IF(COUNT(J45:J46)=2,(J45/J46-1)*100,"")</f>
        <v/>
      </c>
      <c r="AU45" s="6">
        <f>IF(COUNT(O45:O46)=2,(O45/O46-1)*100,"")</f>
        <v/>
      </c>
      <c r="AV45" s="6">
        <f>IF(COUNT(T45:T46)=2,(T45/T46-1)*100,"")</f>
        <v/>
      </c>
      <c r="AW45" s="6">
        <f>IF(COUNT(Y45:Y46)=2,(Y45/Y46-1)*100,"")</f>
        <v/>
      </c>
      <c r="AX45" s="6">
        <f>IF(COUNT(AD45:AD46)=2,(AD45/AD46-1)*100,"")</f>
        <v/>
      </c>
      <c r="AY45" s="6">
        <f>IF(COUNT(AI45:AI46)=2,(AI45/AI46-1)*100,"")</f>
        <v/>
      </c>
      <c r="AZ45" s="6">
        <f>IF(COUNT(AN45:AN46)=2,(AN45/AN46-1)*100,"")</f>
        <v/>
      </c>
      <c r="BA45" s="6">
        <f>IF(COUNT(AS45:AS46)=2,(AS45/AS46-1)*100,"")</f>
        <v/>
      </c>
      <c r="BB45" s="5" t="n">
        <v>17.28</v>
      </c>
      <c r="BC45" s="6">
        <f>IF(COUNT(BB45:BB46)=2,(BB45/BB46-1)*100,"")</f>
        <v/>
      </c>
      <c r="BD45" s="6" t="n">
        <v>5.3659</v>
      </c>
      <c r="BE45" s="6">
        <f>IF(AND(BD45&gt;$BE$12,D45&lt;=$BE$13),D44,"")</f>
        <v/>
      </c>
      <c r="BF45" s="6">
        <f>IF(AND(AV45&lt;$BF$12,AW45&gt;$BF$13),D44,"")</f>
        <v/>
      </c>
      <c r="BG45" s="6">
        <f>IF(AND(AT45&gt;$BG$12,AU45&lt;$BG$13,AV45&gt;$BG$11),D44,"")</f>
        <v/>
      </c>
      <c r="BH45" s="6">
        <f>IF(BE45&lt;&gt;"",BE45,IF(BF45&lt;&gt;"",BF45,BG45))</f>
        <v/>
      </c>
      <c r="BI45" s="6">
        <f>IF(AND(AZ45&gt;$BI$12,BA45&lt;$BI$13),E44,"")</f>
        <v/>
      </c>
      <c r="BJ45" s="6">
        <f>IF(AND(AX45&lt;=$BJ$12,E45&lt;$BJ$13),E44,"")</f>
        <v/>
      </c>
      <c r="BK45" s="6">
        <f>IF(AND(AY45&gt;$BK$12,AZ45&gt;$BK$13),E44,"")</f>
        <v/>
      </c>
      <c r="BL45" s="6">
        <f>IF(BI45&lt;&gt;"",BI45,IF(BJ45&lt;&gt;"",BJ45,BK45))</f>
        <v/>
      </c>
    </row>
    <row r="46">
      <c r="A46" s="5" t="inlineStr">
        <is>
          <t>2026/06/18</t>
        </is>
      </c>
      <c r="B46" s="5" t="n">
        <v>174.19</v>
      </c>
      <c r="C46" s="5" t="n">
        <v>183.86</v>
      </c>
      <c r="D46" s="6">
        <f>IF(COUNT(B46:B47)=2,(B46/B47-1)*100,"")</f>
        <v/>
      </c>
      <c r="E46" s="6">
        <f>IF(COUNT(C46:C47)=2,(C46/C47-1)*100,"")</f>
        <v/>
      </c>
      <c r="F46" s="5" t="n">
        <v>70.18000000000001</v>
      </c>
      <c r="G46" s="5" t="n">
        <v>70.92</v>
      </c>
      <c r="H46" s="5" t="n">
        <v>70.15000000000001</v>
      </c>
      <c r="I46" s="5" t="n">
        <v>70.79000000000001</v>
      </c>
      <c r="J46" s="5" t="n">
        <v>70.79000000000001</v>
      </c>
      <c r="K46" s="5" t="n">
        <v>391.24</v>
      </c>
      <c r="L46" s="5" t="n">
        <v>392.5</v>
      </c>
      <c r="M46" s="5" t="n">
        <v>385.6</v>
      </c>
      <c r="N46" s="5" t="n">
        <v>387.12</v>
      </c>
      <c r="O46" s="5" t="n">
        <v>387.12</v>
      </c>
      <c r="P46" s="5" t="n">
        <v>80.03</v>
      </c>
      <c r="Q46" s="5" t="n">
        <v>80.06999999999999</v>
      </c>
      <c r="R46" s="5" t="n">
        <v>79.92</v>
      </c>
      <c r="S46" s="5" t="n">
        <v>80.01000000000001</v>
      </c>
      <c r="T46" s="5" t="n">
        <v>79.256</v>
      </c>
      <c r="U46" s="5" t="n">
        <v>109.31</v>
      </c>
      <c r="V46" s="5" t="n">
        <v>109.53</v>
      </c>
      <c r="W46" s="5" t="n">
        <v>109.28</v>
      </c>
      <c r="X46" s="5" t="n">
        <v>109.39</v>
      </c>
      <c r="Y46" s="5" t="n">
        <v>107.5433</v>
      </c>
      <c r="Z46" s="5" t="n">
        <v>54.55</v>
      </c>
      <c r="AA46" s="5" t="n">
        <v>54.61</v>
      </c>
      <c r="AB46" s="5" t="n">
        <v>53.46</v>
      </c>
      <c r="AC46" s="5" t="n">
        <v>53.57</v>
      </c>
      <c r="AD46" s="5" t="n">
        <v>53.383</v>
      </c>
      <c r="AE46" s="5" t="n">
        <v>57.03</v>
      </c>
      <c r="AF46" s="5" t="n">
        <v>57.06</v>
      </c>
      <c r="AG46" s="5" t="n">
        <v>56.7</v>
      </c>
      <c r="AH46" s="5" t="n">
        <v>56.85</v>
      </c>
      <c r="AI46" s="5" t="n">
        <v>56.85</v>
      </c>
      <c r="AJ46" s="5" t="n">
        <v>84.91</v>
      </c>
      <c r="AK46" s="5" t="n">
        <v>86.56999999999999</v>
      </c>
      <c r="AL46" s="5" t="n">
        <v>81.47</v>
      </c>
      <c r="AM46" s="5" t="n">
        <v>82.51000000000001</v>
      </c>
      <c r="AN46" s="5" t="n">
        <v>82.51000000000001</v>
      </c>
      <c r="AO46" s="5" t="n">
        <v>109.86</v>
      </c>
      <c r="AP46" s="5" t="n">
        <v>110.37</v>
      </c>
      <c r="AQ46" s="5" t="n">
        <v>108.51</v>
      </c>
      <c r="AR46" s="5" t="n">
        <v>109.45</v>
      </c>
      <c r="AS46" s="5" t="n">
        <v>109.166</v>
      </c>
      <c r="AT46" s="6">
        <f>IF(COUNT(J46:J47)=2,(J46/J47-1)*100,"")</f>
        <v/>
      </c>
      <c r="AU46" s="6">
        <f>IF(COUNT(O46:O47)=2,(O46/O47-1)*100,"")</f>
        <v/>
      </c>
      <c r="AV46" s="6">
        <f>IF(COUNT(T46:T47)=2,(T46/T47-1)*100,"")</f>
        <v/>
      </c>
      <c r="AW46" s="6">
        <f>IF(COUNT(Y46:Y47)=2,(Y46/Y47-1)*100,"")</f>
        <v/>
      </c>
      <c r="AX46" s="6">
        <f>IF(COUNT(AD46:AD47)=2,(AD46/AD47-1)*100,"")</f>
        <v/>
      </c>
      <c r="AY46" s="6">
        <f>IF(COUNT(AI46:AI47)=2,(AI46/AI47-1)*100,"")</f>
        <v/>
      </c>
      <c r="AZ46" s="6">
        <f>IF(COUNT(AN46:AN47)=2,(AN46/AN47-1)*100,"")</f>
        <v/>
      </c>
      <c r="BA46" s="6">
        <f>IF(COUNT(AS46:AS47)=2,(AS46/AS47-1)*100,"")</f>
        <v/>
      </c>
      <c r="BB46" s="5" t="n">
        <v>16.4</v>
      </c>
      <c r="BC46" s="6">
        <f>IF(COUNT(BB46:BB47)=2,(BB46/BB47-1)*100,"")</f>
        <v/>
      </c>
      <c r="BD46" s="6" t="n">
        <v>-11.0629</v>
      </c>
      <c r="BE46" s="6">
        <f>IF(AND(BD46&gt;$BE$12,D46&lt;=$BE$13),D45,"")</f>
        <v/>
      </c>
      <c r="BF46" s="6">
        <f>IF(AND(AV46&lt;$BF$12,AW46&gt;$BF$13),D45,"")</f>
        <v/>
      </c>
      <c r="BG46" s="6">
        <f>IF(AND(AT46&gt;$BG$12,AU46&lt;$BG$13,AV46&gt;$BG$11),D45,"")</f>
        <v/>
      </c>
      <c r="BH46" s="6">
        <f>IF(BE46&lt;&gt;"",BE46,IF(BF46&lt;&gt;"",BF46,BG46))</f>
        <v/>
      </c>
      <c r="BI46" s="6">
        <f>IF(AND(AZ46&gt;$BI$12,BA46&lt;$BI$13),E45,"")</f>
        <v/>
      </c>
      <c r="BJ46" s="6">
        <f>IF(AND(AX46&lt;=$BJ$12,E46&lt;$BJ$13),E45,"")</f>
        <v/>
      </c>
      <c r="BK46" s="6">
        <f>IF(AND(AY46&gt;$BK$12,AZ46&gt;$BK$13),E45,"")</f>
        <v/>
      </c>
      <c r="BL46" s="6">
        <f>IF(BI46&lt;&gt;"",BI46,IF(BJ46&lt;&gt;"",BJ46,BK46))</f>
        <v/>
      </c>
    </row>
    <row r="47">
      <c r="A47" s="5" t="inlineStr">
        <is>
          <t>2026/06/17</t>
        </is>
      </c>
      <c r="B47" s="5" t="n">
        <v>165.99</v>
      </c>
      <c r="C47" s="5" t="n">
        <v>180</v>
      </c>
      <c r="D47" s="6">
        <f>IF(COUNT(B47:B48)=2,(B47/B48-1)*100,"")</f>
        <v/>
      </c>
      <c r="E47" s="6">
        <f>IF(COUNT(C47:C48)=2,(C47/C48-1)*100,"")</f>
        <v/>
      </c>
      <c r="F47" s="5" t="n">
        <v>69.56999999999999</v>
      </c>
      <c r="G47" s="5" t="n">
        <v>70.08</v>
      </c>
      <c r="H47" s="5" t="n">
        <v>68.41</v>
      </c>
      <c r="I47" s="5" t="n">
        <v>68.56</v>
      </c>
      <c r="J47" s="5" t="n">
        <v>68.56</v>
      </c>
      <c r="K47" s="5" t="n">
        <v>397.82</v>
      </c>
      <c r="L47" s="5" t="n">
        <v>402.04</v>
      </c>
      <c r="M47" s="5" t="n">
        <v>387.08</v>
      </c>
      <c r="N47" s="5" t="n">
        <v>388.6</v>
      </c>
      <c r="O47" s="5" t="n">
        <v>388.6</v>
      </c>
      <c r="P47" s="5" t="n">
        <v>79.98999999999999</v>
      </c>
      <c r="Q47" s="5" t="n">
        <v>80.06999999999999</v>
      </c>
      <c r="R47" s="5" t="n">
        <v>79.70999999999999</v>
      </c>
      <c r="S47" s="5" t="n">
        <v>79.73</v>
      </c>
      <c r="T47" s="5" t="n">
        <v>78.9787</v>
      </c>
      <c r="U47" s="5" t="n">
        <v>109.82</v>
      </c>
      <c r="V47" s="5" t="n">
        <v>109.82</v>
      </c>
      <c r="W47" s="5" t="n">
        <v>109.02</v>
      </c>
      <c r="X47" s="5" t="n">
        <v>109.03</v>
      </c>
      <c r="Y47" s="5" t="n">
        <v>107.1893</v>
      </c>
      <c r="Z47" s="5" t="n">
        <v>54.29</v>
      </c>
      <c r="AA47" s="5" t="n">
        <v>54.89</v>
      </c>
      <c r="AB47" s="5" t="n">
        <v>53.9</v>
      </c>
      <c r="AC47" s="5" t="n">
        <v>54.05</v>
      </c>
      <c r="AD47" s="5" t="n">
        <v>53.8613</v>
      </c>
      <c r="AE47" s="5" t="n">
        <v>57.24</v>
      </c>
      <c r="AF47" s="5" t="n">
        <v>57.27</v>
      </c>
      <c r="AG47" s="5" t="n">
        <v>57.05</v>
      </c>
      <c r="AH47" s="5" t="n">
        <v>57.09</v>
      </c>
      <c r="AI47" s="5" t="n">
        <v>57.09</v>
      </c>
      <c r="AJ47" s="5" t="n">
        <v>87.2</v>
      </c>
      <c r="AK47" s="5" t="n">
        <v>89.98999999999999</v>
      </c>
      <c r="AL47" s="5" t="n">
        <v>84.29000000000001</v>
      </c>
      <c r="AM47" s="5" t="n">
        <v>84.36</v>
      </c>
      <c r="AN47" s="5" t="n">
        <v>84.36</v>
      </c>
      <c r="AO47" s="5" t="n">
        <v>111.479</v>
      </c>
      <c r="AP47" s="5" t="n">
        <v>111.49</v>
      </c>
      <c r="AQ47" s="5" t="n">
        <v>109.015</v>
      </c>
      <c r="AR47" s="5" t="n">
        <v>109.2</v>
      </c>
      <c r="AS47" s="5" t="n">
        <v>108.9166</v>
      </c>
      <c r="AT47" s="6">
        <f>IF(COUNT(J47:J48)=2,(J47/J48-1)*100,"")</f>
        <v/>
      </c>
      <c r="AU47" s="6">
        <f>IF(COUNT(O47:O48)=2,(O47/O48-1)*100,"")</f>
        <v/>
      </c>
      <c r="AV47" s="6">
        <f>IF(COUNT(T47:T48)=2,(T47/T48-1)*100,"")</f>
        <v/>
      </c>
      <c r="AW47" s="6">
        <f>IF(COUNT(Y47:Y48)=2,(Y47/Y48-1)*100,"")</f>
        <v/>
      </c>
      <c r="AX47" s="6">
        <f>IF(COUNT(AD47:AD48)=2,(AD47/AD48-1)*100,"")</f>
        <v/>
      </c>
      <c r="AY47" s="6">
        <f>IF(COUNT(AI47:AI48)=2,(AI47/AI48-1)*100,"")</f>
        <v/>
      </c>
      <c r="AZ47" s="6">
        <f>IF(COUNT(AN47:AN48)=2,(AN47/AN48-1)*100,"")</f>
        <v/>
      </c>
      <c r="BA47" s="6">
        <f>IF(COUNT(AS47:AS48)=2,(AS47/AS48-1)*100,"")</f>
        <v/>
      </c>
      <c r="BB47" s="5" t="n">
        <v>18.44</v>
      </c>
      <c r="BC47" s="6">
        <f>IF(COUNT(BB47:BB48)=2,(BB47/BB48-1)*100,"")</f>
        <v/>
      </c>
      <c r="BD47" s="6" t="n">
        <v>12.3705</v>
      </c>
      <c r="BE47" s="6">
        <f>IF(AND(BD47&gt;$BE$12,D47&lt;=$BE$13),D46,"")</f>
        <v/>
      </c>
      <c r="BF47" s="6">
        <f>IF(AND(AV47&lt;$BF$12,AW47&gt;$BF$13),D46,"")</f>
        <v/>
      </c>
      <c r="BG47" s="6">
        <f>IF(AND(AT47&gt;$BG$12,AU47&lt;$BG$13,AV47&gt;$BG$11),D46,"")</f>
        <v/>
      </c>
      <c r="BH47" s="6">
        <f>IF(BE47&lt;&gt;"",BE47,IF(BF47&lt;&gt;"",BF47,BG47))</f>
        <v/>
      </c>
      <c r="BI47" s="6">
        <f>IF(AND(AZ47&gt;$BI$12,BA47&lt;$BI$13),E46,"")</f>
        <v/>
      </c>
      <c r="BJ47" s="6">
        <f>IF(AND(AX47&lt;=$BJ$12,E47&lt;$BJ$13),E46,"")</f>
        <v/>
      </c>
      <c r="BK47" s="6">
        <f>IF(AND(AY47&gt;$BK$12,AZ47&gt;$BK$13),E46,"")</f>
        <v/>
      </c>
      <c r="BL47" s="6">
        <f>IF(BI47&lt;&gt;"",BI47,IF(BJ47&lt;&gt;"",BJ47,BK47))</f>
        <v/>
      </c>
    </row>
    <row r="48">
      <c r="A48" s="5" t="inlineStr">
        <is>
          <t>2026/06/16</t>
        </is>
      </c>
      <c r="B48" s="5" t="n">
        <v>169.4</v>
      </c>
      <c r="C48" s="5" t="n">
        <v>184.56</v>
      </c>
      <c r="D48" s="6">
        <f>IF(COUNT(B48:B49)=2,(B48/B49-1)*100,"")</f>
        <v/>
      </c>
      <c r="E48" s="6">
        <f>IF(COUNT(C48:C49)=2,(C48/C49-1)*100,"")</f>
        <v/>
      </c>
      <c r="F48" s="5" t="n">
        <v>69.33</v>
      </c>
      <c r="G48" s="5" t="n">
        <v>69.73999999999999</v>
      </c>
      <c r="H48" s="5" t="n">
        <v>68.58</v>
      </c>
      <c r="I48" s="5" t="n">
        <v>68.64</v>
      </c>
      <c r="J48" s="5" t="n">
        <v>68.64</v>
      </c>
      <c r="K48" s="5" t="n">
        <v>397.83</v>
      </c>
      <c r="L48" s="5" t="n">
        <v>398.96</v>
      </c>
      <c r="M48" s="5" t="n">
        <v>395.82</v>
      </c>
      <c r="N48" s="5" t="n">
        <v>397.63</v>
      </c>
      <c r="O48" s="5" t="n">
        <v>397.63</v>
      </c>
      <c r="P48" s="5" t="n">
        <v>80.03</v>
      </c>
      <c r="Q48" s="5" t="n">
        <v>80.11</v>
      </c>
      <c r="R48" s="5" t="n">
        <v>79.95999999999999</v>
      </c>
      <c r="S48" s="5" t="n">
        <v>80.03</v>
      </c>
      <c r="T48" s="5" t="n">
        <v>79.2758</v>
      </c>
      <c r="U48" s="5" t="n">
        <v>109.73</v>
      </c>
      <c r="V48" s="5" t="n">
        <v>109.87</v>
      </c>
      <c r="W48" s="5" t="n">
        <v>109.67</v>
      </c>
      <c r="X48" s="5" t="n">
        <v>109.76</v>
      </c>
      <c r="Y48" s="5" t="n">
        <v>107.907</v>
      </c>
      <c r="Z48" s="5" t="n">
        <v>54.01</v>
      </c>
      <c r="AA48" s="5" t="n">
        <v>54.43</v>
      </c>
      <c r="AB48" s="5" t="n">
        <v>53.85</v>
      </c>
      <c r="AC48" s="5" t="n">
        <v>54.35</v>
      </c>
      <c r="AD48" s="5" t="n">
        <v>54.1603</v>
      </c>
      <c r="AE48" s="5" t="n">
        <v>57.21</v>
      </c>
      <c r="AF48" s="5" t="n">
        <v>57.22</v>
      </c>
      <c r="AG48" s="5" t="n">
        <v>57.18</v>
      </c>
      <c r="AH48" s="5" t="n">
        <v>57.19</v>
      </c>
      <c r="AI48" s="5" t="n">
        <v>57.19</v>
      </c>
      <c r="AJ48" s="5" t="n">
        <v>86.15000000000001</v>
      </c>
      <c r="AK48" s="5" t="n">
        <v>87.59</v>
      </c>
      <c r="AL48" s="5" t="n">
        <v>85.66</v>
      </c>
      <c r="AM48" s="5" t="n">
        <v>87.23999999999999</v>
      </c>
      <c r="AN48" s="5" t="n">
        <v>87.23999999999999</v>
      </c>
      <c r="AO48" s="5" t="n">
        <v>112.24</v>
      </c>
      <c r="AP48" s="5" t="n">
        <v>112.59</v>
      </c>
      <c r="AQ48" s="5" t="n">
        <v>111.41</v>
      </c>
      <c r="AR48" s="5" t="n">
        <v>112.32</v>
      </c>
      <c r="AS48" s="5" t="n">
        <v>112.0286</v>
      </c>
      <c r="AT48" s="6">
        <f>IF(COUNT(J48:J49)=2,(J48/J49-1)*100,"")</f>
        <v/>
      </c>
      <c r="AU48" s="6">
        <f>IF(COUNT(O48:O49)=2,(O48/O49-1)*100,"")</f>
        <v/>
      </c>
      <c r="AV48" s="6">
        <f>IF(COUNT(T48:T49)=2,(T48/T49-1)*100,"")</f>
        <v/>
      </c>
      <c r="AW48" s="6">
        <f>IF(COUNT(Y48:Y49)=2,(Y48/Y49-1)*100,"")</f>
        <v/>
      </c>
      <c r="AX48" s="6">
        <f>IF(COUNT(AD48:AD49)=2,(AD48/AD49-1)*100,"")</f>
        <v/>
      </c>
      <c r="AY48" s="6">
        <f>IF(COUNT(AI48:AI49)=2,(AI48/AI49-1)*100,"")</f>
        <v/>
      </c>
      <c r="AZ48" s="6">
        <f>IF(COUNT(AN48:AN49)=2,(AN48/AN49-1)*100,"")</f>
        <v/>
      </c>
      <c r="BA48" s="6">
        <f>IF(COUNT(AS48:AS49)=2,(AS48/AS49-1)*100,"")</f>
        <v/>
      </c>
      <c r="BB48" s="5" t="n">
        <v>16.41</v>
      </c>
      <c r="BC48" s="6">
        <f>IF(COUNT(BB48:BB49)=2,(BB48/BB49-1)*100,"")</f>
        <v/>
      </c>
      <c r="BD48" s="6" t="n">
        <v>1.2963</v>
      </c>
      <c r="BE48" s="6">
        <f>IF(AND(BD48&gt;$BE$12,D48&lt;=$BE$13),D47,"")</f>
        <v/>
      </c>
      <c r="BF48" s="6">
        <f>IF(AND(AV48&lt;$BF$12,AW48&gt;$BF$13),D47,"")</f>
        <v/>
      </c>
      <c r="BG48" s="6">
        <f>IF(AND(AT48&gt;$BG$12,AU48&lt;$BG$13,AV48&gt;$BG$11),D47,"")</f>
        <v/>
      </c>
      <c r="BH48" s="6">
        <f>IF(BE48&lt;&gt;"",BE48,IF(BF48&lt;&gt;"",BF48,BG48))</f>
        <v/>
      </c>
      <c r="BI48" s="6">
        <f>IF(AND(AZ48&gt;$BI$12,BA48&lt;$BI$13),E47,"")</f>
        <v/>
      </c>
      <c r="BJ48" s="6">
        <f>IF(AND(AX48&lt;=$BJ$12,E48&lt;$BJ$13),E47,"")</f>
        <v/>
      </c>
      <c r="BK48" s="6">
        <f>IF(AND(AY48&gt;$BK$12,AZ48&gt;$BK$13),E47,"")</f>
        <v/>
      </c>
      <c r="BL48" s="6">
        <f>IF(BI48&lt;&gt;"",BI48,IF(BJ48&lt;&gt;"",BJ48,BK48))</f>
        <v/>
      </c>
    </row>
    <row r="49">
      <c r="A49" s="5" t="inlineStr">
        <is>
          <t>2026/06/15</t>
        </is>
      </c>
      <c r="B49" s="5" t="n">
        <v>176.04</v>
      </c>
      <c r="C49" s="5" t="n">
        <v>186.69</v>
      </c>
      <c r="D49" s="6">
        <f>IF(COUNT(B49:B50)=2,(B49/B50-1)*100,"")</f>
        <v/>
      </c>
      <c r="E49" s="6">
        <f>IF(COUNT(C49:C50)=2,(C49/C50-1)*100,"")</f>
        <v/>
      </c>
      <c r="F49" s="5" t="n">
        <v>69.61</v>
      </c>
      <c r="G49" s="5" t="n">
        <v>69.88</v>
      </c>
      <c r="H49" s="5" t="n">
        <v>69.38</v>
      </c>
      <c r="I49" s="5" t="n">
        <v>69.75</v>
      </c>
      <c r="J49" s="5" t="n">
        <v>69.75</v>
      </c>
      <c r="K49" s="5" t="n">
        <v>399.49</v>
      </c>
      <c r="L49" s="5" t="n">
        <v>401</v>
      </c>
      <c r="M49" s="5" t="n">
        <v>396.15</v>
      </c>
      <c r="N49" s="5" t="n">
        <v>396.55</v>
      </c>
      <c r="O49" s="5" t="n">
        <v>396.55</v>
      </c>
      <c r="P49" s="5" t="n">
        <v>80.14</v>
      </c>
      <c r="Q49" s="5" t="n">
        <v>80.17</v>
      </c>
      <c r="R49" s="5" t="n">
        <v>80.03</v>
      </c>
      <c r="S49" s="5" t="n">
        <v>80.04000000000001</v>
      </c>
      <c r="T49" s="5" t="n">
        <v>79.28579999999999</v>
      </c>
      <c r="U49" s="5" t="n">
        <v>109.71</v>
      </c>
      <c r="V49" s="5" t="n">
        <v>109.78</v>
      </c>
      <c r="W49" s="5" t="n">
        <v>109.64</v>
      </c>
      <c r="X49" s="5" t="n">
        <v>109.76</v>
      </c>
      <c r="Y49" s="5" t="n">
        <v>107.907</v>
      </c>
      <c r="Z49" s="5" t="n">
        <v>53.76</v>
      </c>
      <c r="AA49" s="5" t="n">
        <v>53.97</v>
      </c>
      <c r="AB49" s="5" t="n">
        <v>53.48</v>
      </c>
      <c r="AC49" s="5" t="n">
        <v>53.56</v>
      </c>
      <c r="AD49" s="5" t="n">
        <v>53.373</v>
      </c>
      <c r="AE49" s="5" t="n">
        <v>57.3</v>
      </c>
      <c r="AF49" s="5" t="n">
        <v>57.33</v>
      </c>
      <c r="AG49" s="5" t="n">
        <v>57.22</v>
      </c>
      <c r="AH49" s="5" t="n">
        <v>57.24</v>
      </c>
      <c r="AI49" s="5" t="n">
        <v>57.24</v>
      </c>
      <c r="AJ49" s="5" t="n">
        <v>85.42</v>
      </c>
      <c r="AK49" s="5" t="n">
        <v>86.88</v>
      </c>
      <c r="AL49" s="5" t="n">
        <v>84.70999999999999</v>
      </c>
      <c r="AM49" s="5" t="n">
        <v>85.27</v>
      </c>
      <c r="AN49" s="5" t="n">
        <v>85.27</v>
      </c>
      <c r="AO49" s="5" t="n">
        <v>111.92</v>
      </c>
      <c r="AP49" s="5" t="n">
        <v>112.59</v>
      </c>
      <c r="AQ49" s="5" t="n">
        <v>111.59</v>
      </c>
      <c r="AR49" s="5" t="n">
        <v>112.19</v>
      </c>
      <c r="AS49" s="5" t="n">
        <v>111.8989</v>
      </c>
      <c r="AT49" s="6">
        <f>IF(COUNT(J49:J50)=2,(J49/J50-1)*100,"")</f>
        <v/>
      </c>
      <c r="AU49" s="6">
        <f>IF(COUNT(O49:O50)=2,(O49/O50-1)*100,"")</f>
        <v/>
      </c>
      <c r="AV49" s="6">
        <f>IF(COUNT(T49:T50)=2,(T49/T50-1)*100,"")</f>
        <v/>
      </c>
      <c r="AW49" s="6">
        <f>IF(COUNT(Y49:Y50)=2,(Y49/Y50-1)*100,"")</f>
        <v/>
      </c>
      <c r="AX49" s="6">
        <f>IF(COUNT(AD49:AD50)=2,(AD49/AD50-1)*100,"")</f>
        <v/>
      </c>
      <c r="AY49" s="6">
        <f>IF(COUNT(AI49:AI50)=2,(AI49/AI50-1)*100,"")</f>
        <v/>
      </c>
      <c r="AZ49" s="6">
        <f>IF(COUNT(AN49:AN50)=2,(AN49/AN50-1)*100,"")</f>
        <v/>
      </c>
      <c r="BA49" s="6">
        <f>IF(COUNT(AS49:AS50)=2,(AS49/AS50-1)*100,"")</f>
        <v/>
      </c>
      <c r="BB49" s="5" t="n">
        <v>16.2</v>
      </c>
      <c r="BC49" s="6">
        <f>IF(COUNT(BB49:BB50)=2,(BB49/BB50-1)*100,"")</f>
        <v/>
      </c>
      <c r="BD49" s="6" t="n">
        <v>-8.371</v>
      </c>
      <c r="BE49" s="6">
        <f>IF(AND(BD49&gt;$BE$12,D49&lt;=$BE$13),D48,"")</f>
        <v/>
      </c>
      <c r="BF49" s="6">
        <f>IF(AND(AV49&lt;$BF$12,AW49&gt;$BF$13),D48,"")</f>
        <v/>
      </c>
      <c r="BG49" s="6">
        <f>IF(AND(AT49&gt;$BG$12,AU49&lt;$BG$13,AV49&gt;$BG$11),D48,"")</f>
        <v/>
      </c>
      <c r="BH49" s="6">
        <f>IF(BE49&lt;&gt;"",BE49,IF(BF49&lt;&gt;"",BF49,BG49))</f>
        <v/>
      </c>
      <c r="BI49" s="6">
        <f>IF(AND(AZ49&gt;$BI$12,BA49&lt;$BI$13),E48,"")</f>
        <v/>
      </c>
      <c r="BJ49" s="6">
        <f>IF(AND(AX49&lt;=$BJ$12,E49&lt;$BJ$13),E48,"")</f>
        <v/>
      </c>
      <c r="BK49" s="6">
        <f>IF(AND(AY49&gt;$BK$12,AZ49&gt;$BK$13),E48,"")</f>
        <v/>
      </c>
      <c r="BL49" s="6">
        <f>IF(BI49&lt;&gt;"",BI49,IF(BJ49&lt;&gt;"",BJ49,BK49))</f>
        <v/>
      </c>
    </row>
    <row r="50">
      <c r="A50" s="5" t="inlineStr">
        <is>
          <t>2026/06/12</t>
        </is>
      </c>
      <c r="B50" s="5" t="n">
        <v>165.93</v>
      </c>
      <c r="C50" s="5" t="n">
        <v>180.68</v>
      </c>
      <c r="D50" s="6">
        <f>IF(COUNT(B50:B51)=2,(B50/B51-1)*100,"")</f>
        <v/>
      </c>
      <c r="E50" s="6">
        <f>IF(COUNT(C50:C51)=2,(C50/C51-1)*100,"")</f>
        <v/>
      </c>
      <c r="F50" s="5" t="n">
        <v>67.53</v>
      </c>
      <c r="G50" s="5" t="n">
        <v>68.2</v>
      </c>
      <c r="H50" s="5" t="n">
        <v>67.09</v>
      </c>
      <c r="I50" s="5" t="n">
        <v>67.88</v>
      </c>
      <c r="J50" s="5" t="n">
        <v>67.529</v>
      </c>
      <c r="K50" s="5" t="n">
        <v>385.73</v>
      </c>
      <c r="L50" s="5" t="n">
        <v>388.77</v>
      </c>
      <c r="M50" s="5" t="n">
        <v>383.35</v>
      </c>
      <c r="N50" s="5" t="n">
        <v>386.54</v>
      </c>
      <c r="O50" s="5" t="n">
        <v>386.54</v>
      </c>
      <c r="P50" s="5" t="n">
        <v>79.94</v>
      </c>
      <c r="Q50" s="5" t="n">
        <v>80</v>
      </c>
      <c r="R50" s="5" t="n">
        <v>79.8</v>
      </c>
      <c r="S50" s="5" t="n">
        <v>79.94</v>
      </c>
      <c r="T50" s="5" t="n">
        <v>79.1867</v>
      </c>
      <c r="U50" s="5" t="n">
        <v>109.48</v>
      </c>
      <c r="V50" s="5" t="n">
        <v>109.62</v>
      </c>
      <c r="W50" s="5" t="n">
        <v>109.39</v>
      </c>
      <c r="X50" s="5" t="n">
        <v>109.61</v>
      </c>
      <c r="Y50" s="5" t="n">
        <v>107.7596</v>
      </c>
      <c r="Z50" s="5" t="n">
        <v>52.96</v>
      </c>
      <c r="AA50" s="5" t="n">
        <v>53.55</v>
      </c>
      <c r="AB50" s="5" t="n">
        <v>52.81</v>
      </c>
      <c r="AC50" s="5" t="n">
        <v>53.34</v>
      </c>
      <c r="AD50" s="5" t="n">
        <v>53.1538</v>
      </c>
      <c r="AE50" s="5" t="n">
        <v>57.29</v>
      </c>
      <c r="AF50" s="5" t="n">
        <v>57.29</v>
      </c>
      <c r="AG50" s="5" t="n">
        <v>57.21</v>
      </c>
      <c r="AH50" s="5" t="n">
        <v>57.26</v>
      </c>
      <c r="AI50" s="5" t="n">
        <v>57.26</v>
      </c>
      <c r="AJ50" s="5" t="n">
        <v>78.54000000000001</v>
      </c>
      <c r="AK50" s="5" t="n">
        <v>80.65000000000001</v>
      </c>
      <c r="AL50" s="5" t="n">
        <v>77.76000000000001</v>
      </c>
      <c r="AM50" s="5" t="n">
        <v>80.03</v>
      </c>
      <c r="AN50" s="5" t="n">
        <v>80.03</v>
      </c>
      <c r="AO50" s="5" t="n">
        <v>112.91</v>
      </c>
      <c r="AP50" s="5" t="n">
        <v>112.99</v>
      </c>
      <c r="AQ50" s="5" t="n">
        <v>110.83</v>
      </c>
      <c r="AR50" s="5" t="n">
        <v>111.65</v>
      </c>
      <c r="AS50" s="5" t="n">
        <v>111.3603</v>
      </c>
      <c r="AT50" s="6">
        <f>IF(COUNT(J50:J51)=2,(J50/J51-1)*100,"")</f>
        <v/>
      </c>
      <c r="AU50" s="6">
        <f>IF(COUNT(O50:O51)=2,(O50/O51-1)*100,"")</f>
        <v/>
      </c>
      <c r="AV50" s="6">
        <f>IF(COUNT(T50:T51)=2,(T50/T51-1)*100,"")</f>
        <v/>
      </c>
      <c r="AW50" s="6">
        <f>IF(COUNT(Y50:Y51)=2,(Y50/Y51-1)*100,"")</f>
        <v/>
      </c>
      <c r="AX50" s="6">
        <f>IF(COUNT(AD50:AD51)=2,(AD50/AD51-1)*100,"")</f>
        <v/>
      </c>
      <c r="AY50" s="6">
        <f>IF(COUNT(AI50:AI51)=2,(AI50/AI51-1)*100,"")</f>
        <v/>
      </c>
      <c r="AZ50" s="6">
        <f>IF(COUNT(AN50:AN51)=2,(AN50/AN51-1)*100,"")</f>
        <v/>
      </c>
      <c r="BA50" s="6">
        <f>IF(COUNT(AS50:AS51)=2,(AS50/AS51-1)*100,"")</f>
        <v/>
      </c>
      <c r="BB50" s="5" t="n">
        <v>17.68</v>
      </c>
      <c r="BC50" s="6">
        <f>IF(COUNT(BB50:BB51)=2,(BB50/BB51-1)*100,"")</f>
        <v/>
      </c>
      <c r="BD50" s="6" t="n">
        <v>-9.0535</v>
      </c>
      <c r="BE50" s="6">
        <f>IF(AND(BD50&gt;$BE$12,D50&lt;=$BE$13),D49,"")</f>
        <v/>
      </c>
      <c r="BF50" s="6">
        <f>IF(AND(AV50&lt;$BF$12,AW50&gt;$BF$13),D49,"")</f>
        <v/>
      </c>
      <c r="BG50" s="6">
        <f>IF(AND(AT50&gt;$BG$12,AU50&lt;$BG$13,AV50&gt;$BG$11),D49,"")</f>
        <v/>
      </c>
      <c r="BH50" s="6">
        <f>IF(BE50&lt;&gt;"",BE50,IF(BF50&lt;&gt;"",BF50,BG50))</f>
        <v/>
      </c>
      <c r="BI50" s="6">
        <f>IF(AND(AZ50&gt;$BI$12,BA50&lt;$BI$13),E49,"")</f>
        <v/>
      </c>
      <c r="BJ50" s="6">
        <f>IF(AND(AX50&lt;=$BJ$12,E50&lt;$BJ$13),E49,"")</f>
        <v/>
      </c>
      <c r="BK50" s="6">
        <f>IF(AND(AY50&gt;$BK$12,AZ50&gt;$BK$13),E49,"")</f>
        <v/>
      </c>
      <c r="BL50" s="6">
        <f>IF(BI50&lt;&gt;"",BI50,IF(BJ50&lt;&gt;"",BJ50,BK50))</f>
        <v/>
      </c>
    </row>
    <row r="51">
      <c r="A51" s="5" t="inlineStr">
        <is>
          <t>2026/06/11</t>
        </is>
      </c>
      <c r="B51" s="5" t="n">
        <v>163.86</v>
      </c>
      <c r="C51" s="5" t="n">
        <v>178.87</v>
      </c>
      <c r="D51" s="6">
        <f>IF(COUNT(B51:B52)=2,(B51/B52-1)*100,"")</f>
        <v/>
      </c>
      <c r="E51" s="6">
        <f>IF(COUNT(C51:C52)=2,(C51/C52-1)*100,"")</f>
        <v/>
      </c>
      <c r="F51" s="5" t="n">
        <v>65.27</v>
      </c>
      <c r="G51" s="5" t="n">
        <v>67.59999999999999</v>
      </c>
      <c r="H51" s="5" t="n">
        <v>65.18000000000001</v>
      </c>
      <c r="I51" s="5" t="n">
        <v>67.5</v>
      </c>
      <c r="J51" s="5" t="n">
        <v>67.151</v>
      </c>
      <c r="K51" s="5" t="n">
        <v>373.96</v>
      </c>
      <c r="L51" s="5" t="n">
        <v>387.21</v>
      </c>
      <c r="M51" s="5" t="n">
        <v>371.88</v>
      </c>
      <c r="N51" s="5" t="n">
        <v>386.32</v>
      </c>
      <c r="O51" s="5" t="n">
        <v>386.32</v>
      </c>
      <c r="P51" s="5" t="n">
        <v>79.56999999999999</v>
      </c>
      <c r="Q51" s="5" t="n">
        <v>79.97</v>
      </c>
      <c r="R51" s="5" t="n">
        <v>79.52</v>
      </c>
      <c r="S51" s="5" t="n">
        <v>79.94</v>
      </c>
      <c r="T51" s="5" t="n">
        <v>79.1867</v>
      </c>
      <c r="U51" s="5" t="n">
        <v>109.33</v>
      </c>
      <c r="V51" s="5" t="n">
        <v>109.66</v>
      </c>
      <c r="W51" s="5" t="n">
        <v>109.21</v>
      </c>
      <c r="X51" s="5" t="n">
        <v>109.6</v>
      </c>
      <c r="Y51" s="5" t="n">
        <v>107.7497</v>
      </c>
      <c r="Z51" s="5" t="n">
        <v>52.35</v>
      </c>
      <c r="AA51" s="5" t="n">
        <v>52.77</v>
      </c>
      <c r="AB51" s="5" t="n">
        <v>52.04</v>
      </c>
      <c r="AC51" s="5" t="n">
        <v>52.62</v>
      </c>
      <c r="AD51" s="5" t="n">
        <v>52.4363</v>
      </c>
      <c r="AE51" s="5" t="n">
        <v>57.14</v>
      </c>
      <c r="AF51" s="5" t="n">
        <v>57.49</v>
      </c>
      <c r="AG51" s="5" t="n">
        <v>57.13</v>
      </c>
      <c r="AH51" s="5" t="n">
        <v>57.43</v>
      </c>
      <c r="AI51" s="5" t="n">
        <v>57.43</v>
      </c>
      <c r="AJ51" s="5" t="n">
        <v>73.98999999999999</v>
      </c>
      <c r="AK51" s="5" t="n">
        <v>78.18000000000001</v>
      </c>
      <c r="AL51" s="5" t="n">
        <v>73.77</v>
      </c>
      <c r="AM51" s="5" t="n">
        <v>77.72</v>
      </c>
      <c r="AN51" s="5" t="n">
        <v>77.72</v>
      </c>
      <c r="AO51" s="5" t="n">
        <v>110.89</v>
      </c>
      <c r="AP51" s="5" t="n">
        <v>112.52</v>
      </c>
      <c r="AQ51" s="5" t="n">
        <v>110.22</v>
      </c>
      <c r="AR51" s="5" t="n">
        <v>112.12</v>
      </c>
      <c r="AS51" s="5" t="n">
        <v>111.8291</v>
      </c>
      <c r="AT51" s="6">
        <f>IF(COUNT(J51:J52)=2,(J51/J52-1)*100,"")</f>
        <v/>
      </c>
      <c r="AU51" s="6">
        <f>IF(COUNT(O51:O52)=2,(O51/O52-1)*100,"")</f>
        <v/>
      </c>
      <c r="AV51" s="6">
        <f>IF(COUNT(T51:T52)=2,(T51/T52-1)*100,"")</f>
        <v/>
      </c>
      <c r="AW51" s="6">
        <f>IF(COUNT(Y51:Y52)=2,(Y51/Y52-1)*100,"")</f>
        <v/>
      </c>
      <c r="AX51" s="6">
        <f>IF(COUNT(AD51:AD52)=2,(AD51/AD52-1)*100,"")</f>
        <v/>
      </c>
      <c r="AY51" s="6">
        <f>IF(COUNT(AI51:AI52)=2,(AI51/AI52-1)*100,"")</f>
        <v/>
      </c>
      <c r="AZ51" s="6">
        <f>IF(COUNT(AN51:AN52)=2,(AN51/AN52-1)*100,"")</f>
        <v/>
      </c>
      <c r="BA51" s="6">
        <f>IF(COUNT(AS51:AS52)=2,(AS51/AS52-1)*100,"")</f>
        <v/>
      </c>
      <c r="BB51" s="5" t="n">
        <v>19.44</v>
      </c>
      <c r="BC51" s="6">
        <f>IF(COUNT(BB51:BB52)=2,(BB51/BB52-1)*100,"")</f>
        <v/>
      </c>
      <c r="BD51" s="6" t="n">
        <v>-12.5113</v>
      </c>
      <c r="BE51" s="6">
        <f>IF(AND(BD51&gt;$BE$12,D51&lt;=$BE$13),D50,"")</f>
        <v/>
      </c>
      <c r="BF51" s="6">
        <f>IF(AND(AV51&lt;$BF$12,AW51&gt;$BF$13),D50,"")</f>
        <v/>
      </c>
      <c r="BG51" s="6">
        <f>IF(AND(AT51&gt;$BG$12,AU51&lt;$BG$13,AV51&gt;$BG$11),D50,"")</f>
        <v/>
      </c>
      <c r="BH51" s="6">
        <f>IF(BE51&lt;&gt;"",BE51,IF(BF51&lt;&gt;"",BF51,BG51))</f>
        <v/>
      </c>
      <c r="BI51" s="6">
        <f>IF(AND(AZ51&gt;$BI$12,BA51&lt;$BI$13),E50,"")</f>
        <v/>
      </c>
      <c r="BJ51" s="6">
        <f>IF(AND(AX51&lt;=$BJ$12,E51&lt;$BJ$13),E50,"")</f>
        <v/>
      </c>
      <c r="BK51" s="6">
        <f>IF(AND(AY51&gt;$BK$12,AZ51&gt;$BK$13),E50,"")</f>
        <v/>
      </c>
      <c r="BL51" s="6">
        <f>IF(BI51&lt;&gt;"",BI51,IF(BJ51&lt;&gt;"",BJ51,BK51))</f>
        <v/>
      </c>
    </row>
    <row r="52">
      <c r="A52" s="5" t="inlineStr">
        <is>
          <t>2026/06/10</t>
        </is>
      </c>
      <c r="B52" s="5" t="n">
        <v>153.76</v>
      </c>
      <c r="C52" s="5" t="n">
        <v>172.89</v>
      </c>
      <c r="D52" s="6">
        <f>IF(COUNT(B52:B53)=2,(B52/B53-1)*100,"")</f>
        <v/>
      </c>
      <c r="E52" s="6">
        <f>IF(COUNT(C52:C53)=2,(C52/C53-1)*100,"")</f>
        <v/>
      </c>
      <c r="F52" s="5" t="n">
        <v>65.31</v>
      </c>
      <c r="G52" s="5" t="n">
        <v>66.28</v>
      </c>
      <c r="H52" s="5" t="n">
        <v>64.58</v>
      </c>
      <c r="I52" s="5" t="n">
        <v>64.66</v>
      </c>
      <c r="J52" s="5" t="n">
        <v>64.3257</v>
      </c>
      <c r="K52" s="5" t="n">
        <v>380.75</v>
      </c>
      <c r="L52" s="5" t="n">
        <v>384.21</v>
      </c>
      <c r="M52" s="5" t="n">
        <v>374.55</v>
      </c>
      <c r="N52" s="5" t="n">
        <v>374.58</v>
      </c>
      <c r="O52" s="5" t="n">
        <v>374.58</v>
      </c>
      <c r="P52" s="5" t="n">
        <v>79.56</v>
      </c>
      <c r="Q52" s="5" t="n">
        <v>79.64</v>
      </c>
      <c r="R52" s="5" t="n">
        <v>79.45</v>
      </c>
      <c r="S52" s="5" t="n">
        <v>79.47</v>
      </c>
      <c r="T52" s="5" t="n">
        <v>78.72110000000001</v>
      </c>
      <c r="U52" s="5" t="n">
        <v>109.46</v>
      </c>
      <c r="V52" s="5" t="n">
        <v>109.56</v>
      </c>
      <c r="W52" s="5" t="n">
        <v>109.21</v>
      </c>
      <c r="X52" s="5" t="n">
        <v>109.21</v>
      </c>
      <c r="Y52" s="5" t="n">
        <v>107.3663</v>
      </c>
      <c r="Z52" s="5" t="n">
        <v>52.5</v>
      </c>
      <c r="AA52" s="5" t="n">
        <v>52.81</v>
      </c>
      <c r="AB52" s="5" t="n">
        <v>52.21</v>
      </c>
      <c r="AC52" s="5" t="n">
        <v>52.23</v>
      </c>
      <c r="AD52" s="5" t="n">
        <v>52.0477</v>
      </c>
      <c r="AE52" s="5" t="n">
        <v>57.2</v>
      </c>
      <c r="AF52" s="5" t="n">
        <v>57.24</v>
      </c>
      <c r="AG52" s="5" t="n">
        <v>57.17</v>
      </c>
      <c r="AH52" s="5" t="n">
        <v>57.17</v>
      </c>
      <c r="AI52" s="5" t="n">
        <v>57.17</v>
      </c>
      <c r="AJ52" s="5" t="n">
        <v>74.79000000000001</v>
      </c>
      <c r="AK52" s="5" t="n">
        <v>76.8</v>
      </c>
      <c r="AL52" s="5" t="n">
        <v>73.63</v>
      </c>
      <c r="AM52" s="5" t="n">
        <v>73.81</v>
      </c>
      <c r="AN52" s="5" t="n">
        <v>73.81</v>
      </c>
      <c r="AO52" s="5" t="n">
        <v>111.59</v>
      </c>
      <c r="AP52" s="5" t="n">
        <v>112.45</v>
      </c>
      <c r="AQ52" s="5" t="n">
        <v>110.93</v>
      </c>
      <c r="AR52" s="5" t="n">
        <v>111.01</v>
      </c>
      <c r="AS52" s="5" t="n">
        <v>110.722</v>
      </c>
      <c r="AT52" s="6">
        <f>IF(COUNT(J52:J53)=2,(J52/J53-1)*100,"")</f>
        <v/>
      </c>
      <c r="AU52" s="6">
        <f>IF(COUNT(O52:O53)=2,(O52/O53-1)*100,"")</f>
        <v/>
      </c>
      <c r="AV52" s="6">
        <f>IF(COUNT(T52:T53)=2,(T52/T53-1)*100,"")</f>
        <v/>
      </c>
      <c r="AW52" s="6">
        <f>IF(COUNT(Y52:Y53)=2,(Y52/Y53-1)*100,"")</f>
        <v/>
      </c>
      <c r="AX52" s="6">
        <f>IF(COUNT(AD52:AD53)=2,(AD52/AD53-1)*100,"")</f>
        <v/>
      </c>
      <c r="AY52" s="6">
        <f>IF(COUNT(AI52:AI53)=2,(AI52/AI53-1)*100,"")</f>
        <v/>
      </c>
      <c r="AZ52" s="6">
        <f>IF(COUNT(AN52:AN53)=2,(AN52/AN53-1)*100,"")</f>
        <v/>
      </c>
      <c r="BA52" s="6">
        <f>IF(COUNT(AS52:AS53)=2,(AS52/AS53-1)*100,"")</f>
        <v/>
      </c>
      <c r="BB52" s="5" t="n">
        <v>22.22</v>
      </c>
      <c r="BC52" s="6">
        <f>IF(COUNT(BB52:BB53)=2,(BB52/BB53-1)*100,"")</f>
        <v/>
      </c>
      <c r="BD52" s="6" t="n">
        <v>11.8269</v>
      </c>
      <c r="BE52" s="6">
        <f>IF(AND(BD52&gt;$BE$12,D52&lt;=$BE$13),D51,"")</f>
        <v/>
      </c>
      <c r="BF52" s="6">
        <f>IF(AND(AV52&lt;$BF$12,AW52&gt;$BF$13),D51,"")</f>
        <v/>
      </c>
      <c r="BG52" s="6">
        <f>IF(AND(AT52&gt;$BG$12,AU52&lt;$BG$13,AV52&gt;$BG$11),D51,"")</f>
        <v/>
      </c>
      <c r="BH52" s="6">
        <f>IF(BE52&lt;&gt;"",BE52,IF(BF52&lt;&gt;"",BF52,BG52))</f>
        <v/>
      </c>
      <c r="BI52" s="6">
        <f>IF(AND(AZ52&gt;$BI$12,BA52&lt;$BI$13),E51,"")</f>
        <v/>
      </c>
      <c r="BJ52" s="6">
        <f>IF(AND(AX52&lt;=$BJ$12,E52&lt;$BJ$13),E51,"")</f>
        <v/>
      </c>
      <c r="BK52" s="6">
        <f>IF(AND(AY52&gt;$BK$12,AZ52&gt;$BK$13),E51,"")</f>
        <v/>
      </c>
      <c r="BL52" s="6">
        <f>IF(BI52&lt;&gt;"",BI52,IF(BJ52&lt;&gt;"",BJ52,BK52))</f>
        <v/>
      </c>
    </row>
    <row r="53">
      <c r="A53" s="5" t="inlineStr">
        <is>
          <t>2026/06/09</t>
        </is>
      </c>
      <c r="B53" s="5" t="n">
        <v>160.13</v>
      </c>
      <c r="C53" s="5" t="n">
        <v>178.67</v>
      </c>
      <c r="D53" s="6">
        <f>IF(COUNT(B53:B54)=2,(B53/B54-1)*100,"")</f>
        <v/>
      </c>
      <c r="E53" s="6">
        <f>IF(COUNT(C53:C54)=2,(C53/C54-1)*100,"")</f>
        <v/>
      </c>
      <c r="F53" s="5" t="n">
        <v>67.20999999999999</v>
      </c>
      <c r="G53" s="5" t="n">
        <v>67.45999999999999</v>
      </c>
      <c r="H53" s="5" t="n">
        <v>64.06999999999999</v>
      </c>
      <c r="I53" s="5" t="n">
        <v>65.81999999999999</v>
      </c>
      <c r="J53" s="5" t="n">
        <v>65.47969999999999</v>
      </c>
      <c r="K53" s="5" t="n">
        <v>397.57</v>
      </c>
      <c r="L53" s="5" t="n">
        <v>400.48</v>
      </c>
      <c r="M53" s="5" t="n">
        <v>388.75</v>
      </c>
      <c r="N53" s="5" t="n">
        <v>390.78</v>
      </c>
      <c r="O53" s="5" t="n">
        <v>390.78</v>
      </c>
      <c r="P53" s="5" t="n">
        <v>79.62</v>
      </c>
      <c r="Q53" s="5" t="n">
        <v>79.79000000000001</v>
      </c>
      <c r="R53" s="5" t="n">
        <v>79.42</v>
      </c>
      <c r="S53" s="5" t="n">
        <v>79.62</v>
      </c>
      <c r="T53" s="5" t="n">
        <v>78.86969999999999</v>
      </c>
      <c r="U53" s="5" t="n">
        <v>109.34</v>
      </c>
      <c r="V53" s="5" t="n">
        <v>109.4</v>
      </c>
      <c r="W53" s="5" t="n">
        <v>109.19</v>
      </c>
      <c r="X53" s="5" t="n">
        <v>109.32</v>
      </c>
      <c r="Y53" s="5" t="n">
        <v>107.4744</v>
      </c>
      <c r="Z53" s="5" t="n">
        <v>52.18</v>
      </c>
      <c r="AA53" s="5" t="n">
        <v>52.7</v>
      </c>
      <c r="AB53" s="5" t="n">
        <v>52.04</v>
      </c>
      <c r="AC53" s="5" t="n">
        <v>52.46</v>
      </c>
      <c r="AD53" s="5" t="n">
        <v>52.2769</v>
      </c>
      <c r="AE53" s="5" t="n">
        <v>57.28</v>
      </c>
      <c r="AF53" s="5" t="n">
        <v>57.31</v>
      </c>
      <c r="AG53" s="5" t="n">
        <v>57.21</v>
      </c>
      <c r="AH53" s="5" t="n">
        <v>57.23</v>
      </c>
      <c r="AI53" s="5" t="n">
        <v>57.23</v>
      </c>
      <c r="AJ53" s="5" t="n">
        <v>79.5</v>
      </c>
      <c r="AK53" s="5" t="n">
        <v>80.23</v>
      </c>
      <c r="AL53" s="5" t="n">
        <v>75.03</v>
      </c>
      <c r="AM53" s="5" t="n">
        <v>77.59</v>
      </c>
      <c r="AN53" s="5" t="n">
        <v>77.59</v>
      </c>
      <c r="AO53" s="5" t="n">
        <v>111.48</v>
      </c>
      <c r="AP53" s="5" t="n">
        <v>112.23</v>
      </c>
      <c r="AQ53" s="5" t="n">
        <v>110.48</v>
      </c>
      <c r="AR53" s="5" t="n">
        <v>111.48</v>
      </c>
      <c r="AS53" s="5" t="n">
        <v>111.1907</v>
      </c>
      <c r="AT53" s="6">
        <f>IF(COUNT(J53:J54)=2,(J53/J54-1)*100,"")</f>
        <v/>
      </c>
      <c r="AU53" s="6">
        <f>IF(COUNT(O53:O54)=2,(O53/O54-1)*100,"")</f>
        <v/>
      </c>
      <c r="AV53" s="6">
        <f>IF(COUNT(T53:T54)=2,(T53/T54-1)*100,"")</f>
        <v/>
      </c>
      <c r="AW53" s="6">
        <f>IF(COUNT(Y53:Y54)=2,(Y53/Y54-1)*100,"")</f>
        <v/>
      </c>
      <c r="AX53" s="6">
        <f>IF(COUNT(AD53:AD54)=2,(AD53/AD54-1)*100,"")</f>
        <v/>
      </c>
      <c r="AY53" s="6">
        <f>IF(COUNT(AI53:AI54)=2,(AI53/AI54-1)*100,"")</f>
        <v/>
      </c>
      <c r="AZ53" s="6">
        <f>IF(COUNT(AN53:AN54)=2,(AN53/AN54-1)*100,"")</f>
        <v/>
      </c>
      <c r="BA53" s="6">
        <f>IF(COUNT(AS53:AS54)=2,(AS53/AS54-1)*100,"")</f>
        <v/>
      </c>
      <c r="BB53" s="5" t="n">
        <v>19.87</v>
      </c>
      <c r="BC53" s="6">
        <f>IF(COUNT(BB53:BB54)=2,(BB53/BB54-1)*100,"")</f>
        <v/>
      </c>
      <c r="BD53" s="6" t="n">
        <v>5.0211</v>
      </c>
      <c r="BE53" s="6">
        <f>IF(AND(BD53&gt;$BE$12,D53&lt;=$BE$13),D52,"")</f>
        <v/>
      </c>
      <c r="BF53" s="6">
        <f>IF(AND(AV53&lt;$BF$12,AW53&gt;$BF$13),D52,"")</f>
        <v/>
      </c>
      <c r="BG53" s="6">
        <f>IF(AND(AT53&gt;$BG$12,AU53&lt;$BG$13,AV53&gt;$BG$11),D52,"")</f>
        <v/>
      </c>
      <c r="BH53" s="6">
        <f>IF(BE53&lt;&gt;"",BE53,IF(BF53&lt;&gt;"",BF53,BG53))</f>
        <v/>
      </c>
      <c r="BI53" s="6">
        <f>IF(AND(AZ53&gt;$BI$12,BA53&lt;$BI$13),E52,"")</f>
        <v/>
      </c>
      <c r="BJ53" s="6">
        <f>IF(AND(AX53&lt;=$BJ$12,E53&lt;$BJ$13),E52,"")</f>
        <v/>
      </c>
      <c r="BK53" s="6">
        <f>IF(AND(AY53&gt;$BK$12,AZ53&gt;$BK$13),E52,"")</f>
        <v/>
      </c>
      <c r="BL53" s="6">
        <f>IF(BI53&lt;&gt;"",BI53,IF(BJ53&lt;&gt;"",BJ53,BK53))</f>
        <v/>
      </c>
    </row>
    <row r="54">
      <c r="A54" s="5" t="inlineStr">
        <is>
          <t>2026/06/08</t>
        </is>
      </c>
      <c r="B54" s="5" t="n">
        <v>163.85</v>
      </c>
      <c r="C54" s="5" t="n">
        <v>179.65</v>
      </c>
      <c r="D54" s="6">
        <f>IF(COUNT(B54:B55)=2,(B54/B55-1)*100,"")</f>
        <v/>
      </c>
      <c r="E54" s="6">
        <f>IF(COUNT(C54:C55)=2,(C54/C55-1)*100,"")</f>
        <v/>
      </c>
      <c r="F54" s="5" t="n">
        <v>66.06999999999999</v>
      </c>
      <c r="G54" s="5" t="n">
        <v>66.37</v>
      </c>
      <c r="H54" s="5" t="n">
        <v>65.59</v>
      </c>
      <c r="I54" s="5" t="n">
        <v>65.75</v>
      </c>
      <c r="J54" s="5" t="n">
        <v>65.41</v>
      </c>
      <c r="K54" s="5" t="n">
        <v>397.52</v>
      </c>
      <c r="L54" s="5" t="n">
        <v>398.98</v>
      </c>
      <c r="M54" s="5" t="n">
        <v>396.03</v>
      </c>
      <c r="N54" s="5" t="n">
        <v>397.27</v>
      </c>
      <c r="O54" s="5" t="n">
        <v>397.27</v>
      </c>
      <c r="P54" s="5" t="n">
        <v>79.59999999999999</v>
      </c>
      <c r="Q54" s="5" t="n">
        <v>79.65000000000001</v>
      </c>
      <c r="R54" s="5" t="n">
        <v>79.48</v>
      </c>
      <c r="S54" s="5" t="n">
        <v>79.54000000000001</v>
      </c>
      <c r="T54" s="5" t="n">
        <v>78.79049999999999</v>
      </c>
      <c r="U54" s="5" t="n">
        <v>109.5</v>
      </c>
      <c r="V54" s="5" t="n">
        <v>109.52</v>
      </c>
      <c r="W54" s="5" t="n">
        <v>109.12</v>
      </c>
      <c r="X54" s="5" t="n">
        <v>109.13</v>
      </c>
      <c r="Y54" s="5" t="n">
        <v>107.2877</v>
      </c>
      <c r="Z54" s="5" t="n">
        <v>52.24</v>
      </c>
      <c r="AA54" s="5" t="n">
        <v>52.47</v>
      </c>
      <c r="AB54" s="5" t="n">
        <v>51.96</v>
      </c>
      <c r="AC54" s="5" t="n">
        <v>51.97</v>
      </c>
      <c r="AD54" s="5" t="n">
        <v>51.7886</v>
      </c>
      <c r="AE54" s="5" t="n">
        <v>57.38</v>
      </c>
      <c r="AF54" s="5" t="n">
        <v>57.39</v>
      </c>
      <c r="AG54" s="5" t="n">
        <v>57.27</v>
      </c>
      <c r="AH54" s="5" t="n">
        <v>57.28</v>
      </c>
      <c r="AI54" s="5" t="n">
        <v>57.28</v>
      </c>
      <c r="AJ54" s="5" t="n">
        <v>79.36</v>
      </c>
      <c r="AK54" s="5" t="n">
        <v>80.3</v>
      </c>
      <c r="AL54" s="5" t="n">
        <v>78.45999999999999</v>
      </c>
      <c r="AM54" s="5" t="n">
        <v>78.67</v>
      </c>
      <c r="AN54" s="5" t="n">
        <v>78.67</v>
      </c>
      <c r="AO54" s="5" t="n">
        <v>111.41</v>
      </c>
      <c r="AP54" s="5" t="n">
        <v>111.465</v>
      </c>
      <c r="AQ54" s="5" t="n">
        <v>110.12</v>
      </c>
      <c r="AR54" s="5" t="n">
        <v>111.09</v>
      </c>
      <c r="AS54" s="5" t="n">
        <v>110.8017</v>
      </c>
      <c r="AT54" s="6">
        <f>IF(COUNT(J54:J55)=2,(J54/J55-1)*100,"")</f>
        <v/>
      </c>
      <c r="AU54" s="6">
        <f>IF(COUNT(O54:O55)=2,(O54/O55-1)*100,"")</f>
        <v/>
      </c>
      <c r="AV54" s="6">
        <f>IF(COUNT(T54:T55)=2,(T54/T55-1)*100,"")</f>
        <v/>
      </c>
      <c r="AW54" s="6">
        <f>IF(COUNT(Y54:Y55)=2,(Y54/Y55-1)*100,"")</f>
        <v/>
      </c>
      <c r="AX54" s="6">
        <f>IF(COUNT(AD54:AD55)=2,(AD54/AD55-1)*100,"")</f>
        <v/>
      </c>
      <c r="AY54" s="6">
        <f>IF(COUNT(AI54:AI55)=2,(AI54/AI55-1)*100,"")</f>
        <v/>
      </c>
      <c r="AZ54" s="6">
        <f>IF(COUNT(AN54:AN55)=2,(AN54/AN55-1)*100,"")</f>
        <v/>
      </c>
      <c r="BA54" s="6">
        <f>IF(COUNT(AS54:AS55)=2,(AS54/AS55-1)*100,"")</f>
        <v/>
      </c>
      <c r="BB54" s="5" t="n">
        <v>18.92</v>
      </c>
      <c r="BC54" s="6">
        <f>IF(COUNT(BB54:BB55)=2,(BB54/BB55-1)*100,"")</f>
        <v/>
      </c>
      <c r="BD54" s="6" t="n">
        <v>-12.0409</v>
      </c>
      <c r="BE54" s="6">
        <f>IF(AND(BD54&gt;$BE$12,D54&lt;=$BE$13),D53,"")</f>
        <v/>
      </c>
      <c r="BF54" s="6">
        <f>IF(AND(AV54&lt;$BF$12,AW54&gt;$BF$13),D53,"")</f>
        <v/>
      </c>
      <c r="BG54" s="6">
        <f>IF(AND(AT54&gt;$BG$12,AU54&lt;$BG$13,AV54&gt;$BG$11),D53,"")</f>
        <v/>
      </c>
      <c r="BH54" s="6">
        <f>IF(BE54&lt;&gt;"",BE54,IF(BF54&lt;&gt;"",BF54,BG54))</f>
        <v/>
      </c>
      <c r="BI54" s="6">
        <f>IF(AND(AZ54&gt;$BI$12,BA54&lt;$BI$13),E53,"")</f>
        <v/>
      </c>
      <c r="BJ54" s="6">
        <f>IF(AND(AX54&lt;=$BJ$12,E54&lt;$BJ$13),E53,"")</f>
        <v/>
      </c>
      <c r="BK54" s="6">
        <f>IF(AND(AY54&gt;$BK$12,AZ54&gt;$BK$13),E53,"")</f>
        <v/>
      </c>
      <c r="BL54" s="6">
        <f>IF(BI54&lt;&gt;"",BI54,IF(BJ54&lt;&gt;"",BJ54,BK54))</f>
        <v/>
      </c>
    </row>
    <row r="55">
      <c r="A55" s="5" t="inlineStr">
        <is>
          <t>2026/06/05</t>
        </is>
      </c>
      <c r="B55" s="5" t="n">
        <v>158.91</v>
      </c>
      <c r="C55" s="5" t="n">
        <v>178.71</v>
      </c>
      <c r="D55" s="6">
        <f>IF(COUNT(B55:B56)=2,(B55/B56-1)*100,"")</f>
        <v/>
      </c>
      <c r="E55" s="6">
        <f>IF(COUNT(C55:C56)=2,(C55/C56-1)*100,"")</f>
        <v/>
      </c>
      <c r="F55" s="5" t="n">
        <v>66.73</v>
      </c>
      <c r="G55" s="5" t="n">
        <v>66.89</v>
      </c>
      <c r="H55" s="5" t="n">
        <v>64.36</v>
      </c>
      <c r="I55" s="5" t="n">
        <v>64.59</v>
      </c>
      <c r="J55" s="5" t="n">
        <v>64.256</v>
      </c>
      <c r="K55" s="5" t="n">
        <v>404.38</v>
      </c>
      <c r="L55" s="5" t="n">
        <v>404.72</v>
      </c>
      <c r="M55" s="5" t="n">
        <v>395.92</v>
      </c>
      <c r="N55" s="5" t="n">
        <v>396.24</v>
      </c>
      <c r="O55" s="5" t="n">
        <v>396.24</v>
      </c>
      <c r="P55" s="5" t="n">
        <v>79.7</v>
      </c>
      <c r="Q55" s="5" t="n">
        <v>79.72</v>
      </c>
      <c r="R55" s="5" t="n">
        <v>79.34999999999999</v>
      </c>
      <c r="S55" s="5" t="n">
        <v>79.43000000000001</v>
      </c>
      <c r="T55" s="5" t="n">
        <v>78.6815</v>
      </c>
      <c r="U55" s="5" t="n">
        <v>109.42</v>
      </c>
      <c r="V55" s="5" t="n">
        <v>109.48</v>
      </c>
      <c r="W55" s="5" t="n">
        <v>109.25</v>
      </c>
      <c r="X55" s="5" t="n">
        <v>109.25</v>
      </c>
      <c r="Y55" s="5" t="n">
        <v>107.4056</v>
      </c>
      <c r="Z55" s="5" t="n">
        <v>52.38</v>
      </c>
      <c r="AA55" s="5" t="n">
        <v>52.48</v>
      </c>
      <c r="AB55" s="5" t="n">
        <v>52.06</v>
      </c>
      <c r="AC55" s="5" t="n">
        <v>52.3</v>
      </c>
      <c r="AD55" s="5" t="n">
        <v>52.1174</v>
      </c>
      <c r="AE55" s="5" t="n">
        <v>57.32</v>
      </c>
      <c r="AF55" s="5" t="n">
        <v>57.38</v>
      </c>
      <c r="AG55" s="5" t="n">
        <v>57.25</v>
      </c>
      <c r="AH55" s="5" t="n">
        <v>57.31</v>
      </c>
      <c r="AI55" s="5" t="n">
        <v>57.31</v>
      </c>
      <c r="AJ55" s="5" t="n">
        <v>83.8</v>
      </c>
      <c r="AK55" s="5" t="n">
        <v>83.84999999999999</v>
      </c>
      <c r="AL55" s="5" t="n">
        <v>78.78</v>
      </c>
      <c r="AM55" s="5" t="n">
        <v>78.84</v>
      </c>
      <c r="AN55" s="5" t="n">
        <v>78.84</v>
      </c>
      <c r="AO55" s="5" t="n">
        <v>112.79</v>
      </c>
      <c r="AP55" s="5" t="n">
        <v>113.36</v>
      </c>
      <c r="AQ55" s="5" t="n">
        <v>111.135</v>
      </c>
      <c r="AR55" s="5" t="n">
        <v>111.67</v>
      </c>
      <c r="AS55" s="5" t="n">
        <v>111.3802</v>
      </c>
      <c r="AT55" s="6">
        <f>IF(COUNT(J55:J56)=2,(J55/J56-1)*100,"")</f>
        <v/>
      </c>
      <c r="AU55" s="6">
        <f>IF(COUNT(O55:O56)=2,(O55/O56-1)*100,"")</f>
        <v/>
      </c>
      <c r="AV55" s="6">
        <f>IF(COUNT(T55:T56)=2,(T55/T56-1)*100,"")</f>
        <v/>
      </c>
      <c r="AW55" s="6">
        <f>IF(COUNT(Y55:Y56)=2,(Y55/Y56-1)*100,"")</f>
        <v/>
      </c>
      <c r="AX55" s="6">
        <f>IF(COUNT(AD55:AD56)=2,(AD55/AD56-1)*100,"")</f>
        <v/>
      </c>
      <c r="AY55" s="6">
        <f>IF(COUNT(AI55:AI56)=2,(AI55/AI56-1)*100,"")</f>
        <v/>
      </c>
      <c r="AZ55" s="6">
        <f>IF(COUNT(AN55:AN56)=2,(AN55/AN56-1)*100,"")</f>
        <v/>
      </c>
      <c r="BA55" s="6">
        <f>IF(COUNT(AS55:AS56)=2,(AS55/AS56-1)*100,"")</f>
        <v/>
      </c>
      <c r="BB55" s="5" t="n">
        <v>21.51</v>
      </c>
      <c r="BC55" s="6">
        <f>IF(COUNT(BB55:BB56)=2,(BB55/BB56-1)*100,"")</f>
        <v/>
      </c>
      <c r="BD55" s="6" t="n">
        <v>39.6753</v>
      </c>
      <c r="BE55" s="6">
        <f>IF(AND(BD55&gt;$BE$12,D55&lt;=$BE$13),D54,"")</f>
        <v/>
      </c>
      <c r="BF55" s="6">
        <f>IF(AND(AV55&lt;$BF$12,AW55&gt;$BF$13),D54,"")</f>
        <v/>
      </c>
      <c r="BG55" s="6">
        <f>IF(AND(AT55&gt;$BG$12,AU55&lt;$BG$13,AV55&gt;$BG$11),D54,"")</f>
        <v/>
      </c>
      <c r="BH55" s="6">
        <f>IF(BE55&lt;&gt;"",BE55,IF(BF55&lt;&gt;"",BF55,BG55))</f>
        <v/>
      </c>
      <c r="BI55" s="6">
        <f>IF(AND(AZ55&gt;$BI$12,BA55&lt;$BI$13),E54,"")</f>
        <v/>
      </c>
      <c r="BJ55" s="6">
        <f>IF(AND(AX55&lt;=$BJ$12,E55&lt;$BJ$13),E54,"")</f>
        <v/>
      </c>
      <c r="BK55" s="6">
        <f>IF(AND(AY55&gt;$BK$12,AZ55&gt;$BK$13),E54,"")</f>
        <v/>
      </c>
      <c r="BL55" s="6">
        <f>IF(BI55&lt;&gt;"",BI55,IF(BJ55&lt;&gt;"",BJ55,BK55))</f>
        <v/>
      </c>
    </row>
    <row r="56">
      <c r="A56" s="5" t="inlineStr">
        <is>
          <t>2026/06/04</t>
        </is>
      </c>
      <c r="B56" s="5" t="n">
        <v>175.71</v>
      </c>
      <c r="C56" s="5" t="n">
        <v>188.65</v>
      </c>
      <c r="D56" s="6">
        <f>IF(COUNT(B56:B57)=2,(B56/B57-1)*100,"")</f>
        <v/>
      </c>
      <c r="E56" s="6">
        <f>IF(COUNT(C56:C57)=2,(C56/C57-1)*100,"")</f>
        <v/>
      </c>
      <c r="F56" s="5" t="n">
        <v>68.52</v>
      </c>
      <c r="G56" s="5" t="n">
        <v>69.29000000000001</v>
      </c>
      <c r="H56" s="5" t="n">
        <v>68.08</v>
      </c>
      <c r="I56" s="5" t="n">
        <v>69.09999999999999</v>
      </c>
      <c r="J56" s="5" t="n">
        <v>68.7427</v>
      </c>
      <c r="K56" s="5" t="n">
        <v>413.37</v>
      </c>
      <c r="L56" s="5" t="n">
        <v>414.37</v>
      </c>
      <c r="M56" s="5" t="n">
        <v>409.01</v>
      </c>
      <c r="N56" s="5" t="n">
        <v>411.27</v>
      </c>
      <c r="O56" s="5" t="n">
        <v>411.27</v>
      </c>
      <c r="P56" s="5" t="n">
        <v>79.75</v>
      </c>
      <c r="Q56" s="5" t="n">
        <v>79.84999999999999</v>
      </c>
      <c r="R56" s="5" t="n">
        <v>79.75</v>
      </c>
      <c r="S56" s="5" t="n">
        <v>79.83</v>
      </c>
      <c r="T56" s="5" t="n">
        <v>79.07769999999999</v>
      </c>
      <c r="U56" s="5" t="n">
        <v>109.84</v>
      </c>
      <c r="V56" s="5" t="n">
        <v>109.86</v>
      </c>
      <c r="W56" s="5" t="n">
        <v>109.73</v>
      </c>
      <c r="X56" s="5" t="n">
        <v>109.78</v>
      </c>
      <c r="Y56" s="5" t="n">
        <v>107.9267</v>
      </c>
      <c r="Z56" s="5" t="n">
        <v>51.54</v>
      </c>
      <c r="AA56" s="5" t="n">
        <v>52.3</v>
      </c>
      <c r="AB56" s="5" t="n">
        <v>51.48</v>
      </c>
      <c r="AC56" s="5" t="n">
        <v>52.19</v>
      </c>
      <c r="AD56" s="5" t="n">
        <v>52.0078</v>
      </c>
      <c r="AE56" s="5" t="n">
        <v>57.4</v>
      </c>
      <c r="AF56" s="5" t="n">
        <v>57.42</v>
      </c>
      <c r="AG56" s="5" t="n">
        <v>57.34</v>
      </c>
      <c r="AH56" s="5" t="n">
        <v>57.35</v>
      </c>
      <c r="AI56" s="5" t="n">
        <v>57.35</v>
      </c>
      <c r="AJ56" s="5" t="n">
        <v>86.36</v>
      </c>
      <c r="AK56" s="5" t="n">
        <v>87.47</v>
      </c>
      <c r="AL56" s="5" t="n">
        <v>85.63</v>
      </c>
      <c r="AM56" s="5" t="n">
        <v>86.40000000000001</v>
      </c>
      <c r="AN56" s="5" t="n">
        <v>86.40000000000001</v>
      </c>
      <c r="AO56" s="5" t="n">
        <v>112.74</v>
      </c>
      <c r="AP56" s="5" t="n">
        <v>114.365</v>
      </c>
      <c r="AQ56" s="5" t="n">
        <v>112.69</v>
      </c>
      <c r="AR56" s="5" t="n">
        <v>113.11</v>
      </c>
      <c r="AS56" s="5" t="n">
        <v>112.8165</v>
      </c>
      <c r="AT56" s="6">
        <f>IF(COUNT(J56:J57)=2,(J56/J57-1)*100,"")</f>
        <v/>
      </c>
      <c r="AU56" s="6">
        <f>IF(COUNT(O56:O57)=2,(O56/O57-1)*100,"")</f>
        <v/>
      </c>
      <c r="AV56" s="6">
        <f>IF(COUNT(T56:T57)=2,(T56/T57-1)*100,"")</f>
        <v/>
      </c>
      <c r="AW56" s="6">
        <f>IF(COUNT(Y56:Y57)=2,(Y56/Y57-1)*100,"")</f>
        <v/>
      </c>
      <c r="AX56" s="6">
        <f>IF(COUNT(AD56:AD57)=2,(AD56/AD57-1)*100,"")</f>
        <v/>
      </c>
      <c r="AY56" s="6">
        <f>IF(COUNT(AI56:AI57)=2,(AI56/AI57-1)*100,"")</f>
        <v/>
      </c>
      <c r="AZ56" s="6">
        <f>IF(COUNT(AN56:AN57)=2,(AN56/AN57-1)*100,"")</f>
        <v/>
      </c>
      <c r="BA56" s="6">
        <f>IF(COUNT(AS56:AS57)=2,(AS56/AS57-1)*100,"")</f>
        <v/>
      </c>
      <c r="BB56" s="5" t="n">
        <v>15.4</v>
      </c>
      <c r="BC56" s="6">
        <f>IF(COUNT(BB56:BB57)=2,(BB56/BB57-1)*100,"")</f>
        <v/>
      </c>
      <c r="BD56" s="6" t="n">
        <v>-4.1096</v>
      </c>
      <c r="BE56" s="6">
        <f>IF(AND(BD56&gt;$BE$12,D56&lt;=$BE$13),D55,"")</f>
        <v/>
      </c>
      <c r="BF56" s="6">
        <f>IF(AND(AV56&lt;$BF$12,AW56&gt;$BF$13),D55,"")</f>
        <v/>
      </c>
      <c r="BG56" s="6">
        <f>IF(AND(AT56&gt;$BG$12,AU56&lt;$BG$13,AV56&gt;$BG$11),D55,"")</f>
        <v/>
      </c>
      <c r="BH56" s="6">
        <f>IF(BE56&lt;&gt;"",BE56,IF(BF56&lt;&gt;"",BF56,BG56))</f>
        <v/>
      </c>
      <c r="BI56" s="6">
        <f>IF(AND(AZ56&gt;$BI$12,BA56&lt;$BI$13),E55,"")</f>
        <v/>
      </c>
      <c r="BJ56" s="6">
        <f>IF(AND(AX56&lt;=$BJ$12,E56&lt;$BJ$13),E55,"")</f>
        <v/>
      </c>
      <c r="BK56" s="6">
        <f>IF(AND(AY56&gt;$BK$12,AZ56&gt;$BK$13),E55,"")</f>
        <v/>
      </c>
      <c r="BL56" s="6">
        <f>IF(BI56&lt;&gt;"",BI56,IF(BJ56&lt;&gt;"",BJ56,BK56))</f>
        <v/>
      </c>
    </row>
    <row r="57">
      <c r="A57" s="5" t="inlineStr">
        <is>
          <t>2026/06/03</t>
        </is>
      </c>
      <c r="B57" s="5" t="n">
        <v>177.54</v>
      </c>
      <c r="C57" s="5" t="n">
        <v>187.13</v>
      </c>
      <c r="D57" s="6">
        <f>IF(COUNT(B57:B58)=2,(B57/B58-1)*100,"")</f>
        <v/>
      </c>
      <c r="E57" s="6">
        <f>IF(COUNT(C57:C58)=2,(C57/C58-1)*100,"")</f>
        <v/>
      </c>
      <c r="F57" s="5" t="n">
        <v>70.42</v>
      </c>
      <c r="G57" s="5" t="n">
        <v>70.47</v>
      </c>
      <c r="H57" s="5" t="n">
        <v>69.56</v>
      </c>
      <c r="I57" s="5" t="n">
        <v>69.92</v>
      </c>
      <c r="J57" s="5" t="n">
        <v>69.55840000000001</v>
      </c>
      <c r="K57" s="5" t="n">
        <v>408.38</v>
      </c>
      <c r="L57" s="5" t="n">
        <v>409.38</v>
      </c>
      <c r="M57" s="5" t="n">
        <v>406.23</v>
      </c>
      <c r="N57" s="5" t="n">
        <v>407.87</v>
      </c>
      <c r="O57" s="5" t="n">
        <v>407.87</v>
      </c>
      <c r="P57" s="5" t="n">
        <v>79.75</v>
      </c>
      <c r="Q57" s="5" t="n">
        <v>79.78</v>
      </c>
      <c r="R57" s="5" t="n">
        <v>79.63</v>
      </c>
      <c r="S57" s="5" t="n">
        <v>79.68000000000001</v>
      </c>
      <c r="T57" s="5" t="n">
        <v>78.92910000000001</v>
      </c>
      <c r="U57" s="5" t="n">
        <v>109.81</v>
      </c>
      <c r="V57" s="5" t="n">
        <v>109.91</v>
      </c>
      <c r="W57" s="5" t="n">
        <v>109.68</v>
      </c>
      <c r="X57" s="5" t="n">
        <v>109.77</v>
      </c>
      <c r="Y57" s="5" t="n">
        <v>107.9168</v>
      </c>
      <c r="Z57" s="5" t="n">
        <v>51.14</v>
      </c>
      <c r="AA57" s="5" t="n">
        <v>51.16</v>
      </c>
      <c r="AB57" s="5" t="n">
        <v>50.52</v>
      </c>
      <c r="AC57" s="5" t="n">
        <v>50.87</v>
      </c>
      <c r="AD57" s="5" t="n">
        <v>50.6924</v>
      </c>
      <c r="AE57" s="5" t="n">
        <v>57.39</v>
      </c>
      <c r="AF57" s="5" t="n">
        <v>57.41</v>
      </c>
      <c r="AG57" s="5" t="n">
        <v>57.34</v>
      </c>
      <c r="AH57" s="5" t="n">
        <v>57.34</v>
      </c>
      <c r="AI57" s="5" t="n">
        <v>57.34</v>
      </c>
      <c r="AJ57" s="5" t="n">
        <v>86.51000000000001</v>
      </c>
      <c r="AK57" s="5" t="n">
        <v>86.93000000000001</v>
      </c>
      <c r="AL57" s="5" t="n">
        <v>84.94</v>
      </c>
      <c r="AM57" s="5" t="n">
        <v>85</v>
      </c>
      <c r="AN57" s="5" t="n">
        <v>85</v>
      </c>
      <c r="AO57" s="5" t="n">
        <v>113.24</v>
      </c>
      <c r="AP57" s="5" t="n">
        <v>113.43</v>
      </c>
      <c r="AQ57" s="5" t="n">
        <v>111.76</v>
      </c>
      <c r="AR57" s="5" t="n">
        <v>112.08</v>
      </c>
      <c r="AS57" s="5" t="n">
        <v>111.7892</v>
      </c>
      <c r="AT57" s="6">
        <f>IF(COUNT(J57:J58)=2,(J57/J58-1)*100,"")</f>
        <v/>
      </c>
      <c r="AU57" s="6">
        <f>IF(COUNT(O57:O58)=2,(O57/O58-1)*100,"")</f>
        <v/>
      </c>
      <c r="AV57" s="6">
        <f>IF(COUNT(T57:T58)=2,(T57/T58-1)*100,"")</f>
        <v/>
      </c>
      <c r="AW57" s="6">
        <f>IF(COUNT(Y57:Y58)=2,(Y57/Y58-1)*100,"")</f>
        <v/>
      </c>
      <c r="AX57" s="6">
        <f>IF(COUNT(AD57:AD58)=2,(AD57/AD58-1)*100,"")</f>
        <v/>
      </c>
      <c r="AY57" s="6">
        <f>IF(COUNT(AI57:AI58)=2,(AI57/AI58-1)*100,"")</f>
        <v/>
      </c>
      <c r="AZ57" s="6">
        <f>IF(COUNT(AN57:AN58)=2,(AN57/AN58-1)*100,"")</f>
        <v/>
      </c>
      <c r="BA57" s="6">
        <f>IF(COUNT(AS57:AS58)=2,(AS57/AS58-1)*100,"")</f>
        <v/>
      </c>
      <c r="BB57" s="5" t="n">
        <v>16.06</v>
      </c>
      <c r="BC57" s="6">
        <f>IF(COUNT(BB57:BB58)=2,(BB57/BB58-1)*100,"")</f>
        <v/>
      </c>
      <c r="BD57" s="6" t="n">
        <v>1.8389</v>
      </c>
      <c r="BE57" s="6">
        <f>IF(AND(BD57&gt;$BE$12,D57&lt;=$BE$13),D56,"")</f>
        <v/>
      </c>
      <c r="BF57" s="6">
        <f>IF(AND(AV57&lt;$BF$12,AW57&gt;$BF$13),D56,"")</f>
        <v/>
      </c>
      <c r="BG57" s="6">
        <f>IF(AND(AT57&gt;$BG$12,AU57&lt;$BG$13,AV57&gt;$BG$11),D56,"")</f>
        <v/>
      </c>
      <c r="BH57" s="6">
        <f>IF(BE57&lt;&gt;"",BE57,IF(BF57&lt;&gt;"",BF57,BG57))</f>
        <v/>
      </c>
      <c r="BI57" s="6">
        <f>IF(AND(AZ57&gt;$BI$12,BA57&lt;$BI$13),E56,"")</f>
        <v/>
      </c>
      <c r="BJ57" s="6">
        <f>IF(AND(AX57&lt;=$BJ$12,E57&lt;$BJ$13),E56,"")</f>
        <v/>
      </c>
      <c r="BK57" s="6">
        <f>IF(AND(AY57&gt;$BK$12,AZ57&gt;$BK$13),E56,"")</f>
        <v/>
      </c>
      <c r="BL57" s="6">
        <f>IF(BI57&lt;&gt;"",BI57,IF(BJ57&lt;&gt;"",BJ57,BK57))</f>
        <v/>
      </c>
    </row>
    <row r="58">
      <c r="A58" s="5" t="inlineStr">
        <is>
          <t>2026/06/02</t>
        </is>
      </c>
      <c r="B58" s="5" t="n">
        <v>178.58</v>
      </c>
      <c r="C58" s="5" t="n">
        <v>189.9</v>
      </c>
      <c r="D58" s="6">
        <f>IF(COUNT(B58:B59)=2,(B58/B59-1)*100,"")</f>
        <v/>
      </c>
      <c r="E58" s="6">
        <f>IF(COUNT(C58:C59)=2,(C58/C59-1)*100,"")</f>
        <v/>
      </c>
      <c r="F58" s="5" t="n">
        <v>70.29000000000001</v>
      </c>
      <c r="G58" s="5" t="n">
        <v>70.86</v>
      </c>
      <c r="H58" s="5" t="n">
        <v>70.06</v>
      </c>
      <c r="I58" s="5" t="n">
        <v>70.8</v>
      </c>
      <c r="J58" s="5" t="n">
        <v>70.43389999999999</v>
      </c>
      <c r="K58" s="5" t="n">
        <v>414.08</v>
      </c>
      <c r="L58" s="5" t="n">
        <v>414.4</v>
      </c>
      <c r="M58" s="5" t="n">
        <v>411.1</v>
      </c>
      <c r="N58" s="5" t="n">
        <v>411.95</v>
      </c>
      <c r="O58" s="5" t="n">
        <v>411.95</v>
      </c>
      <c r="P58" s="5" t="n">
        <v>79.84</v>
      </c>
      <c r="Q58" s="5" t="n">
        <v>79.90000000000001</v>
      </c>
      <c r="R58" s="5" t="n">
        <v>79.79000000000001</v>
      </c>
      <c r="S58" s="5" t="n">
        <v>79.90000000000001</v>
      </c>
      <c r="T58" s="5" t="n">
        <v>79.14709999999999</v>
      </c>
      <c r="U58" s="5" t="n">
        <v>110.11</v>
      </c>
      <c r="V58" s="5" t="n">
        <v>110.12</v>
      </c>
      <c r="W58" s="5" t="n">
        <v>109.96</v>
      </c>
      <c r="X58" s="5" t="n">
        <v>109.97</v>
      </c>
      <c r="Y58" s="5" t="n">
        <v>108.1135</v>
      </c>
      <c r="Z58" s="5" t="n">
        <v>51.23</v>
      </c>
      <c r="AA58" s="5" t="n">
        <v>51.66</v>
      </c>
      <c r="AB58" s="5" t="n">
        <v>50.98</v>
      </c>
      <c r="AC58" s="5" t="n">
        <v>51.46</v>
      </c>
      <c r="AD58" s="5" t="n">
        <v>51.2804</v>
      </c>
      <c r="AE58" s="5" t="n">
        <v>57.43</v>
      </c>
      <c r="AF58" s="5" t="n">
        <v>57.46</v>
      </c>
      <c r="AG58" s="5" t="n">
        <v>57.39</v>
      </c>
      <c r="AH58" s="5" t="n">
        <v>57.43</v>
      </c>
      <c r="AI58" s="5" t="n">
        <v>57.43</v>
      </c>
      <c r="AJ58" s="5" t="n">
        <v>87.93000000000001</v>
      </c>
      <c r="AK58" s="5" t="n">
        <v>88.29000000000001</v>
      </c>
      <c r="AL58" s="5" t="n">
        <v>85.98999999999999</v>
      </c>
      <c r="AM58" s="5" t="n">
        <v>88.05</v>
      </c>
      <c r="AN58" s="5" t="n">
        <v>88.05</v>
      </c>
      <c r="AO58" s="5" t="n">
        <v>114.755</v>
      </c>
      <c r="AP58" s="5" t="n">
        <v>114.9</v>
      </c>
      <c r="AQ58" s="5" t="n">
        <v>113.52</v>
      </c>
      <c r="AR58" s="5" t="n">
        <v>113.57</v>
      </c>
      <c r="AS58" s="5" t="n">
        <v>113.2753</v>
      </c>
      <c r="AT58" s="6">
        <f>IF(COUNT(J58:J59)=2,(J58/J59-1)*100,"")</f>
        <v/>
      </c>
      <c r="AU58" s="6">
        <f>IF(COUNT(O58:O59)=2,(O58/O59-1)*100,"")</f>
        <v/>
      </c>
      <c r="AV58" s="6">
        <f>IF(COUNT(T58:T59)=2,(T58/T59-1)*100,"")</f>
        <v/>
      </c>
      <c r="AW58" s="6">
        <f>IF(COUNT(Y58:Y59)=2,(Y58/Y59-1)*100,"")</f>
        <v/>
      </c>
      <c r="AX58" s="6">
        <f>IF(COUNT(AD58:AD59)=2,(AD58/AD59-1)*100,"")</f>
        <v/>
      </c>
      <c r="AY58" s="6">
        <f>IF(COUNT(AI58:AI59)=2,(AI58/AI59-1)*100,"")</f>
        <v/>
      </c>
      <c r="AZ58" s="6">
        <f>IF(COUNT(AN58:AN59)=2,(AN58/AN59-1)*100,"")</f>
        <v/>
      </c>
      <c r="BA58" s="6">
        <f>IF(COUNT(AS58:AS59)=2,(AS58/AS59-1)*100,"")</f>
        <v/>
      </c>
      <c r="BB58" s="5" t="n">
        <v>15.77</v>
      </c>
      <c r="BC58" s="6">
        <f>IF(COUNT(BB58:BB59)=2,(BB58/BB59-1)*100,"")</f>
        <v/>
      </c>
      <c r="BD58" s="6" t="n">
        <v>-1.7445</v>
      </c>
      <c r="BE58" s="6">
        <f>IF(AND(BD58&gt;$BE$12,D58&lt;=$BE$13),D57,"")</f>
        <v/>
      </c>
      <c r="BF58" s="6">
        <f>IF(AND(AV58&lt;$BF$12,AW58&gt;$BF$13),D57,"")</f>
        <v/>
      </c>
      <c r="BG58" s="6">
        <f>IF(AND(AT58&gt;$BG$12,AU58&lt;$BG$13,AV58&gt;$BG$11),D57,"")</f>
        <v/>
      </c>
      <c r="BH58" s="6">
        <f>IF(BE58&lt;&gt;"",BE58,IF(BF58&lt;&gt;"",BF58,BG58))</f>
        <v/>
      </c>
      <c r="BI58" s="6">
        <f>IF(AND(AZ58&gt;$BI$12,BA58&lt;$BI$13),E57,"")</f>
        <v/>
      </c>
      <c r="BJ58" s="6">
        <f>IF(AND(AX58&lt;=$BJ$12,E58&lt;$BJ$13),E57,"")</f>
        <v/>
      </c>
      <c r="BK58" s="6">
        <f>IF(AND(AY58&gt;$BK$12,AZ58&gt;$BK$13),E57,"")</f>
        <v/>
      </c>
      <c r="BL58" s="6">
        <f>IF(BI58&lt;&gt;"",BI58,IF(BJ58&lt;&gt;"",BJ58,BK58))</f>
        <v/>
      </c>
    </row>
    <row r="59">
      <c r="A59" s="5" t="inlineStr">
        <is>
          <t>2026/06/01</t>
        </is>
      </c>
      <c r="B59" s="5" t="n">
        <v>176.92</v>
      </c>
      <c r="C59" s="5" t="n">
        <v>189.42</v>
      </c>
      <c r="D59" s="6">
        <f>IF(COUNT(B59:B60)=2,(B59/B60-1)*100,"")</f>
        <v/>
      </c>
      <c r="E59" s="6">
        <f>IF(COUNT(C59:C60)=2,(C59/C60-1)*100,"")</f>
        <v/>
      </c>
      <c r="F59" s="5" t="n">
        <v>69.38</v>
      </c>
      <c r="G59" s="5" t="n">
        <v>70.51000000000001</v>
      </c>
      <c r="H59" s="5" t="n">
        <v>69.13</v>
      </c>
      <c r="I59" s="5" t="n">
        <v>70.08</v>
      </c>
      <c r="J59" s="5" t="n">
        <v>69.7176</v>
      </c>
      <c r="K59" s="5" t="n">
        <v>409.86</v>
      </c>
      <c r="L59" s="5" t="n">
        <v>412.61</v>
      </c>
      <c r="M59" s="5" t="n">
        <v>408.24</v>
      </c>
      <c r="N59" s="5" t="n">
        <v>411.26</v>
      </c>
      <c r="O59" s="5" t="n">
        <v>411.26</v>
      </c>
      <c r="P59" s="5" t="n">
        <v>79.79000000000001</v>
      </c>
      <c r="Q59" s="5" t="n">
        <v>79.88</v>
      </c>
      <c r="R59" s="5" t="n">
        <v>79.64</v>
      </c>
      <c r="S59" s="5" t="n">
        <v>79.84</v>
      </c>
      <c r="T59" s="5" t="n">
        <v>79.08759999999999</v>
      </c>
      <c r="U59" s="5" t="n">
        <v>109.87</v>
      </c>
      <c r="V59" s="5" t="n">
        <v>109.99</v>
      </c>
      <c r="W59" s="5" t="n">
        <v>109.76</v>
      </c>
      <c r="X59" s="5" t="n">
        <v>109.98</v>
      </c>
      <c r="Y59" s="5" t="n">
        <v>108.1233</v>
      </c>
      <c r="Z59" s="5" t="n">
        <v>51.23</v>
      </c>
      <c r="AA59" s="5" t="n">
        <v>51.6</v>
      </c>
      <c r="AB59" s="5" t="n">
        <v>51.19</v>
      </c>
      <c r="AC59" s="5" t="n">
        <v>51.43</v>
      </c>
      <c r="AD59" s="5" t="n">
        <v>51.2505</v>
      </c>
      <c r="AE59" s="5" t="n">
        <v>57.5</v>
      </c>
      <c r="AF59" s="5" t="n">
        <v>57.53</v>
      </c>
      <c r="AG59" s="5" t="n">
        <v>57.46</v>
      </c>
      <c r="AH59" s="5" t="n">
        <v>57.51</v>
      </c>
      <c r="AI59" s="5" t="n">
        <v>57.51</v>
      </c>
      <c r="AJ59" s="5" t="n">
        <v>86.45</v>
      </c>
      <c r="AK59" s="5" t="n">
        <v>87.55</v>
      </c>
      <c r="AL59" s="5" t="n">
        <v>84.38</v>
      </c>
      <c r="AM59" s="5" t="n">
        <v>86.68000000000001</v>
      </c>
      <c r="AN59" s="5" t="n">
        <v>86.68000000000001</v>
      </c>
      <c r="AO59" s="5" t="n">
        <v>115.425</v>
      </c>
      <c r="AP59" s="5" t="n">
        <v>116.045</v>
      </c>
      <c r="AQ59" s="5" t="n">
        <v>114.815</v>
      </c>
      <c r="AR59" s="5" t="n">
        <v>115.61</v>
      </c>
      <c r="AS59" s="5" t="n">
        <v>115.31</v>
      </c>
      <c r="AT59" s="6">
        <f>IF(COUNT(J59:J60)=2,(J59/J60-1)*100,"")</f>
        <v/>
      </c>
      <c r="AU59" s="6">
        <f>IF(COUNT(O59:O60)=2,(O59/O60-1)*100,"")</f>
        <v/>
      </c>
      <c r="AV59" s="6">
        <f>IF(COUNT(T59:T60)=2,(T59/T60-1)*100,"")</f>
        <v/>
      </c>
      <c r="AW59" s="6">
        <f>IF(COUNT(Y59:Y60)=2,(Y59/Y60-1)*100,"")</f>
        <v/>
      </c>
      <c r="AX59" s="6">
        <f>IF(COUNT(AD59:AD60)=2,(AD59/AD60-1)*100,"")</f>
        <v/>
      </c>
      <c r="AY59" s="6">
        <f>IF(COUNT(AI59:AI60)=2,(AI59/AI60-1)*100,"")</f>
        <v/>
      </c>
      <c r="AZ59" s="6">
        <f>IF(COUNT(AN59:AN60)=2,(AN59/AN60-1)*100,"")</f>
        <v/>
      </c>
      <c r="BA59" s="6">
        <f>IF(COUNT(AS59:AS60)=2,(AS59/AS60-1)*100,"")</f>
        <v/>
      </c>
      <c r="BB59" s="5" t="n">
        <v>16.05</v>
      </c>
      <c r="BC59" s="6">
        <f>IF(COUNT(BB59:BB60)=2,(BB59/BB60-1)*100,"")</f>
        <v/>
      </c>
      <c r="BD59" s="6" t="n">
        <v>4.765</v>
      </c>
      <c r="BE59" s="6">
        <f>IF(AND(BD59&gt;$BE$12,D59&lt;=$BE$13),D58,"")</f>
        <v/>
      </c>
      <c r="BF59" s="6">
        <f>IF(AND(AV59&lt;$BF$12,AW59&gt;$BF$13),D58,"")</f>
        <v/>
      </c>
      <c r="BG59" s="6">
        <f>IF(AND(AT59&gt;$BG$12,AU59&lt;$BG$13,AV59&gt;$BG$11),D58,"")</f>
        <v/>
      </c>
      <c r="BH59" s="6">
        <f>IF(BE59&lt;&gt;"",BE59,IF(BF59&lt;&gt;"",BF59,BG59))</f>
        <v/>
      </c>
      <c r="BI59" s="6">
        <f>IF(AND(AZ59&gt;$BI$12,BA59&lt;$BI$13),E58,"")</f>
        <v/>
      </c>
      <c r="BJ59" s="6">
        <f>IF(AND(AX59&lt;=$BJ$12,E59&lt;$BJ$13),E58,"")</f>
        <v/>
      </c>
      <c r="BK59" s="6">
        <f>IF(AND(AY59&gt;$BK$12,AZ59&gt;$BK$13),E58,"")</f>
        <v/>
      </c>
      <c r="BL59" s="6">
        <f>IF(BI59&lt;&gt;"",BI59,IF(BJ59&lt;&gt;"",BJ59,BK59))</f>
        <v/>
      </c>
    </row>
    <row r="60">
      <c r="A60" s="5" t="inlineStr">
        <is>
          <t>2026/05/29</t>
        </is>
      </c>
      <c r="B60" s="5" t="n">
        <v>174.92</v>
      </c>
      <c r="C60" s="5" t="n">
        <v>188.5</v>
      </c>
      <c r="D60" s="6">
        <f>IF(COUNT(B60:B61)=2,(B60/B61-1)*100,"")</f>
        <v/>
      </c>
      <c r="E60" s="6">
        <f>IF(COUNT(C60:C61)=2,(C60/C61-1)*100,"")</f>
        <v/>
      </c>
      <c r="F60" s="5" t="n">
        <v>68.93000000000001</v>
      </c>
      <c r="G60" s="5" t="n">
        <v>69.11</v>
      </c>
      <c r="H60" s="5" t="n">
        <v>68.5</v>
      </c>
      <c r="I60" s="5" t="n">
        <v>68.59999999999999</v>
      </c>
      <c r="J60" s="5" t="n">
        <v>68.2453</v>
      </c>
      <c r="K60" s="5" t="n">
        <v>415.62</v>
      </c>
      <c r="L60" s="5" t="n">
        <v>421.82</v>
      </c>
      <c r="M60" s="5" t="n">
        <v>415.08</v>
      </c>
      <c r="N60" s="5" t="n">
        <v>417.12</v>
      </c>
      <c r="O60" s="5" t="n">
        <v>417.12</v>
      </c>
      <c r="P60" s="5" t="n">
        <v>80.26000000000001</v>
      </c>
      <c r="Q60" s="5" t="n">
        <v>80.36</v>
      </c>
      <c r="R60" s="5" t="n">
        <v>80.20999999999999</v>
      </c>
      <c r="S60" s="5" t="n">
        <v>80.31</v>
      </c>
      <c r="T60" s="5" t="n">
        <v>79.1481</v>
      </c>
      <c r="U60" s="5" t="n">
        <v>111.17</v>
      </c>
      <c r="V60" s="5" t="n">
        <v>111.29</v>
      </c>
      <c r="W60" s="5" t="n">
        <v>111.11</v>
      </c>
      <c r="X60" s="5" t="n">
        <v>111.21</v>
      </c>
      <c r="Y60" s="5" t="n">
        <v>108.0761</v>
      </c>
      <c r="Z60" s="5" t="n">
        <v>51.28</v>
      </c>
      <c r="AA60" s="5" t="n">
        <v>51.79</v>
      </c>
      <c r="AB60" s="5" t="n">
        <v>51.17</v>
      </c>
      <c r="AC60" s="5" t="n">
        <v>51.58</v>
      </c>
      <c r="AD60" s="5" t="n">
        <v>51.3999</v>
      </c>
      <c r="AE60" s="5" t="n">
        <v>57.62</v>
      </c>
      <c r="AF60" s="5" t="n">
        <v>57.7</v>
      </c>
      <c r="AG60" s="5" t="n">
        <v>57.61</v>
      </c>
      <c r="AH60" s="5" t="n">
        <v>57.62</v>
      </c>
      <c r="AI60" s="5" t="n">
        <v>57.62</v>
      </c>
      <c r="AJ60" s="5" t="n">
        <v>87.38</v>
      </c>
      <c r="AK60" s="5" t="n">
        <v>90.36</v>
      </c>
      <c r="AL60" s="5" t="n">
        <v>86.65000000000001</v>
      </c>
      <c r="AM60" s="5" t="n">
        <v>89.48999999999999</v>
      </c>
      <c r="AN60" s="5" t="n">
        <v>89.48999999999999</v>
      </c>
      <c r="AO60" s="5" t="n">
        <v>115.93</v>
      </c>
      <c r="AP60" s="5" t="n">
        <v>116.05</v>
      </c>
      <c r="AQ60" s="5" t="n">
        <v>115.14</v>
      </c>
      <c r="AR60" s="5" t="n">
        <v>115.69</v>
      </c>
      <c r="AS60" s="5" t="n">
        <v>115.3898</v>
      </c>
      <c r="AT60" s="6">
        <f>IF(COUNT(J60:J61)=2,(J60/J61-1)*100,"")</f>
        <v/>
      </c>
      <c r="AU60" s="6">
        <f>IF(COUNT(O60:O61)=2,(O60/O61-1)*100,"")</f>
        <v/>
      </c>
      <c r="AV60" s="6">
        <f>IF(COUNT(T60:T61)=2,(T60/T61-1)*100,"")</f>
        <v/>
      </c>
      <c r="AW60" s="6">
        <f>IF(COUNT(Y60:Y61)=2,(Y60/Y61-1)*100,"")</f>
        <v/>
      </c>
      <c r="AX60" s="6">
        <f>IF(COUNT(AD60:AD61)=2,(AD60/AD61-1)*100,"")</f>
        <v/>
      </c>
      <c r="AY60" s="6">
        <f>IF(COUNT(AI60:AI61)=2,(AI60/AI61-1)*100,"")</f>
        <v/>
      </c>
      <c r="AZ60" s="6">
        <f>IF(COUNT(AN60:AN61)=2,(AN60/AN61-1)*100,"")</f>
        <v/>
      </c>
      <c r="BA60" s="6">
        <f>IF(COUNT(AS60:AS61)=2,(AS60/AS61-1)*100,"")</f>
        <v/>
      </c>
      <c r="BB60" s="5" t="n">
        <v>15.32</v>
      </c>
      <c r="BC60" s="6">
        <f>IF(COUNT(BB60:BB61)=2,(BB60/BB61-1)*100,"")</f>
        <v/>
      </c>
      <c r="BD60" s="6" t="n">
        <v>-2.6684</v>
      </c>
      <c r="BE60" s="6">
        <f>IF(AND(BD60&gt;$BE$12,D60&lt;=$BE$13),D59,"")</f>
        <v/>
      </c>
      <c r="BF60" s="6">
        <f>IF(AND(AV60&lt;$BF$12,AW60&gt;$BF$13),D59,"")</f>
        <v/>
      </c>
      <c r="BG60" s="6">
        <f>IF(AND(AT60&gt;$BG$12,AU60&lt;$BG$13,AV60&gt;$BG$11),D59,"")</f>
        <v/>
      </c>
      <c r="BH60" s="6">
        <f>IF(BE60&lt;&gt;"",BE60,IF(BF60&lt;&gt;"",BF60,BG60))</f>
        <v/>
      </c>
      <c r="BI60" s="6">
        <f>IF(AND(AZ60&gt;$BI$12,BA60&lt;$BI$13),E59,"")</f>
        <v/>
      </c>
      <c r="BJ60" s="6">
        <f>IF(AND(AX60&lt;=$BJ$12,E60&lt;$BJ$13),E59,"")</f>
        <v/>
      </c>
      <c r="BK60" s="6">
        <f>IF(AND(AY60&gt;$BK$12,AZ60&gt;$BK$13),E59,"")</f>
        <v/>
      </c>
      <c r="BL60" s="6">
        <f>IF(BI60&lt;&gt;"",BI60,IF(BJ60&lt;&gt;"",BJ60,BK60))</f>
        <v/>
      </c>
    </row>
    <row r="61">
      <c r="A61" s="5" t="inlineStr">
        <is>
          <t>2026/05/28</t>
        </is>
      </c>
      <c r="B61" s="5" t="n">
        <v>173.68</v>
      </c>
      <c r="C61" s="5" t="n">
        <v>187.68</v>
      </c>
      <c r="D61" s="6">
        <f>IF(COUNT(B61:B62)=2,(B61/B62-1)*100,"")</f>
        <v/>
      </c>
      <c r="E61" s="6">
        <f>IF(COUNT(C61:C62)=2,(C61/C62-1)*100,"")</f>
        <v/>
      </c>
      <c r="F61" s="5" t="n">
        <v>67.65000000000001</v>
      </c>
      <c r="G61" s="5" t="n">
        <v>68.77</v>
      </c>
      <c r="H61" s="5" t="n">
        <v>67.43000000000001</v>
      </c>
      <c r="I61" s="5" t="n">
        <v>68.61</v>
      </c>
      <c r="J61" s="5" t="n">
        <v>68.2552</v>
      </c>
      <c r="K61" s="5" t="n">
        <v>406.48</v>
      </c>
      <c r="L61" s="5" t="n">
        <v>414.51</v>
      </c>
      <c r="M61" s="5" t="n">
        <v>405.41</v>
      </c>
      <c r="N61" s="5" t="n">
        <v>412.77</v>
      </c>
      <c r="O61" s="5" t="n">
        <v>412.77</v>
      </c>
      <c r="P61" s="5" t="n">
        <v>80.08</v>
      </c>
      <c r="Q61" s="5" t="n">
        <v>80.27</v>
      </c>
      <c r="R61" s="5" t="n">
        <v>80.04000000000001</v>
      </c>
      <c r="S61" s="5" t="n">
        <v>80.23</v>
      </c>
      <c r="T61" s="5" t="n">
        <v>79.0692</v>
      </c>
      <c r="U61" s="5" t="n">
        <v>111.06</v>
      </c>
      <c r="V61" s="5" t="n">
        <v>111.27</v>
      </c>
      <c r="W61" s="5" t="n">
        <v>110.97</v>
      </c>
      <c r="X61" s="5" t="n">
        <v>111.18</v>
      </c>
      <c r="Y61" s="5" t="n">
        <v>108.047</v>
      </c>
      <c r="Z61" s="5" t="n">
        <v>51.19</v>
      </c>
      <c r="AA61" s="5" t="n">
        <v>51.5</v>
      </c>
      <c r="AB61" s="5" t="n">
        <v>51.02</v>
      </c>
      <c r="AC61" s="5" t="n">
        <v>51.27</v>
      </c>
      <c r="AD61" s="5" t="n">
        <v>51.091</v>
      </c>
      <c r="AE61" s="5" t="n">
        <v>57.57</v>
      </c>
      <c r="AF61" s="5" t="n">
        <v>57.68</v>
      </c>
      <c r="AG61" s="5" t="n">
        <v>57.56</v>
      </c>
      <c r="AH61" s="5" t="n">
        <v>57.65</v>
      </c>
      <c r="AI61" s="5" t="n">
        <v>57.65</v>
      </c>
      <c r="AJ61" s="5" t="n">
        <v>84.53</v>
      </c>
      <c r="AK61" s="5" t="n">
        <v>88</v>
      </c>
      <c r="AL61" s="5" t="n">
        <v>83.31999999999999</v>
      </c>
      <c r="AM61" s="5" t="n">
        <v>87.18000000000001</v>
      </c>
      <c r="AN61" s="5" t="n">
        <v>87.18000000000001</v>
      </c>
      <c r="AO61" s="5" t="n">
        <v>116.1</v>
      </c>
      <c r="AP61" s="5" t="n">
        <v>116.84</v>
      </c>
      <c r="AQ61" s="5" t="n">
        <v>115.55</v>
      </c>
      <c r="AR61" s="5" t="n">
        <v>116.67</v>
      </c>
      <c r="AS61" s="5" t="n">
        <v>116.3673</v>
      </c>
      <c r="AT61" s="6">
        <f>IF(COUNT(J61:J62)=2,(J61/J62-1)*100,"")</f>
        <v/>
      </c>
      <c r="AU61" s="6">
        <f>IF(COUNT(O61:O62)=2,(O61/O62-1)*100,"")</f>
        <v/>
      </c>
      <c r="AV61" s="6">
        <f>IF(COUNT(T61:T62)=2,(T61/T62-1)*100,"")</f>
        <v/>
      </c>
      <c r="AW61" s="6">
        <f>IF(COUNT(Y61:Y62)=2,(Y61/Y62-1)*100,"")</f>
        <v/>
      </c>
      <c r="AX61" s="6">
        <f>IF(COUNT(AD61:AD62)=2,(AD61/AD62-1)*100,"")</f>
        <v/>
      </c>
      <c r="AY61" s="6">
        <f>IF(COUNT(AI61:AI62)=2,(AI61/AI62-1)*100,"")</f>
        <v/>
      </c>
      <c r="AZ61" s="6">
        <f>IF(COUNT(AN61:AN62)=2,(AN61/AN62-1)*100,"")</f>
        <v/>
      </c>
      <c r="BA61" s="6">
        <f>IF(COUNT(AS61:AS62)=2,(AS61/AS62-1)*100,"")</f>
        <v/>
      </c>
      <c r="BB61" s="5" t="n">
        <v>15.74</v>
      </c>
      <c r="BC61" s="6">
        <f>IF(COUNT(BB61:BB62)=2,(BB61/BB62-1)*100,"")</f>
        <v/>
      </c>
      <c r="BD61" s="6" t="n">
        <v>-3.3763</v>
      </c>
      <c r="BE61" s="6">
        <f>IF(AND(BD61&gt;$BE$12,D61&lt;=$BE$13),D60,"")</f>
        <v/>
      </c>
      <c r="BF61" s="6">
        <f>IF(AND(AV61&lt;$BF$12,AW61&gt;$BF$13),D60,"")</f>
        <v/>
      </c>
      <c r="BG61" s="6">
        <f>IF(AND(AT61&gt;$BG$12,AU61&lt;$BG$13,AV61&gt;$BG$11),D60,"")</f>
        <v/>
      </c>
      <c r="BH61" s="6">
        <f>IF(BE61&lt;&gt;"",BE61,IF(BF61&lt;&gt;"",BF61,BG61))</f>
        <v/>
      </c>
      <c r="BI61" s="6">
        <f>IF(AND(AZ61&gt;$BI$12,BA61&lt;$BI$13),E60,"")</f>
        <v/>
      </c>
      <c r="BJ61" s="6">
        <f>IF(AND(AX61&lt;=$BJ$12,E61&lt;$BJ$13),E60,"")</f>
        <v/>
      </c>
      <c r="BK61" s="6">
        <f>IF(AND(AY61&gt;$BK$12,AZ61&gt;$BK$13),E60,"")</f>
        <v/>
      </c>
      <c r="BL61" s="6">
        <f>IF(BI61&lt;&gt;"",BI61,IF(BJ61&lt;&gt;"",BJ61,BK61))</f>
        <v/>
      </c>
    </row>
    <row r="62">
      <c r="A62" s="5" t="inlineStr">
        <is>
          <t>2026/05/27</t>
        </is>
      </c>
      <c r="B62" s="5" t="n">
        <v>170.84</v>
      </c>
      <c r="C62" s="5" t="n">
        <v>185.59</v>
      </c>
      <c r="D62" s="6">
        <f>IF(COUNT(B62:B63)=2,(B62/B63-1)*100,"")</f>
        <v/>
      </c>
      <c r="E62" s="6">
        <f>IF(COUNT(C62:C63)=2,(C62/C63-1)*100,"")</f>
        <v/>
      </c>
      <c r="F62" s="5" t="n">
        <v>68.76000000000001</v>
      </c>
      <c r="G62" s="5" t="n">
        <v>68.95999999999999</v>
      </c>
      <c r="H62" s="5" t="n">
        <v>67.94</v>
      </c>
      <c r="I62" s="5" t="n">
        <v>68.39</v>
      </c>
      <c r="J62" s="5" t="n">
        <v>68.0364</v>
      </c>
      <c r="K62" s="5" t="n">
        <v>404.34</v>
      </c>
      <c r="L62" s="5" t="n">
        <v>409.25</v>
      </c>
      <c r="M62" s="5" t="n">
        <v>404.3</v>
      </c>
      <c r="N62" s="5" t="n">
        <v>408.49</v>
      </c>
      <c r="O62" s="5" t="n">
        <v>408.49</v>
      </c>
      <c r="P62" s="5" t="n">
        <v>80.17</v>
      </c>
      <c r="Q62" s="5" t="n">
        <v>80.20999999999999</v>
      </c>
      <c r="R62" s="5" t="n">
        <v>80.08</v>
      </c>
      <c r="S62" s="5" t="n">
        <v>80.13</v>
      </c>
      <c r="T62" s="5" t="n">
        <v>78.97069999999999</v>
      </c>
      <c r="U62" s="5" t="n">
        <v>110.86</v>
      </c>
      <c r="V62" s="5" t="n">
        <v>111.01</v>
      </c>
      <c r="W62" s="5" t="n">
        <v>110.83</v>
      </c>
      <c r="X62" s="5" t="n">
        <v>110.88</v>
      </c>
      <c r="Y62" s="5" t="n">
        <v>107.7554</v>
      </c>
      <c r="Z62" s="5" t="n">
        <v>51.74</v>
      </c>
      <c r="AA62" s="5" t="n">
        <v>51.99</v>
      </c>
      <c r="AB62" s="5" t="n">
        <v>51.3</v>
      </c>
      <c r="AC62" s="5" t="n">
        <v>51.42</v>
      </c>
      <c r="AD62" s="5" t="n">
        <v>51.2405</v>
      </c>
      <c r="AE62" s="5" t="n">
        <v>57.58</v>
      </c>
      <c r="AF62" s="5" t="n">
        <v>57.62</v>
      </c>
      <c r="AG62" s="5" t="n">
        <v>57.53</v>
      </c>
      <c r="AH62" s="5" t="n">
        <v>57.54</v>
      </c>
      <c r="AI62" s="5" t="n">
        <v>57.54</v>
      </c>
      <c r="AJ62" s="5" t="n">
        <v>85.84</v>
      </c>
      <c r="AK62" s="5" t="n">
        <v>87.34999999999999</v>
      </c>
      <c r="AL62" s="5" t="n">
        <v>85.34</v>
      </c>
      <c r="AM62" s="5" t="n">
        <v>85.44</v>
      </c>
      <c r="AN62" s="5" t="n">
        <v>85.44</v>
      </c>
      <c r="AO62" s="5" t="n">
        <v>115.23</v>
      </c>
      <c r="AP62" s="5" t="n">
        <v>117.055</v>
      </c>
      <c r="AQ62" s="5" t="n">
        <v>115.16</v>
      </c>
      <c r="AR62" s="5" t="n">
        <v>116.26</v>
      </c>
      <c r="AS62" s="5" t="n">
        <v>115.9583</v>
      </c>
      <c r="AT62" s="6">
        <f>IF(COUNT(J62:J63)=2,(J62/J63-1)*100,"")</f>
        <v/>
      </c>
      <c r="AU62" s="6">
        <f>IF(COUNT(O62:O63)=2,(O62/O63-1)*100,"")</f>
        <v/>
      </c>
      <c r="AV62" s="6">
        <f>IF(COUNT(T62:T63)=2,(T62/T63-1)*100,"")</f>
        <v/>
      </c>
      <c r="AW62" s="6">
        <f>IF(COUNT(Y62:Y63)=2,(Y62/Y63-1)*100,"")</f>
        <v/>
      </c>
      <c r="AX62" s="6">
        <f>IF(COUNT(AD62:AD63)=2,(AD62/AD63-1)*100,"")</f>
        <v/>
      </c>
      <c r="AY62" s="6">
        <f>IF(COUNT(AI62:AI63)=2,(AI62/AI63-1)*100,"")</f>
        <v/>
      </c>
      <c r="AZ62" s="6">
        <f>IF(COUNT(AN62:AN63)=2,(AN62/AN63-1)*100,"")</f>
        <v/>
      </c>
      <c r="BA62" s="6">
        <f>IF(COUNT(AS62:AS63)=2,(AS62/AS63-1)*100,"")</f>
        <v/>
      </c>
      <c r="BB62" s="5" t="n">
        <v>16.29</v>
      </c>
      <c r="BC62" s="6">
        <f>IF(COUNT(BB62:BB63)=2,(BB62/BB63-1)*100,"")</f>
        <v/>
      </c>
      <c r="BD62" s="6" t="n">
        <v>-4.2328</v>
      </c>
      <c r="BE62" s="6">
        <f>IF(AND(BD62&gt;$BE$12,D62&lt;=$BE$13),D61,"")</f>
        <v/>
      </c>
      <c r="BF62" s="6">
        <f>IF(AND(AV62&lt;$BF$12,AW62&gt;$BF$13),D61,"")</f>
        <v/>
      </c>
      <c r="BG62" s="6">
        <f>IF(AND(AT62&gt;$BG$12,AU62&lt;$BG$13,AV62&gt;$BG$11),D61,"")</f>
        <v/>
      </c>
      <c r="BH62" s="6">
        <f>IF(BE62&lt;&gt;"",BE62,IF(BF62&lt;&gt;"",BF62,BG62))</f>
        <v/>
      </c>
      <c r="BI62" s="6">
        <f>IF(AND(AZ62&gt;$BI$12,BA62&lt;$BI$13),E61,"")</f>
        <v/>
      </c>
      <c r="BJ62" s="6">
        <f>IF(AND(AX62&lt;=$BJ$12,E62&lt;$BJ$13),E61,"")</f>
        <v/>
      </c>
      <c r="BK62" s="6">
        <f>IF(AND(AY62&gt;$BK$12,AZ62&gt;$BK$13),E61,"")</f>
        <v/>
      </c>
      <c r="BL62" s="6">
        <f>IF(BI62&lt;&gt;"",BI62,IF(BJ62&lt;&gt;"",BJ62,BK62))</f>
        <v/>
      </c>
    </row>
    <row r="63">
      <c r="A63" s="5" t="inlineStr">
        <is>
          <t>2026/05/26</t>
        </is>
      </c>
      <c r="B63" s="5" t="n">
        <v>171.19</v>
      </c>
      <c r="C63" s="5" t="n">
        <v>185.57</v>
      </c>
      <c r="D63" s="6">
        <f>IF(COUNT(B63:B64)=2,(B63/B64-1)*100,"")</f>
        <v/>
      </c>
      <c r="E63" s="6">
        <f>IF(COUNT(C63:C64)=2,(C63/C64-1)*100,"")</f>
        <v/>
      </c>
      <c r="F63" s="5" t="n">
        <v>67.72</v>
      </c>
      <c r="G63" s="5" t="n">
        <v>68.5</v>
      </c>
      <c r="H63" s="5" t="n">
        <v>67.69</v>
      </c>
      <c r="I63" s="5" t="n">
        <v>68.40000000000001</v>
      </c>
      <c r="J63" s="5" t="n">
        <v>68.0463</v>
      </c>
      <c r="K63" s="5" t="n">
        <v>415.16</v>
      </c>
      <c r="L63" s="5" t="n">
        <v>415.98</v>
      </c>
      <c r="M63" s="5" t="n">
        <v>411.5</v>
      </c>
      <c r="N63" s="5" t="n">
        <v>414</v>
      </c>
      <c r="O63" s="5" t="n">
        <v>414</v>
      </c>
      <c r="P63" s="5" t="n">
        <v>80.14</v>
      </c>
      <c r="Q63" s="5" t="n">
        <v>80.19</v>
      </c>
      <c r="R63" s="5" t="n">
        <v>80.04000000000001</v>
      </c>
      <c r="S63" s="5" t="n">
        <v>80.18000000000001</v>
      </c>
      <c r="T63" s="5" t="n">
        <v>79.01990000000001</v>
      </c>
      <c r="U63" s="5" t="n">
        <v>110.7</v>
      </c>
      <c r="V63" s="5" t="n">
        <v>110.84</v>
      </c>
      <c r="W63" s="5" t="n">
        <v>110.63</v>
      </c>
      <c r="X63" s="5" t="n">
        <v>110.82</v>
      </c>
      <c r="Y63" s="5" t="n">
        <v>107.6971</v>
      </c>
      <c r="Z63" s="5" t="n">
        <v>52</v>
      </c>
      <c r="AA63" s="5" t="n">
        <v>52.23</v>
      </c>
      <c r="AB63" s="5" t="n">
        <v>51.72</v>
      </c>
      <c r="AC63" s="5" t="n">
        <v>51.85</v>
      </c>
      <c r="AD63" s="5" t="n">
        <v>51.669</v>
      </c>
      <c r="AE63" s="5" t="n">
        <v>57.63</v>
      </c>
      <c r="AF63" s="5" t="n">
        <v>57.66</v>
      </c>
      <c r="AG63" s="5" t="n">
        <v>57.61</v>
      </c>
      <c r="AH63" s="5" t="n">
        <v>57.63</v>
      </c>
      <c r="AI63" s="5" t="n">
        <v>57.63</v>
      </c>
      <c r="AJ63" s="5" t="n">
        <v>87.04000000000001</v>
      </c>
      <c r="AK63" s="5" t="n">
        <v>88.56999999999999</v>
      </c>
      <c r="AL63" s="5" t="n">
        <v>86.93000000000001</v>
      </c>
      <c r="AM63" s="5" t="n">
        <v>88.5</v>
      </c>
      <c r="AN63" s="5" t="n">
        <v>88.5</v>
      </c>
      <c r="AO63" s="5" t="n">
        <v>115.63</v>
      </c>
      <c r="AP63" s="5" t="n">
        <v>116.075</v>
      </c>
      <c r="AQ63" s="5" t="n">
        <v>115.07</v>
      </c>
      <c r="AR63" s="5" t="n">
        <v>115.55</v>
      </c>
      <c r="AS63" s="5" t="n">
        <v>115.2502</v>
      </c>
      <c r="AT63" s="6">
        <f>IF(COUNT(J63:J64)=2,(J63/J64-1)*100,"")</f>
        <v/>
      </c>
      <c r="AU63" s="6">
        <f>IF(COUNT(O63:O64)=2,(O63/O64-1)*100,"")</f>
        <v/>
      </c>
      <c r="AV63" s="6">
        <f>IF(COUNT(T63:T64)=2,(T63/T64-1)*100,"")</f>
        <v/>
      </c>
      <c r="AW63" s="6">
        <f>IF(COUNT(Y63:Y64)=2,(Y63/Y64-1)*100,"")</f>
        <v/>
      </c>
      <c r="AX63" s="6">
        <f>IF(COUNT(AD63:AD64)=2,(AD63/AD64-1)*100,"")</f>
        <v/>
      </c>
      <c r="AY63" s="6">
        <f>IF(COUNT(AI63:AI64)=2,(AI63/AI64-1)*100,"")</f>
        <v/>
      </c>
      <c r="AZ63" s="6">
        <f>IF(COUNT(AN63:AN64)=2,(AN63/AN64-1)*100,"")</f>
        <v/>
      </c>
      <c r="BA63" s="6">
        <f>IF(COUNT(AS63:AS64)=2,(AS63/AS64-1)*100,"")</f>
        <v/>
      </c>
      <c r="BB63" s="5" t="n">
        <v>17.01</v>
      </c>
      <c r="BC63" s="6">
        <f>IF(COUNT(BB63:BB64)=2,(BB63/BB64-1)*100,"")</f>
        <v/>
      </c>
      <c r="BD63" s="6" t="n">
        <v>1.8563</v>
      </c>
      <c r="BE63" s="6">
        <f>IF(AND(BD63&gt;$BE$12,D63&lt;=$BE$13),D62,"")</f>
        <v/>
      </c>
      <c r="BF63" s="6">
        <f>IF(AND(AV63&lt;$BF$12,AW63&gt;$BF$13),D62,"")</f>
        <v/>
      </c>
      <c r="BG63" s="6">
        <f>IF(AND(AT63&gt;$BG$12,AU63&lt;$BG$13,AV63&gt;$BG$11),D62,"")</f>
        <v/>
      </c>
      <c r="BH63" s="6">
        <f>IF(BE63&lt;&gt;"",BE63,IF(BF63&lt;&gt;"",BF63,BG63))</f>
        <v/>
      </c>
      <c r="BI63" s="6">
        <f>IF(AND(AZ63&gt;$BI$12,BA63&lt;$BI$13),E62,"")</f>
        <v/>
      </c>
      <c r="BJ63" s="6">
        <f>IF(AND(AX63&lt;=$BJ$12,E63&lt;$BJ$13),E62,"")</f>
        <v/>
      </c>
      <c r="BK63" s="6">
        <f>IF(AND(AY63&gt;$BK$12,AZ63&gt;$BK$13),E62,"")</f>
        <v/>
      </c>
      <c r="BL63" s="6">
        <f>IF(BI63&lt;&gt;"",BI63,IF(BJ63&lt;&gt;"",BJ63,BK63))</f>
        <v/>
      </c>
    </row>
    <row r="64">
      <c r="A64" s="5" t="inlineStr">
        <is>
          <t>2026/05/22</t>
        </is>
      </c>
      <c r="B64" s="5" t="n">
        <v>165.46</v>
      </c>
      <c r="C64" s="5" t="n">
        <v>183.39</v>
      </c>
      <c r="D64" s="6">
        <f>IF(COUNT(B64:B65)=2,(B64/B65-1)*100,"")</f>
        <v/>
      </c>
      <c r="E64" s="6">
        <f>IF(COUNT(C64:C65)=2,(C64/C65-1)*100,"")</f>
        <v/>
      </c>
      <c r="F64" s="5" t="n">
        <v>66</v>
      </c>
      <c r="G64" s="5" t="n">
        <v>66.39</v>
      </c>
      <c r="H64" s="5" t="n">
        <v>65.73999999999999</v>
      </c>
      <c r="I64" s="5" t="n">
        <v>65.88</v>
      </c>
      <c r="J64" s="5" t="n">
        <v>65.5393</v>
      </c>
      <c r="K64" s="5" t="n">
        <v>415.17</v>
      </c>
      <c r="L64" s="5" t="n">
        <v>415.68</v>
      </c>
      <c r="M64" s="5" t="n">
        <v>412</v>
      </c>
      <c r="N64" s="5" t="n">
        <v>413.82</v>
      </c>
      <c r="O64" s="5" t="n">
        <v>413.82</v>
      </c>
      <c r="P64" s="5" t="n">
        <v>80.01000000000001</v>
      </c>
      <c r="Q64" s="5" t="n">
        <v>80.02</v>
      </c>
      <c r="R64" s="5" t="n">
        <v>79.84</v>
      </c>
      <c r="S64" s="5" t="n">
        <v>79.91</v>
      </c>
      <c r="T64" s="5" t="n">
        <v>78.7539</v>
      </c>
      <c r="U64" s="5" t="n">
        <v>110.51</v>
      </c>
      <c r="V64" s="5" t="n">
        <v>110.54</v>
      </c>
      <c r="W64" s="5" t="n">
        <v>110.12</v>
      </c>
      <c r="X64" s="5" t="n">
        <v>110.38</v>
      </c>
      <c r="Y64" s="5" t="n">
        <v>107.2695</v>
      </c>
      <c r="Z64" s="5" t="n">
        <v>51.9</v>
      </c>
      <c r="AA64" s="5" t="n">
        <v>52.17</v>
      </c>
      <c r="AB64" s="5" t="n">
        <v>51.84</v>
      </c>
      <c r="AC64" s="5" t="n">
        <v>51.94</v>
      </c>
      <c r="AD64" s="5" t="n">
        <v>51.7587</v>
      </c>
      <c r="AE64" s="5" t="n">
        <v>57.74</v>
      </c>
      <c r="AF64" s="5" t="n">
        <v>57.74</v>
      </c>
      <c r="AG64" s="5" t="n">
        <v>57.67</v>
      </c>
      <c r="AH64" s="5" t="n">
        <v>57.7</v>
      </c>
      <c r="AI64" s="5" t="n">
        <v>57.7</v>
      </c>
      <c r="AJ64" s="5" t="n">
        <v>85.61</v>
      </c>
      <c r="AK64" s="5" t="n">
        <v>86.14</v>
      </c>
      <c r="AL64" s="5" t="n">
        <v>83.95</v>
      </c>
      <c r="AM64" s="5" t="n">
        <v>85.02</v>
      </c>
      <c r="AN64" s="5" t="n">
        <v>85.02</v>
      </c>
      <c r="AO64" s="5" t="n">
        <v>116.41</v>
      </c>
      <c r="AP64" s="5" t="n">
        <v>116.73</v>
      </c>
      <c r="AQ64" s="5" t="n">
        <v>115.235</v>
      </c>
      <c r="AR64" s="5" t="n">
        <v>115.46</v>
      </c>
      <c r="AS64" s="5" t="n">
        <v>115.1604</v>
      </c>
      <c r="AT64" s="6">
        <f>IF(COUNT(J64:J65)=2,(J64/J65-1)*100,"")</f>
        <v/>
      </c>
      <c r="AU64" s="6">
        <f>IF(COUNT(O64:O65)=2,(O64/O65-1)*100,"")</f>
        <v/>
      </c>
      <c r="AV64" s="6">
        <f>IF(COUNT(T64:T65)=2,(T64/T65-1)*100,"")</f>
        <v/>
      </c>
      <c r="AW64" s="6">
        <f>IF(COUNT(Y64:Y65)=2,(Y64/Y65-1)*100,"")</f>
        <v/>
      </c>
      <c r="AX64" s="6">
        <f>IF(COUNT(AD64:AD65)=2,(AD64/AD65-1)*100,"")</f>
        <v/>
      </c>
      <c r="AY64" s="6">
        <f>IF(COUNT(AI64:AI65)=2,(AI64/AI65-1)*100,"")</f>
        <v/>
      </c>
      <c r="AZ64" s="6">
        <f>IF(COUNT(AN64:AN65)=2,(AN64/AN65-1)*100,"")</f>
        <v/>
      </c>
      <c r="BA64" s="6">
        <f>IF(COUNT(AS64:AS65)=2,(AS64/AS65-1)*100,"")</f>
        <v/>
      </c>
      <c r="BB64" s="5" t="n">
        <v>16.7</v>
      </c>
      <c r="BC64" s="6">
        <f>IF(COUNT(BB64:BB65)=2,(BB64/BB65-1)*100,"")</f>
        <v/>
      </c>
      <c r="BD64" s="6" t="n">
        <v>-0.358</v>
      </c>
      <c r="BE64" s="6">
        <f>IF(AND(BD64&gt;$BE$12,D64&lt;=$BE$13),D63,"")</f>
        <v/>
      </c>
      <c r="BF64" s="6">
        <f>IF(AND(AV64&lt;$BF$12,AW64&gt;$BF$13),D63,"")</f>
        <v/>
      </c>
      <c r="BG64" s="6">
        <f>IF(AND(AT64&gt;$BG$12,AU64&lt;$BG$13,AV64&gt;$BG$11),D63,"")</f>
        <v/>
      </c>
      <c r="BH64" s="6">
        <f>IF(BE64&lt;&gt;"",BE64,IF(BF64&lt;&gt;"",BF64,BG64))</f>
        <v/>
      </c>
      <c r="BI64" s="6">
        <f>IF(AND(AZ64&gt;$BI$12,BA64&lt;$BI$13),E63,"")</f>
        <v/>
      </c>
      <c r="BJ64" s="6">
        <f>IF(AND(AX64&lt;=$BJ$12,E64&lt;$BJ$13),E63,"")</f>
        <v/>
      </c>
      <c r="BK64" s="6">
        <f>IF(AND(AY64&gt;$BK$12,AZ64&gt;$BK$13),E63,"")</f>
        <v/>
      </c>
      <c r="BL64" s="6">
        <f>IF(BI64&lt;&gt;"",BI64,IF(BJ64&lt;&gt;"",BJ64,BK64))</f>
        <v/>
      </c>
    </row>
    <row r="65">
      <c r="A65" s="5" t="inlineStr">
        <is>
          <t>2026/05/21</t>
        </is>
      </c>
      <c r="B65" s="5" t="n">
        <v>164.1</v>
      </c>
      <c r="C65" s="5" t="n">
        <v>182.04</v>
      </c>
      <c r="D65" s="6">
        <f>IF(COUNT(B65:B66)=2,(B65/B66-1)*100,"")</f>
        <v/>
      </c>
      <c r="E65" s="6">
        <f>IF(COUNT(C65:C66)=2,(C65/C66-1)*100,"")</f>
        <v/>
      </c>
      <c r="F65" s="5" t="n">
        <v>65.23</v>
      </c>
      <c r="G65" s="5" t="n">
        <v>66.34999999999999</v>
      </c>
      <c r="H65" s="5" t="n">
        <v>65.05</v>
      </c>
      <c r="I65" s="5" t="n">
        <v>66.03</v>
      </c>
      <c r="J65" s="5" t="n">
        <v>65.68859999999999</v>
      </c>
      <c r="K65" s="5" t="n">
        <v>413.14</v>
      </c>
      <c r="L65" s="5" t="n">
        <v>418.42</v>
      </c>
      <c r="M65" s="5" t="n">
        <v>411.95</v>
      </c>
      <c r="N65" s="5" t="n">
        <v>416.99</v>
      </c>
      <c r="O65" s="5" t="n">
        <v>416.99</v>
      </c>
      <c r="P65" s="5" t="n">
        <v>79.75</v>
      </c>
      <c r="Q65" s="5" t="n">
        <v>79.98999999999999</v>
      </c>
      <c r="R65" s="5" t="n">
        <v>79.65000000000001</v>
      </c>
      <c r="S65" s="5" t="n">
        <v>79.90000000000001</v>
      </c>
      <c r="T65" s="5" t="n">
        <v>78.744</v>
      </c>
      <c r="U65" s="5" t="n">
        <v>110.3</v>
      </c>
      <c r="V65" s="5" t="n">
        <v>110.39</v>
      </c>
      <c r="W65" s="5" t="n">
        <v>110.15</v>
      </c>
      <c r="X65" s="5" t="n">
        <v>110.37</v>
      </c>
      <c r="Y65" s="5" t="n">
        <v>107.2598</v>
      </c>
      <c r="Z65" s="5" t="n">
        <v>51.46</v>
      </c>
      <c r="AA65" s="5" t="n">
        <v>51.83</v>
      </c>
      <c r="AB65" s="5" t="n">
        <v>51.21</v>
      </c>
      <c r="AC65" s="5" t="n">
        <v>51.73</v>
      </c>
      <c r="AD65" s="5" t="n">
        <v>51.5494</v>
      </c>
      <c r="AE65" s="5" t="n">
        <v>57.63</v>
      </c>
      <c r="AF65" s="5" t="n">
        <v>57.8</v>
      </c>
      <c r="AG65" s="5" t="n">
        <v>57.58</v>
      </c>
      <c r="AH65" s="5" t="n">
        <v>57.77</v>
      </c>
      <c r="AI65" s="5" t="n">
        <v>57.77</v>
      </c>
      <c r="AJ65" s="5" t="n">
        <v>84.45999999999999</v>
      </c>
      <c r="AK65" s="5" t="n">
        <v>87.66</v>
      </c>
      <c r="AL65" s="5" t="n">
        <v>84.11</v>
      </c>
      <c r="AM65" s="5" t="n">
        <v>85.98999999999999</v>
      </c>
      <c r="AN65" s="5" t="n">
        <v>85.98999999999999</v>
      </c>
      <c r="AO65" s="5" t="n">
        <v>115.47</v>
      </c>
      <c r="AP65" s="5" t="n">
        <v>116.855</v>
      </c>
      <c r="AQ65" s="5" t="n">
        <v>114.99</v>
      </c>
      <c r="AR65" s="5" t="n">
        <v>116.1</v>
      </c>
      <c r="AS65" s="5" t="n">
        <v>115.7987</v>
      </c>
      <c r="AT65" s="6">
        <f>IF(COUNT(J65:J66)=2,(J65/J66-1)*100,"")</f>
        <v/>
      </c>
      <c r="AU65" s="6">
        <f>IF(COUNT(O65:O66)=2,(O65/O66-1)*100,"")</f>
        <v/>
      </c>
      <c r="AV65" s="6">
        <f>IF(COUNT(T65:T66)=2,(T65/T66-1)*100,"")</f>
        <v/>
      </c>
      <c r="AW65" s="6">
        <f>IF(COUNT(Y65:Y66)=2,(Y65/Y66-1)*100,"")</f>
        <v/>
      </c>
      <c r="AX65" s="6">
        <f>IF(COUNT(AD65:AD66)=2,(AD65/AD66-1)*100,"")</f>
        <v/>
      </c>
      <c r="AY65" s="6">
        <f>IF(COUNT(AI65:AI66)=2,(AI65/AI66-1)*100,"")</f>
        <v/>
      </c>
      <c r="AZ65" s="6">
        <f>IF(COUNT(AN65:AN66)=2,(AN65/AN66-1)*100,"")</f>
        <v/>
      </c>
      <c r="BA65" s="6">
        <f>IF(COUNT(AS65:AS66)=2,(AS65/AS66-1)*100,"")</f>
        <v/>
      </c>
      <c r="BB65" s="5" t="n">
        <v>16.76</v>
      </c>
      <c r="BC65" s="6">
        <f>IF(COUNT(BB65:BB66)=2,(BB65/BB66-1)*100,"")</f>
        <v/>
      </c>
      <c r="BD65" s="6" t="n">
        <v>-3.8991</v>
      </c>
      <c r="BE65" s="6">
        <f>IF(AND(BD65&gt;$BE$12,D65&lt;=$BE$13),D64,"")</f>
        <v/>
      </c>
      <c r="BF65" s="6">
        <f>IF(AND(AV65&lt;$BF$12,AW65&gt;$BF$13),D64,"")</f>
        <v/>
      </c>
      <c r="BG65" s="6">
        <f>IF(AND(AT65&gt;$BG$12,AU65&lt;$BG$13,AV65&gt;$BG$11),D64,"")</f>
        <v/>
      </c>
      <c r="BH65" s="6">
        <f>IF(BE65&lt;&gt;"",BE65,IF(BF65&lt;&gt;"",BF65,BG65))</f>
        <v/>
      </c>
      <c r="BI65" s="6">
        <f>IF(AND(AZ65&gt;$BI$12,BA65&lt;$BI$13),E64,"")</f>
        <v/>
      </c>
      <c r="BJ65" s="6">
        <f>IF(AND(AX65&lt;=$BJ$12,E65&lt;$BJ$13),E64,"")</f>
        <v/>
      </c>
      <c r="BK65" s="6">
        <f>IF(AND(AY65&gt;$BK$12,AZ65&gt;$BK$13),E64,"")</f>
        <v/>
      </c>
      <c r="BL65" s="6">
        <f>IF(BI65&lt;&gt;"",BI65,IF(BJ65&lt;&gt;"",BJ65,BK65))</f>
        <v/>
      </c>
    </row>
    <row r="66">
      <c r="A66" s="5" t="inlineStr">
        <is>
          <t>2026/05/20</t>
        </is>
      </c>
      <c r="B66" s="5" t="n">
        <v>163.44</v>
      </c>
      <c r="C66" s="5" t="n">
        <v>181.4</v>
      </c>
      <c r="D66" s="6">
        <f>IF(COUNT(B66:B67)=2,(B66/B67-1)*100,"")</f>
        <v/>
      </c>
      <c r="E66" s="6">
        <f>IF(COUNT(C66:C67)=2,(C66/C67-1)*100,"")</f>
        <v/>
      </c>
      <c r="F66" s="5" t="n">
        <v>64.48999999999999</v>
      </c>
      <c r="G66" s="5" t="n">
        <v>65.56</v>
      </c>
      <c r="H66" s="5" t="n">
        <v>64.40000000000001</v>
      </c>
      <c r="I66" s="5" t="n">
        <v>65.45999999999999</v>
      </c>
      <c r="J66" s="5" t="n">
        <v>65.1215</v>
      </c>
      <c r="K66" s="5" t="n">
        <v>412.14</v>
      </c>
      <c r="L66" s="5" t="n">
        <v>417.99</v>
      </c>
      <c r="M66" s="5" t="n">
        <v>410.08</v>
      </c>
      <c r="N66" s="5" t="n">
        <v>417.4</v>
      </c>
      <c r="O66" s="5" t="n">
        <v>417.4</v>
      </c>
      <c r="P66" s="5" t="n">
        <v>79.5</v>
      </c>
      <c r="Q66" s="5" t="n">
        <v>79.87</v>
      </c>
      <c r="R66" s="5" t="n">
        <v>79.40000000000001</v>
      </c>
      <c r="S66" s="5" t="n">
        <v>79.86</v>
      </c>
      <c r="T66" s="5" t="n">
        <v>78.7046</v>
      </c>
      <c r="U66" s="5" t="n">
        <v>110.11</v>
      </c>
      <c r="V66" s="5" t="n">
        <v>110.45</v>
      </c>
      <c r="W66" s="5" t="n">
        <v>110.1</v>
      </c>
      <c r="X66" s="5" t="n">
        <v>110.37</v>
      </c>
      <c r="Y66" s="5" t="n">
        <v>107.2598</v>
      </c>
      <c r="Z66" s="5" t="n">
        <v>51.23</v>
      </c>
      <c r="AA66" s="5" t="n">
        <v>51.71</v>
      </c>
      <c r="AB66" s="5" t="n">
        <v>50.78</v>
      </c>
      <c r="AC66" s="5" t="n">
        <v>51.66</v>
      </c>
      <c r="AD66" s="5" t="n">
        <v>51.4797</v>
      </c>
      <c r="AE66" s="5" t="n">
        <v>57.71</v>
      </c>
      <c r="AF66" s="5" t="n">
        <v>57.9</v>
      </c>
      <c r="AG66" s="5" t="n">
        <v>57.68</v>
      </c>
      <c r="AH66" s="5" t="n">
        <v>57.78</v>
      </c>
      <c r="AI66" s="5" t="n">
        <v>57.78</v>
      </c>
      <c r="AJ66" s="5" t="n">
        <v>84.58</v>
      </c>
      <c r="AK66" s="5" t="n">
        <v>86.94</v>
      </c>
      <c r="AL66" s="5" t="n">
        <v>83.67</v>
      </c>
      <c r="AM66" s="5" t="n">
        <v>86.36</v>
      </c>
      <c r="AN66" s="5" t="n">
        <v>86.36</v>
      </c>
      <c r="AO66" s="5" t="n">
        <v>115.65</v>
      </c>
      <c r="AP66" s="5" t="n">
        <v>116.215</v>
      </c>
      <c r="AQ66" s="5" t="n">
        <v>114.81</v>
      </c>
      <c r="AR66" s="5" t="n">
        <v>116.1</v>
      </c>
      <c r="AS66" s="5" t="n">
        <v>115.7987</v>
      </c>
      <c r="AT66" s="6">
        <f>IF(COUNT(J66:J67)=2,(J66/J67-1)*100,"")</f>
        <v/>
      </c>
      <c r="AU66" s="6">
        <f>IF(COUNT(O66:O67)=2,(O66/O67-1)*100,"")</f>
        <v/>
      </c>
      <c r="AV66" s="6">
        <f>IF(COUNT(T66:T67)=2,(T66/T67-1)*100,"")</f>
        <v/>
      </c>
      <c r="AW66" s="6">
        <f>IF(COUNT(Y66:Y67)=2,(Y66/Y67-1)*100,"")</f>
        <v/>
      </c>
      <c r="AX66" s="6">
        <f>IF(COUNT(AD66:AD67)=2,(AD66/AD67-1)*100,"")</f>
        <v/>
      </c>
      <c r="AY66" s="6">
        <f>IF(COUNT(AI66:AI67)=2,(AI66/AI67-1)*100,"")</f>
        <v/>
      </c>
      <c r="AZ66" s="6">
        <f>IF(COUNT(AN66:AN67)=2,(AN66/AN67-1)*100,"")</f>
        <v/>
      </c>
      <c r="BA66" s="6">
        <f>IF(COUNT(AS66:AS67)=2,(AS66/AS67-1)*100,"")</f>
        <v/>
      </c>
      <c r="BB66" s="5" t="n">
        <v>17.44</v>
      </c>
      <c r="BC66" s="6">
        <f>IF(COUNT(BB66:BB67)=2,(BB66/BB67-1)*100,"")</f>
        <v/>
      </c>
      <c r="BD66" s="6" t="n">
        <v>-3.433</v>
      </c>
      <c r="BE66" s="6">
        <f>IF(AND(BD66&gt;$BE$12,D66&lt;=$BE$13),D65,"")</f>
        <v/>
      </c>
      <c r="BF66" s="6">
        <f>IF(AND(AV66&lt;$BF$12,AW66&gt;$BF$13),D65,"")</f>
        <v/>
      </c>
      <c r="BG66" s="6">
        <f>IF(AND(AT66&gt;$BG$12,AU66&lt;$BG$13,AV66&gt;$BG$11),D65,"")</f>
        <v/>
      </c>
      <c r="BH66" s="6">
        <f>IF(BE66&lt;&gt;"",BE66,IF(BF66&lt;&gt;"",BF66,BG66))</f>
        <v/>
      </c>
      <c r="BI66" s="6">
        <f>IF(AND(AZ66&gt;$BI$12,BA66&lt;$BI$13),E65,"")</f>
        <v/>
      </c>
      <c r="BJ66" s="6">
        <f>IF(AND(AX66&lt;=$BJ$12,E66&lt;$BJ$13),E65,"")</f>
        <v/>
      </c>
      <c r="BK66" s="6">
        <f>IF(AND(AY66&gt;$BK$12,AZ66&gt;$BK$13),E65,"")</f>
        <v/>
      </c>
      <c r="BL66" s="6">
        <f>IF(BI66&lt;&gt;"",BI66,IF(BJ66&lt;&gt;"",BJ66,BK66))</f>
        <v/>
      </c>
    </row>
    <row r="67">
      <c r="A67" s="5" t="inlineStr">
        <is>
          <t>2026/05/19</t>
        </is>
      </c>
      <c r="B67" s="5" t="n">
        <v>158.19</v>
      </c>
      <c r="C67" s="5" t="n">
        <v>177.64</v>
      </c>
      <c r="D67" s="6">
        <f>IF(COUNT(B67:B68)=2,(B67/B68-1)*100,"")</f>
        <v/>
      </c>
      <c r="E67" s="6">
        <f>IF(COUNT(C67:C68)=2,(C67/C68-1)*100,"")</f>
        <v/>
      </c>
      <c r="F67" s="5" t="n">
        <v>63.62</v>
      </c>
      <c r="G67" s="5" t="n">
        <v>64.84999999999999</v>
      </c>
      <c r="H67" s="5" t="n">
        <v>63.48</v>
      </c>
      <c r="I67" s="5" t="n">
        <v>64.26000000000001</v>
      </c>
      <c r="J67" s="5" t="n">
        <v>63.9277</v>
      </c>
      <c r="K67" s="5" t="n">
        <v>412.45</v>
      </c>
      <c r="L67" s="5" t="n">
        <v>414.47</v>
      </c>
      <c r="M67" s="5" t="n">
        <v>409.88</v>
      </c>
      <c r="N67" s="5" t="n">
        <v>411.5</v>
      </c>
      <c r="O67" s="5" t="n">
        <v>411.5</v>
      </c>
      <c r="P67" s="5" t="n">
        <v>79.41</v>
      </c>
      <c r="Q67" s="5" t="n">
        <v>79.45</v>
      </c>
      <c r="R67" s="5" t="n">
        <v>79.23</v>
      </c>
      <c r="S67" s="5" t="n">
        <v>79.34999999999999</v>
      </c>
      <c r="T67" s="5" t="n">
        <v>78.202</v>
      </c>
      <c r="U67" s="5" t="n">
        <v>110.15</v>
      </c>
      <c r="V67" s="5" t="n">
        <v>110.27</v>
      </c>
      <c r="W67" s="5" t="n">
        <v>109.94</v>
      </c>
      <c r="X67" s="5" t="n">
        <v>110.11</v>
      </c>
      <c r="Y67" s="5" t="n">
        <v>107.0071</v>
      </c>
      <c r="Z67" s="5" t="n">
        <v>51.63</v>
      </c>
      <c r="AA67" s="5" t="n">
        <v>51.79</v>
      </c>
      <c r="AB67" s="5" t="n">
        <v>51.05</v>
      </c>
      <c r="AC67" s="5" t="n">
        <v>51.1</v>
      </c>
      <c r="AD67" s="5" t="n">
        <v>50.9216</v>
      </c>
      <c r="AE67" s="5" t="n">
        <v>57.7</v>
      </c>
      <c r="AF67" s="5" t="n">
        <v>57.83</v>
      </c>
      <c r="AG67" s="5" t="n">
        <v>57.67</v>
      </c>
      <c r="AH67" s="5" t="n">
        <v>57.72</v>
      </c>
      <c r="AI67" s="5" t="n">
        <v>57.72</v>
      </c>
      <c r="AJ67" s="5" t="n">
        <v>85.55</v>
      </c>
      <c r="AK67" s="5" t="n">
        <v>85.59999999999999</v>
      </c>
      <c r="AL67" s="5" t="n">
        <v>83.34999999999999</v>
      </c>
      <c r="AM67" s="5" t="n">
        <v>83.78</v>
      </c>
      <c r="AN67" s="5" t="n">
        <v>83.78</v>
      </c>
      <c r="AO67" s="5" t="n">
        <v>116.95</v>
      </c>
      <c r="AP67" s="5" t="n">
        <v>117.14</v>
      </c>
      <c r="AQ67" s="5" t="n">
        <v>115.715</v>
      </c>
      <c r="AR67" s="5" t="n">
        <v>115.85</v>
      </c>
      <c r="AS67" s="5" t="n">
        <v>115.5494</v>
      </c>
      <c r="AT67" s="6">
        <f>IF(COUNT(J67:J68)=2,(J67/J68-1)*100,"")</f>
        <v/>
      </c>
      <c r="AU67" s="6">
        <f>IF(COUNT(O67:O68)=2,(O67/O68-1)*100,"")</f>
        <v/>
      </c>
      <c r="AV67" s="6">
        <f>IF(COUNT(T67:T68)=2,(T67/T68-1)*100,"")</f>
        <v/>
      </c>
      <c r="AW67" s="6">
        <f>IF(COUNT(Y67:Y68)=2,(Y67/Y68-1)*100,"")</f>
        <v/>
      </c>
      <c r="AX67" s="6">
        <f>IF(COUNT(AD67:AD68)=2,(AD67/AD68-1)*100,"")</f>
        <v/>
      </c>
      <c r="AY67" s="6">
        <f>IF(COUNT(AI67:AI68)=2,(AI67/AI68-1)*100,"")</f>
        <v/>
      </c>
      <c r="AZ67" s="6">
        <f>IF(COUNT(AN67:AN68)=2,(AN67/AN68-1)*100,"")</f>
        <v/>
      </c>
      <c r="BA67" s="6">
        <f>IF(COUNT(AS67:AS68)=2,(AS67/AS68-1)*100,"")</f>
        <v/>
      </c>
      <c r="BB67" s="5" t="n">
        <v>18.06</v>
      </c>
      <c r="BC67" s="6">
        <f>IF(COUNT(BB67:BB68)=2,(BB67/BB68-1)*100,"")</f>
        <v/>
      </c>
      <c r="BD67" s="6" t="n">
        <v>1.3468</v>
      </c>
      <c r="BE67" s="6">
        <f>IF(AND(BD67&gt;$BE$12,D67&lt;=$BE$13),D66,"")</f>
        <v/>
      </c>
      <c r="BF67" s="6">
        <f>IF(AND(AV67&lt;$BF$12,AW67&gt;$BF$13),D66,"")</f>
        <v/>
      </c>
      <c r="BG67" s="6">
        <f>IF(AND(AT67&gt;$BG$12,AU67&lt;$BG$13,AV67&gt;$BG$11),D66,"")</f>
        <v/>
      </c>
      <c r="BH67" s="6">
        <f>IF(BE67&lt;&gt;"",BE67,IF(BF67&lt;&gt;"",BF67,BG67))</f>
        <v/>
      </c>
      <c r="BI67" s="6">
        <f>IF(AND(AZ67&gt;$BI$12,BA67&lt;$BI$13),E66,"")</f>
        <v/>
      </c>
      <c r="BJ67" s="6">
        <f>IF(AND(AX67&lt;=$BJ$12,E67&lt;$BJ$13),E66,"")</f>
        <v/>
      </c>
      <c r="BK67" s="6">
        <f>IF(AND(AY67&gt;$BK$12,AZ67&gt;$BK$13),E66,"")</f>
        <v/>
      </c>
      <c r="BL67" s="6">
        <f>IF(BI67&lt;&gt;"",BI67,IF(BJ67&lt;&gt;"",BJ67,BK67))</f>
        <v/>
      </c>
    </row>
    <row r="68">
      <c r="A68" s="5" t="inlineStr">
        <is>
          <t>2026/05/18</t>
        </is>
      </c>
      <c r="B68" s="5" t="n">
        <v>160.16</v>
      </c>
      <c r="C68" s="5" t="n">
        <v>180.04</v>
      </c>
      <c r="D68" s="6">
        <f>IF(COUNT(B68:B69)=2,(B68/B69-1)*100,"")</f>
        <v/>
      </c>
      <c r="E68" s="6">
        <f>IF(COUNT(C68:C69)=2,(C68/C69-1)*100,"")</f>
        <v/>
      </c>
      <c r="F68" s="5" t="n">
        <v>65.66</v>
      </c>
      <c r="G68" s="5" t="n">
        <v>65.76000000000001</v>
      </c>
      <c r="H68" s="5" t="n">
        <v>64.38</v>
      </c>
      <c r="I68" s="5" t="n">
        <v>64.97</v>
      </c>
      <c r="J68" s="5" t="n">
        <v>64.634</v>
      </c>
      <c r="K68" s="5" t="n">
        <v>419.82</v>
      </c>
      <c r="L68" s="5" t="n">
        <v>420.93</v>
      </c>
      <c r="M68" s="5" t="n">
        <v>416.06</v>
      </c>
      <c r="N68" s="5" t="n">
        <v>418.43</v>
      </c>
      <c r="O68" s="5" t="n">
        <v>418.43</v>
      </c>
      <c r="P68" s="5" t="n">
        <v>79.63</v>
      </c>
      <c r="Q68" s="5" t="n">
        <v>79.7</v>
      </c>
      <c r="R68" s="5" t="n">
        <v>79.44</v>
      </c>
      <c r="S68" s="5" t="n">
        <v>79.54000000000001</v>
      </c>
      <c r="T68" s="5" t="n">
        <v>78.3892</v>
      </c>
      <c r="U68" s="5" t="n">
        <v>110.58</v>
      </c>
      <c r="V68" s="5" t="n">
        <v>110.66</v>
      </c>
      <c r="W68" s="5" t="n">
        <v>110.39</v>
      </c>
      <c r="X68" s="5" t="n">
        <v>110.48</v>
      </c>
      <c r="Y68" s="5" t="n">
        <v>107.3667</v>
      </c>
      <c r="Z68" s="5" t="n">
        <v>51.01</v>
      </c>
      <c r="AA68" s="5" t="n">
        <v>51.8</v>
      </c>
      <c r="AB68" s="5" t="n">
        <v>50.97</v>
      </c>
      <c r="AC68" s="5" t="n">
        <v>51.74</v>
      </c>
      <c r="AD68" s="5" t="n">
        <v>51.5594</v>
      </c>
      <c r="AE68" s="5" t="n">
        <v>57.84</v>
      </c>
      <c r="AF68" s="5" t="n">
        <v>57.89</v>
      </c>
      <c r="AG68" s="5" t="n">
        <v>57.73</v>
      </c>
      <c r="AH68" s="5" t="n">
        <v>57.8</v>
      </c>
      <c r="AI68" s="5" t="n">
        <v>57.8</v>
      </c>
      <c r="AJ68" s="5" t="n">
        <v>88.65000000000001</v>
      </c>
      <c r="AK68" s="5" t="n">
        <v>89.53</v>
      </c>
      <c r="AL68" s="5" t="n">
        <v>86.39</v>
      </c>
      <c r="AM68" s="5" t="n">
        <v>87.14</v>
      </c>
      <c r="AN68" s="5" t="n">
        <v>87.14</v>
      </c>
      <c r="AO68" s="5" t="n">
        <v>116.04</v>
      </c>
      <c r="AP68" s="5" t="n">
        <v>117.82</v>
      </c>
      <c r="AQ68" s="5" t="n">
        <v>115.85</v>
      </c>
      <c r="AR68" s="5" t="n">
        <v>116.98</v>
      </c>
      <c r="AS68" s="5" t="n">
        <v>116.6765</v>
      </c>
      <c r="AT68" s="6">
        <f>IF(COUNT(J68:J69)=2,(J68/J69-1)*100,"")</f>
        <v/>
      </c>
      <c r="AU68" s="6">
        <f>IF(COUNT(O68:O69)=2,(O68/O69-1)*100,"")</f>
        <v/>
      </c>
      <c r="AV68" s="6">
        <f>IF(COUNT(T68:T69)=2,(T68/T69-1)*100,"")</f>
        <v/>
      </c>
      <c r="AW68" s="6">
        <f>IF(COUNT(Y68:Y69)=2,(Y68/Y69-1)*100,"")</f>
        <v/>
      </c>
      <c r="AX68" s="6">
        <f>IF(COUNT(AD68:AD69)=2,(AD68/AD69-1)*100,"")</f>
        <v/>
      </c>
      <c r="AY68" s="6">
        <f>IF(COUNT(AI68:AI69)=2,(AI68/AI69-1)*100,"")</f>
        <v/>
      </c>
      <c r="AZ68" s="6">
        <f>IF(COUNT(AN68:AN69)=2,(AN68/AN69-1)*100,"")</f>
        <v/>
      </c>
      <c r="BA68" s="6">
        <f>IF(COUNT(AS68:AS69)=2,(AS68/AS69-1)*100,"")</f>
        <v/>
      </c>
      <c r="BB68" s="5" t="n">
        <v>17.82</v>
      </c>
      <c r="BC68" s="6">
        <f>IF(COUNT(BB68:BB69)=2,(BB68/BB69-1)*100,"")</f>
        <v/>
      </c>
      <c r="BD68" s="6" t="n">
        <v>-3.3098</v>
      </c>
      <c r="BE68" s="6">
        <f>IF(AND(BD68&gt;$BE$12,D68&lt;=$BE$13),D67,"")</f>
        <v/>
      </c>
      <c r="BF68" s="6">
        <f>IF(AND(AV68&lt;$BF$12,AW68&gt;$BF$13),D67,"")</f>
        <v/>
      </c>
      <c r="BG68" s="6">
        <f>IF(AND(AT68&gt;$BG$12,AU68&lt;$BG$13,AV68&gt;$BG$11),D67,"")</f>
        <v/>
      </c>
      <c r="BH68" s="6">
        <f>IF(BE68&lt;&gt;"",BE68,IF(BF68&lt;&gt;"",BF68,BG68))</f>
        <v/>
      </c>
      <c r="BI68" s="6">
        <f>IF(AND(AZ68&gt;$BI$12,BA68&lt;$BI$13),E67,"")</f>
        <v/>
      </c>
      <c r="BJ68" s="6">
        <f>IF(AND(AX68&lt;=$BJ$12,E68&lt;$BJ$13),E67,"")</f>
        <v/>
      </c>
      <c r="BK68" s="6">
        <f>IF(AND(AY68&gt;$BK$12,AZ68&gt;$BK$13),E67,"")</f>
        <v/>
      </c>
      <c r="BL68" s="6">
        <f>IF(BI68&lt;&gt;"",BI68,IF(BJ68&lt;&gt;"",BJ68,BK68))</f>
        <v/>
      </c>
    </row>
    <row r="69">
      <c r="A69" s="5" t="inlineStr">
        <is>
          <t>2026/05/15</t>
        </is>
      </c>
      <c r="B69" s="5" t="n">
        <v>161.66</v>
      </c>
      <c r="C69" s="5" t="n">
        <v>180.37</v>
      </c>
      <c r="D69" s="6">
        <f>IF(COUNT(B69:B70)=2,(B69/B70-1)*100,"")</f>
        <v/>
      </c>
      <c r="E69" s="6">
        <f>IF(COUNT(C69:C70)=2,(C69/C70-1)*100,"")</f>
        <v/>
      </c>
      <c r="F69" s="5" t="n">
        <v>65.23</v>
      </c>
      <c r="G69" s="5" t="n">
        <v>65.47</v>
      </c>
      <c r="H69" s="5" t="n">
        <v>64.72</v>
      </c>
      <c r="I69" s="5" t="n">
        <v>65.06999999999999</v>
      </c>
      <c r="J69" s="5" t="n">
        <v>64.73350000000001</v>
      </c>
      <c r="K69" s="5" t="n">
        <v>417.64</v>
      </c>
      <c r="L69" s="5" t="n">
        <v>419.25</v>
      </c>
      <c r="M69" s="5" t="n">
        <v>414.12</v>
      </c>
      <c r="N69" s="5" t="n">
        <v>417.29</v>
      </c>
      <c r="O69" s="5" t="n">
        <v>417.29</v>
      </c>
      <c r="P69" s="5" t="n">
        <v>79.64</v>
      </c>
      <c r="Q69" s="5" t="n">
        <v>79.69</v>
      </c>
      <c r="R69" s="5" t="n">
        <v>79.45999999999999</v>
      </c>
      <c r="S69" s="5" t="n">
        <v>79.45999999999999</v>
      </c>
      <c r="T69" s="5" t="n">
        <v>78.3104</v>
      </c>
      <c r="U69" s="5" t="n">
        <v>110.6</v>
      </c>
      <c r="V69" s="5" t="n">
        <v>110.66</v>
      </c>
      <c r="W69" s="5" t="n">
        <v>110.47</v>
      </c>
      <c r="X69" s="5" t="n">
        <v>110.61</v>
      </c>
      <c r="Y69" s="5" t="n">
        <v>107.493</v>
      </c>
      <c r="Z69" s="5" t="n">
        <v>51.32</v>
      </c>
      <c r="AA69" s="5" t="n">
        <v>51.5</v>
      </c>
      <c r="AB69" s="5" t="n">
        <v>51.04</v>
      </c>
      <c r="AC69" s="5" t="n">
        <v>51.1</v>
      </c>
      <c r="AD69" s="5" t="n">
        <v>50.9216</v>
      </c>
      <c r="AE69" s="5" t="n">
        <v>57.89</v>
      </c>
      <c r="AF69" s="5" t="n">
        <v>57.93</v>
      </c>
      <c r="AG69" s="5" t="n">
        <v>57.85</v>
      </c>
      <c r="AH69" s="5" t="n">
        <v>57.85</v>
      </c>
      <c r="AI69" s="5" t="n">
        <v>57.85</v>
      </c>
      <c r="AJ69" s="5" t="n">
        <v>89.5</v>
      </c>
      <c r="AK69" s="5" t="n">
        <v>89.55</v>
      </c>
      <c r="AL69" s="5" t="n">
        <v>86.83</v>
      </c>
      <c r="AM69" s="5" t="n">
        <v>87.34999999999999</v>
      </c>
      <c r="AN69" s="5" t="n">
        <v>87.34999999999999</v>
      </c>
      <c r="AO69" s="5" t="n">
        <v>116.91</v>
      </c>
      <c r="AP69" s="5" t="n">
        <v>117.04</v>
      </c>
      <c r="AQ69" s="5" t="n">
        <v>115.98</v>
      </c>
      <c r="AR69" s="5" t="n">
        <v>116.08</v>
      </c>
      <c r="AS69" s="5" t="n">
        <v>115.7788</v>
      </c>
      <c r="AT69" s="6">
        <f>IF(COUNT(J69:J70)=2,(J69/J70-1)*100,"")</f>
        <v/>
      </c>
      <c r="AU69" s="6">
        <f>IF(COUNT(O69:O70)=2,(O69/O70-1)*100,"")</f>
        <v/>
      </c>
      <c r="AV69" s="6">
        <f>IF(COUNT(T69:T70)=2,(T69/T70-1)*100,"")</f>
        <v/>
      </c>
      <c r="AW69" s="6">
        <f>IF(COUNT(Y69:Y70)=2,(Y69/Y70-1)*100,"")</f>
        <v/>
      </c>
      <c r="AX69" s="6">
        <f>IF(COUNT(AD69:AD70)=2,(AD69/AD70-1)*100,"")</f>
        <v/>
      </c>
      <c r="AY69" s="6">
        <f>IF(COUNT(AI69:AI70)=2,(AI69/AI70-1)*100,"")</f>
        <v/>
      </c>
      <c r="AZ69" s="6">
        <f>IF(COUNT(AN69:AN70)=2,(AN69/AN70-1)*100,"")</f>
        <v/>
      </c>
      <c r="BA69" s="6">
        <f>IF(COUNT(AS69:AS70)=2,(AS69/AS70-1)*100,"")</f>
        <v/>
      </c>
      <c r="BB69" s="5" t="n">
        <v>18.43</v>
      </c>
      <c r="BC69" s="6">
        <f>IF(COUNT(BB69:BB70)=2,(BB69/BB70-1)*100,"")</f>
        <v/>
      </c>
      <c r="BD69" s="6" t="n">
        <v>6.7787</v>
      </c>
      <c r="BE69" s="6">
        <f>IF(AND(BD69&gt;$BE$12,D69&lt;=$BE$13),D68,"")</f>
        <v/>
      </c>
      <c r="BF69" s="6">
        <f>IF(AND(AV69&lt;$BF$12,AW69&gt;$BF$13),D68,"")</f>
        <v/>
      </c>
      <c r="BG69" s="6">
        <f>IF(AND(AT69&gt;$BG$12,AU69&lt;$BG$13,AV69&gt;$BG$11),D68,"")</f>
        <v/>
      </c>
      <c r="BH69" s="6">
        <f>IF(BE69&lt;&gt;"",BE69,IF(BF69&lt;&gt;"",BF69,BG69))</f>
        <v/>
      </c>
      <c r="BI69" s="6">
        <f>IF(AND(AZ69&gt;$BI$12,BA69&lt;$BI$13),E68,"")</f>
        <v/>
      </c>
      <c r="BJ69" s="6">
        <f>IF(AND(AX69&lt;=$BJ$12,E69&lt;$BJ$13),E68,"")</f>
        <v/>
      </c>
      <c r="BK69" s="6">
        <f>IF(AND(AY69&gt;$BK$12,AZ69&gt;$BK$13),E68,"")</f>
        <v/>
      </c>
      <c r="BL69" s="6">
        <f>IF(BI69&lt;&gt;"",BI69,IF(BJ69&lt;&gt;"",BJ69,BK69))</f>
        <v/>
      </c>
    </row>
    <row r="70">
      <c r="A70" s="5" t="inlineStr">
        <is>
          <t>2026/05/14</t>
        </is>
      </c>
      <c r="B70" s="5" t="n">
        <v>166.77</v>
      </c>
      <c r="C70" s="5" t="n">
        <v>184.9</v>
      </c>
      <c r="D70" s="6">
        <f>IF(COUNT(B70:B71)=2,(B70/B71-1)*100,"")</f>
        <v/>
      </c>
      <c r="E70" s="6">
        <f>IF(COUNT(C70:C71)=2,(C70/C71-1)*100,"")</f>
        <v/>
      </c>
      <c r="F70" s="5" t="n">
        <v>66.95</v>
      </c>
      <c r="G70" s="5" t="n">
        <v>67.52</v>
      </c>
      <c r="H70" s="5" t="n">
        <v>66.83</v>
      </c>
      <c r="I70" s="5" t="n">
        <v>67.38</v>
      </c>
      <c r="J70" s="5" t="n">
        <v>67.0316</v>
      </c>
      <c r="K70" s="5" t="n">
        <v>430.3</v>
      </c>
      <c r="L70" s="5" t="n">
        <v>431.54</v>
      </c>
      <c r="M70" s="5" t="n">
        <v>427.1</v>
      </c>
      <c r="N70" s="5" t="n">
        <v>427.21</v>
      </c>
      <c r="O70" s="5" t="n">
        <v>427.21</v>
      </c>
      <c r="P70" s="5" t="n">
        <v>79.97</v>
      </c>
      <c r="Q70" s="5" t="n">
        <v>80.05</v>
      </c>
      <c r="R70" s="5" t="n">
        <v>79.84999999999999</v>
      </c>
      <c r="S70" s="5" t="n">
        <v>79.84999999999999</v>
      </c>
      <c r="T70" s="5" t="n">
        <v>78.6947</v>
      </c>
      <c r="U70" s="5" t="n">
        <v>111.24</v>
      </c>
      <c r="V70" s="5" t="n">
        <v>111.29</v>
      </c>
      <c r="W70" s="5" t="n">
        <v>110.99</v>
      </c>
      <c r="X70" s="5" t="n">
        <v>111.01</v>
      </c>
      <c r="Y70" s="5" t="n">
        <v>107.8818</v>
      </c>
      <c r="Z70" s="5" t="n">
        <v>51.27</v>
      </c>
      <c r="AA70" s="5" t="n">
        <v>51.49</v>
      </c>
      <c r="AB70" s="5" t="n">
        <v>51.1</v>
      </c>
      <c r="AC70" s="5" t="n">
        <v>51.29</v>
      </c>
      <c r="AD70" s="5" t="n">
        <v>51.111</v>
      </c>
      <c r="AE70" s="5" t="n">
        <v>58.14</v>
      </c>
      <c r="AF70" s="5" t="n">
        <v>58.33</v>
      </c>
      <c r="AG70" s="5" t="n">
        <v>57.98</v>
      </c>
      <c r="AH70" s="5" t="n">
        <v>58</v>
      </c>
      <c r="AI70" s="5" t="n">
        <v>58</v>
      </c>
      <c r="AJ70" s="5" t="n">
        <v>95.90000000000001</v>
      </c>
      <c r="AK70" s="5" t="n">
        <v>95.91</v>
      </c>
      <c r="AL70" s="5" t="n">
        <v>93.54000000000001</v>
      </c>
      <c r="AM70" s="5" t="n">
        <v>93.95</v>
      </c>
      <c r="AN70" s="5" t="n">
        <v>93.95</v>
      </c>
      <c r="AO70" s="5" t="n">
        <v>117.1</v>
      </c>
      <c r="AP70" s="5" t="n">
        <v>117.97</v>
      </c>
      <c r="AQ70" s="5" t="n">
        <v>116.935</v>
      </c>
      <c r="AR70" s="5" t="n">
        <v>117.11</v>
      </c>
      <c r="AS70" s="5" t="n">
        <v>116.8061</v>
      </c>
      <c r="AT70" s="6">
        <f>IF(COUNT(J70:J71)=2,(J70/J71-1)*100,"")</f>
        <v/>
      </c>
      <c r="AU70" s="6">
        <f>IF(COUNT(O70:O71)=2,(O70/O71-1)*100,"")</f>
        <v/>
      </c>
      <c r="AV70" s="6">
        <f>IF(COUNT(T70:T71)=2,(T70/T71-1)*100,"")</f>
        <v/>
      </c>
      <c r="AW70" s="6">
        <f>IF(COUNT(Y70:Y71)=2,(Y70/Y71-1)*100,"")</f>
        <v/>
      </c>
      <c r="AX70" s="6">
        <f>IF(COUNT(AD70:AD71)=2,(AD70/AD71-1)*100,"")</f>
        <v/>
      </c>
      <c r="AY70" s="6">
        <f>IF(COUNT(AI70:AI71)=2,(AI70/AI71-1)*100,"")</f>
        <v/>
      </c>
      <c r="AZ70" s="6">
        <f>IF(COUNT(AN70:AN71)=2,(AN70/AN71-1)*100,"")</f>
        <v/>
      </c>
      <c r="BA70" s="6">
        <f>IF(COUNT(AS70:AS71)=2,(AS70/AS71-1)*100,"")</f>
        <v/>
      </c>
      <c r="BB70" s="5" t="n">
        <v>17.26</v>
      </c>
      <c r="BC70" s="6">
        <f>IF(COUNT(BB70:BB71)=2,(BB70/BB71-1)*100,"")</f>
        <v/>
      </c>
      <c r="BD70" s="6" t="n">
        <v>-3.4135</v>
      </c>
      <c r="BE70" s="6">
        <f>IF(AND(BD70&gt;$BE$12,D70&lt;=$BE$13),D69,"")</f>
        <v/>
      </c>
      <c r="BF70" s="6">
        <f>IF(AND(AV70&lt;$BF$12,AW70&gt;$BF$13),D69,"")</f>
        <v/>
      </c>
      <c r="BG70" s="6">
        <f>IF(AND(AT70&gt;$BG$12,AU70&lt;$BG$13,AV70&gt;$BG$11),D69,"")</f>
        <v/>
      </c>
      <c r="BH70" s="6">
        <f>IF(BE70&lt;&gt;"",BE70,IF(BF70&lt;&gt;"",BF70,BG70))</f>
        <v/>
      </c>
      <c r="BI70" s="6">
        <f>IF(AND(AZ70&gt;$BI$12,BA70&lt;$BI$13),E69,"")</f>
        <v/>
      </c>
      <c r="BJ70" s="6">
        <f>IF(AND(AX70&lt;=$BJ$12,E70&lt;$BJ$13),E69,"")</f>
        <v/>
      </c>
      <c r="BK70" s="6">
        <f>IF(AND(AY70&gt;$BK$12,AZ70&gt;$BK$13),E69,"")</f>
        <v/>
      </c>
      <c r="BL70" s="6">
        <f>IF(BI70&lt;&gt;"",BI70,IF(BJ70&lt;&gt;"",BJ70,BK70))</f>
        <v/>
      </c>
    </row>
    <row r="71">
      <c r="A71" s="5" t="inlineStr">
        <is>
          <t>2026/05/13</t>
        </is>
      </c>
      <c r="B71" s="5" t="n">
        <v>164.41</v>
      </c>
      <c r="C71" s="5" t="n">
        <v>182.13</v>
      </c>
      <c r="D71" s="6">
        <f>IF(COUNT(B71:B72)=2,(B71/B72-1)*100,"")</f>
        <v/>
      </c>
      <c r="E71" s="6">
        <f>IF(COUNT(C71:C72)=2,(C71/C72-1)*100,"")</f>
        <v/>
      </c>
      <c r="F71" s="5" t="n">
        <v>66.56999999999999</v>
      </c>
      <c r="G71" s="5" t="n">
        <v>67.45</v>
      </c>
      <c r="H71" s="5" t="n">
        <v>66.27</v>
      </c>
      <c r="I71" s="5" t="n">
        <v>67.20999999999999</v>
      </c>
      <c r="J71" s="5" t="n">
        <v>66.8625</v>
      </c>
      <c r="K71" s="5" t="n">
        <v>430.52</v>
      </c>
      <c r="L71" s="5" t="n">
        <v>432.49</v>
      </c>
      <c r="M71" s="5" t="n">
        <v>428.75</v>
      </c>
      <c r="N71" s="5" t="n">
        <v>430.5</v>
      </c>
      <c r="O71" s="5" t="n">
        <v>430.5</v>
      </c>
      <c r="P71" s="5" t="n">
        <v>79.84</v>
      </c>
      <c r="Q71" s="5" t="n">
        <v>79.95</v>
      </c>
      <c r="R71" s="5" t="n">
        <v>79.79000000000001</v>
      </c>
      <c r="S71" s="5" t="n">
        <v>79.91</v>
      </c>
      <c r="T71" s="5" t="n">
        <v>78.7539</v>
      </c>
      <c r="U71" s="5" t="n">
        <v>111.17</v>
      </c>
      <c r="V71" s="5" t="n">
        <v>111.21</v>
      </c>
      <c r="W71" s="5" t="n">
        <v>111.02</v>
      </c>
      <c r="X71" s="5" t="n">
        <v>111.12</v>
      </c>
      <c r="Y71" s="5" t="n">
        <v>107.9887</v>
      </c>
      <c r="Z71" s="5" t="n">
        <v>51.14</v>
      </c>
      <c r="AA71" s="5" t="n">
        <v>51.33</v>
      </c>
      <c r="AB71" s="5" t="n">
        <v>50.96</v>
      </c>
      <c r="AC71" s="5" t="n">
        <v>50.99</v>
      </c>
      <c r="AD71" s="5" t="n">
        <v>50.812</v>
      </c>
      <c r="AE71" s="5" t="n">
        <v>58.16</v>
      </c>
      <c r="AF71" s="5" t="n">
        <v>58.22</v>
      </c>
      <c r="AG71" s="5" t="n">
        <v>58.13</v>
      </c>
      <c r="AH71" s="5" t="n">
        <v>58.17</v>
      </c>
      <c r="AI71" s="5" t="n">
        <v>58.17</v>
      </c>
      <c r="AJ71" s="5" t="n">
        <v>96.09</v>
      </c>
      <c r="AK71" s="5" t="n">
        <v>97.2</v>
      </c>
      <c r="AL71" s="5" t="n">
        <v>94.64</v>
      </c>
      <c r="AM71" s="5" t="n">
        <v>96.23</v>
      </c>
      <c r="AN71" s="5" t="n">
        <v>96.23</v>
      </c>
      <c r="AO71" s="5" t="n">
        <v>115.522</v>
      </c>
      <c r="AP71" s="5" t="n">
        <v>117.03</v>
      </c>
      <c r="AQ71" s="5" t="n">
        <v>115.35</v>
      </c>
      <c r="AR71" s="5" t="n">
        <v>116.76</v>
      </c>
      <c r="AS71" s="5" t="n">
        <v>116.457</v>
      </c>
      <c r="AT71" s="6">
        <f>IF(COUNT(J71:J72)=2,(J71/J72-1)*100,"")</f>
        <v/>
      </c>
      <c r="AU71" s="6">
        <f>IF(COUNT(O71:O72)=2,(O71/O72-1)*100,"")</f>
        <v/>
      </c>
      <c r="AV71" s="6">
        <f>IF(COUNT(T71:T72)=2,(T71/T72-1)*100,"")</f>
        <v/>
      </c>
      <c r="AW71" s="6">
        <f>IF(COUNT(Y71:Y72)=2,(Y71/Y72-1)*100,"")</f>
        <v/>
      </c>
      <c r="AX71" s="6">
        <f>IF(COUNT(AD71:AD72)=2,(AD71/AD72-1)*100,"")</f>
        <v/>
      </c>
      <c r="AY71" s="6">
        <f>IF(COUNT(AI71:AI72)=2,(AI71/AI72-1)*100,"")</f>
        <v/>
      </c>
      <c r="AZ71" s="6">
        <f>IF(COUNT(AN71:AN72)=2,(AN71/AN72-1)*100,"")</f>
        <v/>
      </c>
      <c r="BA71" s="6">
        <f>IF(COUNT(AS71:AS72)=2,(AS71/AS72-1)*100,"")</f>
        <v/>
      </c>
      <c r="BB71" s="5" t="n">
        <v>17.87</v>
      </c>
      <c r="BC71" s="6">
        <f>IF(COUNT(BB71:BB72)=2,(BB71/BB72-1)*100,"")</f>
        <v/>
      </c>
      <c r="BD71" s="6" t="n">
        <v>-0.667</v>
      </c>
      <c r="BE71" s="6">
        <f>IF(AND(BD71&gt;$BE$12,D71&lt;=$BE$13),D70,"")</f>
        <v/>
      </c>
      <c r="BF71" s="6">
        <f>IF(AND(AV71&lt;$BF$12,AW71&gt;$BF$13),D70,"")</f>
        <v/>
      </c>
      <c r="BG71" s="6">
        <f>IF(AND(AT71&gt;$BG$12,AU71&lt;$BG$13,AV71&gt;$BG$11),D70,"")</f>
        <v/>
      </c>
      <c r="BH71" s="6">
        <f>IF(BE71&lt;&gt;"",BE71,IF(BF71&lt;&gt;"",BF71,BG71))</f>
        <v/>
      </c>
      <c r="BI71" s="6">
        <f>IF(AND(AZ71&gt;$BI$12,BA71&lt;$BI$13),E70,"")</f>
        <v/>
      </c>
      <c r="BJ71" s="6">
        <f>IF(AND(AX71&lt;=$BJ$12,E71&lt;$BJ$13),E70,"")</f>
        <v/>
      </c>
      <c r="BK71" s="6">
        <f>IF(AND(AY71&gt;$BK$12,AZ71&gt;$BK$13),E70,"")</f>
        <v/>
      </c>
      <c r="BL71" s="6">
        <f>IF(BI71&lt;&gt;"",BI71,IF(BJ71&lt;&gt;"",BJ71,BK71))</f>
        <v/>
      </c>
    </row>
    <row r="72">
      <c r="A72" s="5" t="inlineStr">
        <is>
          <t>2026/05/12</t>
        </is>
      </c>
      <c r="B72" s="5" t="n">
        <v>161.07</v>
      </c>
      <c r="C72" s="5" t="n">
        <v>180.05</v>
      </c>
      <c r="D72" s="6">
        <f>IF(COUNT(B72:B73)=2,(B72/B73-1)*100,"")</f>
        <v/>
      </c>
      <c r="E72" s="6">
        <f>IF(COUNT(C72:C73)=2,(C72/C73-1)*100,"")</f>
        <v/>
      </c>
      <c r="F72" s="5" t="n">
        <v>66.22</v>
      </c>
      <c r="G72" s="5" t="n">
        <v>66.51000000000001</v>
      </c>
      <c r="H72" s="5" t="n">
        <v>64.98999999999999</v>
      </c>
      <c r="I72" s="5" t="n">
        <v>65.81999999999999</v>
      </c>
      <c r="J72" s="5" t="n">
        <v>65.47969999999999</v>
      </c>
      <c r="K72" s="5" t="n">
        <v>430.7</v>
      </c>
      <c r="L72" s="5" t="n">
        <v>432.98</v>
      </c>
      <c r="M72" s="5" t="n">
        <v>425.85</v>
      </c>
      <c r="N72" s="5" t="n">
        <v>432.93</v>
      </c>
      <c r="O72" s="5" t="n">
        <v>432.93</v>
      </c>
      <c r="P72" s="5" t="n">
        <v>79.81999999999999</v>
      </c>
      <c r="Q72" s="5" t="n">
        <v>79.89</v>
      </c>
      <c r="R72" s="5" t="n">
        <v>79.7</v>
      </c>
      <c r="S72" s="5" t="n">
        <v>79.87</v>
      </c>
      <c r="T72" s="5" t="n">
        <v>78.7144</v>
      </c>
      <c r="U72" s="5" t="n">
        <v>111.28</v>
      </c>
      <c r="V72" s="5" t="n">
        <v>111.28</v>
      </c>
      <c r="W72" s="5" t="n">
        <v>111.05</v>
      </c>
      <c r="X72" s="5" t="n">
        <v>111.12</v>
      </c>
      <c r="Y72" s="5" t="n">
        <v>107.9887</v>
      </c>
      <c r="Z72" s="5" t="n">
        <v>51.18</v>
      </c>
      <c r="AA72" s="5" t="n">
        <v>51.7</v>
      </c>
      <c r="AB72" s="5" t="n">
        <v>50.81</v>
      </c>
      <c r="AC72" s="5" t="n">
        <v>51.58</v>
      </c>
      <c r="AD72" s="5" t="n">
        <v>51.3999</v>
      </c>
      <c r="AE72" s="5" t="n">
        <v>58.27</v>
      </c>
      <c r="AF72" s="5" t="n">
        <v>58.3</v>
      </c>
      <c r="AG72" s="5" t="n">
        <v>58.2</v>
      </c>
      <c r="AH72" s="5" t="n">
        <v>58.27</v>
      </c>
      <c r="AI72" s="5" t="n">
        <v>58.27</v>
      </c>
      <c r="AJ72" s="5" t="n">
        <v>95.59999999999999</v>
      </c>
      <c r="AK72" s="5" t="n">
        <v>97.56</v>
      </c>
      <c r="AL72" s="5" t="n">
        <v>92.84999999999999</v>
      </c>
      <c r="AM72" s="5" t="n">
        <v>97.14</v>
      </c>
      <c r="AN72" s="5" t="n">
        <v>97.14</v>
      </c>
      <c r="AO72" s="5" t="n">
        <v>115.68</v>
      </c>
      <c r="AP72" s="5" t="n">
        <v>115.955</v>
      </c>
      <c r="AQ72" s="5" t="n">
        <v>114.97</v>
      </c>
      <c r="AR72" s="5" t="n">
        <v>115.86</v>
      </c>
      <c r="AS72" s="5" t="n">
        <v>115.5594</v>
      </c>
      <c r="AT72" s="6">
        <f>IF(COUNT(J72:J73)=2,(J72/J73-1)*100,"")</f>
        <v/>
      </c>
      <c r="AU72" s="6">
        <f>IF(COUNT(O72:O73)=2,(O72/O73-1)*100,"")</f>
        <v/>
      </c>
      <c r="AV72" s="6">
        <f>IF(COUNT(T72:T73)=2,(T72/T73-1)*100,"")</f>
        <v/>
      </c>
      <c r="AW72" s="6">
        <f>IF(COUNT(Y72:Y73)=2,(Y72/Y73-1)*100,"")</f>
        <v/>
      </c>
      <c r="AX72" s="6">
        <f>IF(COUNT(AD72:AD73)=2,(AD72/AD73-1)*100,"")</f>
        <v/>
      </c>
      <c r="AY72" s="6">
        <f>IF(COUNT(AI72:AI73)=2,(AI72/AI73-1)*100,"")</f>
        <v/>
      </c>
      <c r="AZ72" s="6">
        <f>IF(COUNT(AN72:AN73)=2,(AN72/AN73-1)*100,"")</f>
        <v/>
      </c>
      <c r="BA72" s="6">
        <f>IF(COUNT(AS72:AS73)=2,(AS72/AS73-1)*100,"")</f>
        <v/>
      </c>
      <c r="BB72" s="5" t="n">
        <v>17.99</v>
      </c>
      <c r="BC72" s="6">
        <f>IF(COUNT(BB72:BB73)=2,(BB72/BB73-1)*100,"")</f>
        <v/>
      </c>
      <c r="BD72" s="6" t="n">
        <v>-2.1219</v>
      </c>
      <c r="BE72" s="6">
        <f>IF(AND(BD72&gt;$BE$12,D72&lt;=$BE$13),D71,"")</f>
        <v/>
      </c>
      <c r="BF72" s="6">
        <f>IF(AND(AV72&lt;$BF$12,AW72&gt;$BF$13),D71,"")</f>
        <v/>
      </c>
      <c r="BG72" s="6">
        <f>IF(AND(AT72&gt;$BG$12,AU72&lt;$BG$13,AV72&gt;$BG$11),D71,"")</f>
        <v/>
      </c>
      <c r="BH72" s="6">
        <f>IF(BE72&lt;&gt;"",BE72,IF(BF72&lt;&gt;"",BF72,BG72))</f>
        <v/>
      </c>
      <c r="BI72" s="6">
        <f>IF(AND(AZ72&gt;$BI$12,BA72&lt;$BI$13),E71,"")</f>
        <v/>
      </c>
      <c r="BJ72" s="6">
        <f>IF(AND(AX72&lt;=$BJ$12,E72&lt;$BJ$13),E71,"")</f>
        <v/>
      </c>
      <c r="BK72" s="6">
        <f>IF(AND(AY72&gt;$BK$12,AZ72&gt;$BK$13),E71,"")</f>
        <v/>
      </c>
      <c r="BL72" s="6">
        <f>IF(BI72&lt;&gt;"",BI72,IF(BJ72&lt;&gt;"",BJ72,BK72))</f>
        <v/>
      </c>
    </row>
    <row r="73">
      <c r="A73" s="5" t="inlineStr">
        <is>
          <t>2026/05/11</t>
        </is>
      </c>
      <c r="B73" s="5" t="n">
        <v>163.95</v>
      </c>
      <c r="C73" s="5" t="n">
        <v>180.64</v>
      </c>
      <c r="D73" s="6">
        <f>IF(COUNT(B73:B74)=2,(B73/B74-1)*100,"")</f>
        <v/>
      </c>
      <c r="E73" s="6">
        <f>IF(COUNT(C73:C74)=2,(C73/C74-1)*100,"")</f>
        <v/>
      </c>
      <c r="F73" s="5" t="n">
        <v>67.83</v>
      </c>
      <c r="G73" s="5" t="n">
        <v>68.15000000000001</v>
      </c>
      <c r="H73" s="5" t="n">
        <v>67.59</v>
      </c>
      <c r="I73" s="5" t="n">
        <v>67.89</v>
      </c>
      <c r="J73" s="5" t="n">
        <v>67.5389</v>
      </c>
      <c r="K73" s="5" t="n">
        <v>434.18</v>
      </c>
      <c r="L73" s="5" t="n">
        <v>436.04</v>
      </c>
      <c r="M73" s="5" t="n">
        <v>432.21</v>
      </c>
      <c r="N73" s="5" t="n">
        <v>434.65</v>
      </c>
      <c r="O73" s="5" t="n">
        <v>434.65</v>
      </c>
      <c r="P73" s="5" t="n">
        <v>80.08</v>
      </c>
      <c r="Q73" s="5" t="n">
        <v>80.15000000000001</v>
      </c>
      <c r="R73" s="5" t="n">
        <v>79.98</v>
      </c>
      <c r="S73" s="5" t="n">
        <v>79.98</v>
      </c>
      <c r="T73" s="5" t="n">
        <v>78.8228</v>
      </c>
      <c r="U73" s="5" t="n">
        <v>111.35</v>
      </c>
      <c r="V73" s="5" t="n">
        <v>111.38</v>
      </c>
      <c r="W73" s="5" t="n">
        <v>111.26</v>
      </c>
      <c r="X73" s="5" t="n">
        <v>111.31</v>
      </c>
      <c r="Y73" s="5" t="n">
        <v>108.1733</v>
      </c>
      <c r="Z73" s="5" t="n">
        <v>51.26</v>
      </c>
      <c r="AA73" s="5" t="n">
        <v>51.46</v>
      </c>
      <c r="AB73" s="5" t="n">
        <v>50.96</v>
      </c>
      <c r="AC73" s="5" t="n">
        <v>51.18</v>
      </c>
      <c r="AD73" s="5" t="n">
        <v>51.0013</v>
      </c>
      <c r="AE73" s="5" t="n">
        <v>58.5</v>
      </c>
      <c r="AF73" s="5" t="n">
        <v>58.51</v>
      </c>
      <c r="AG73" s="5" t="n">
        <v>58.4</v>
      </c>
      <c r="AH73" s="5" t="n">
        <v>58.42</v>
      </c>
      <c r="AI73" s="5" t="n">
        <v>58.42</v>
      </c>
      <c r="AJ73" s="5" t="n">
        <v>95.34</v>
      </c>
      <c r="AK73" s="5" t="n">
        <v>98.73999999999999</v>
      </c>
      <c r="AL73" s="5" t="n">
        <v>95.29000000000001</v>
      </c>
      <c r="AM73" s="5" t="n">
        <v>97.59999999999999</v>
      </c>
      <c r="AN73" s="5" t="n">
        <v>97.59999999999999</v>
      </c>
      <c r="AO73" s="5" t="n">
        <v>116.52</v>
      </c>
      <c r="AP73" s="5" t="n">
        <v>116.72</v>
      </c>
      <c r="AQ73" s="5" t="n">
        <v>115.43</v>
      </c>
      <c r="AR73" s="5" t="n">
        <v>115.58</v>
      </c>
      <c r="AS73" s="5" t="n">
        <v>115.2801</v>
      </c>
      <c r="AT73" s="6">
        <f>IF(COUNT(J73:J74)=2,(J73/J74-1)*100,"")</f>
        <v/>
      </c>
      <c r="AU73" s="6">
        <f>IF(COUNT(O73:O74)=2,(O73/O74-1)*100,"")</f>
        <v/>
      </c>
      <c r="AV73" s="6">
        <f>IF(COUNT(T73:T74)=2,(T73/T74-1)*100,"")</f>
        <v/>
      </c>
      <c r="AW73" s="6">
        <f>IF(COUNT(Y73:Y74)=2,(Y73/Y74-1)*100,"")</f>
        <v/>
      </c>
      <c r="AX73" s="6">
        <f>IF(COUNT(AD73:AD74)=2,(AD73/AD74-1)*100,"")</f>
        <v/>
      </c>
      <c r="AY73" s="6">
        <f>IF(COUNT(AI73:AI74)=2,(AI73/AI74-1)*100,"")</f>
        <v/>
      </c>
      <c r="AZ73" s="6">
        <f>IF(COUNT(AN73:AN74)=2,(AN73/AN74-1)*100,"")</f>
        <v/>
      </c>
      <c r="BA73" s="6">
        <f>IF(COUNT(AS73:AS74)=2,(AS73/AS74-1)*100,"")</f>
        <v/>
      </c>
      <c r="BB73" s="5" t="n">
        <v>18.38</v>
      </c>
      <c r="BC73" s="6">
        <f>IF(COUNT(BB73:BB74)=2,(BB73/BB74-1)*100,"")</f>
        <v/>
      </c>
      <c r="BD73" s="6" t="n">
        <v>6.9226</v>
      </c>
      <c r="BE73" s="6">
        <f>IF(AND(BD73&gt;$BE$12,D73&lt;=$BE$13),D72,"")</f>
        <v/>
      </c>
      <c r="BF73" s="6">
        <f>IF(AND(AV73&lt;$BF$12,AW73&gt;$BF$13),D72,"")</f>
        <v/>
      </c>
      <c r="BG73" s="6">
        <f>IF(AND(AT73&gt;$BG$12,AU73&lt;$BG$13,AV73&gt;$BG$11),D72,"")</f>
        <v/>
      </c>
      <c r="BH73" s="6">
        <f>IF(BE73&lt;&gt;"",BE73,IF(BF73&lt;&gt;"",BF73,BG73))</f>
        <v/>
      </c>
      <c r="BI73" s="6">
        <f>IF(AND(AZ73&gt;$BI$12,BA73&lt;$BI$13),E72,"")</f>
        <v/>
      </c>
      <c r="BJ73" s="6">
        <f>IF(AND(AX73&lt;=$BJ$12,E73&lt;$BJ$13),E72,"")</f>
        <v/>
      </c>
      <c r="BK73" s="6">
        <f>IF(AND(AY73&gt;$BK$12,AZ73&gt;$BK$13),E72,"")</f>
        <v/>
      </c>
      <c r="BL73" s="6">
        <f>IF(BI73&lt;&gt;"",BI73,IF(BJ73&lt;&gt;"",BJ73,BK73))</f>
        <v/>
      </c>
    </row>
    <row r="74">
      <c r="A74" s="5" t="inlineStr">
        <is>
          <t>2026/05/08</t>
        </is>
      </c>
      <c r="B74" s="5" t="n">
        <v>163.06</v>
      </c>
      <c r="C74" s="5" t="n">
        <v>179.98</v>
      </c>
      <c r="D74" s="6" t="inlineStr"/>
      <c r="E74" s="6" t="inlineStr"/>
      <c r="F74" s="5" t="n">
        <v>67.33</v>
      </c>
      <c r="G74" s="5" t="n">
        <v>67.95999999999999</v>
      </c>
      <c r="H74" s="5" t="n">
        <v>67.28</v>
      </c>
      <c r="I74" s="5" t="n">
        <v>67.94</v>
      </c>
      <c r="J74" s="5" t="n">
        <v>67.5887</v>
      </c>
      <c r="K74" s="5" t="n">
        <v>434.05</v>
      </c>
      <c r="L74" s="5" t="n">
        <v>436.2</v>
      </c>
      <c r="M74" s="5" t="n">
        <v>431.7</v>
      </c>
      <c r="N74" s="5" t="n">
        <v>433.77</v>
      </c>
      <c r="O74" s="5" t="n">
        <v>433.77</v>
      </c>
      <c r="P74" s="5" t="n">
        <v>80.01000000000001</v>
      </c>
      <c r="Q74" s="5" t="n">
        <v>80.15000000000001</v>
      </c>
      <c r="R74" s="5" t="n">
        <v>80</v>
      </c>
      <c r="S74" s="5" t="n">
        <v>80.14</v>
      </c>
      <c r="T74" s="5" t="n">
        <v>78.98050000000001</v>
      </c>
      <c r="U74" s="5" t="n">
        <v>111.4</v>
      </c>
      <c r="V74" s="5" t="n">
        <v>111.44</v>
      </c>
      <c r="W74" s="5" t="n">
        <v>111.31</v>
      </c>
      <c r="X74" s="5" t="n">
        <v>111.4</v>
      </c>
      <c r="Y74" s="5" t="n">
        <v>108.2608</v>
      </c>
      <c r="Z74" s="5" t="n">
        <v>51.68</v>
      </c>
      <c r="AA74" s="5" t="n">
        <v>51.74</v>
      </c>
      <c r="AB74" s="5" t="n">
        <v>51.14</v>
      </c>
      <c r="AC74" s="5" t="n">
        <v>51.24</v>
      </c>
      <c r="AD74" s="5" t="n">
        <v>51.0611</v>
      </c>
      <c r="AE74" s="5" t="n">
        <v>58.66</v>
      </c>
      <c r="AF74" s="5" t="n">
        <v>58.71</v>
      </c>
      <c r="AG74" s="5" t="n">
        <v>58.6</v>
      </c>
      <c r="AH74" s="5" t="n">
        <v>58.6</v>
      </c>
      <c r="AI74" s="5" t="n">
        <v>58.6</v>
      </c>
      <c r="AJ74" s="5" t="n">
        <v>93.13</v>
      </c>
      <c r="AK74" s="5" t="n">
        <v>95.3</v>
      </c>
      <c r="AL74" s="5" t="n">
        <v>92.75</v>
      </c>
      <c r="AM74" s="5" t="n">
        <v>94.59</v>
      </c>
      <c r="AN74" s="5" t="n">
        <v>94.59</v>
      </c>
      <c r="AO74" s="5" t="n">
        <v>117.015</v>
      </c>
      <c r="AP74" s="5" t="n">
        <v>117.19</v>
      </c>
      <c r="AQ74" s="5" t="n">
        <v>116.615</v>
      </c>
      <c r="AR74" s="5" t="n">
        <v>116.94</v>
      </c>
      <c r="AS74" s="5" t="n">
        <v>116.6366</v>
      </c>
      <c r="AT74" s="6" t="inlineStr"/>
      <c r="AU74" s="6" t="inlineStr"/>
      <c r="AV74" s="6" t="inlineStr"/>
      <c r="AW74" s="6" t="inlineStr"/>
      <c r="AX74" s="6" t="inlineStr"/>
      <c r="AY74" s="6" t="inlineStr"/>
      <c r="AZ74" s="6" t="inlineStr"/>
      <c r="BA74" s="6" t="inlineStr"/>
      <c r="BB74" s="5" t="n">
        <v>17.19</v>
      </c>
      <c r="BC74" s="6" t="inlineStr"/>
      <c r="BD74" s="6" t="n">
        <v>0.644</v>
      </c>
      <c r="BE74" s="6">
        <f>IF(AND(BD74&gt;$BE$12,D74&lt;=$BE$13),D73,"")</f>
        <v/>
      </c>
      <c r="BF74" s="6">
        <f>IF(AND(AV74&lt;$BF$12,AW74&gt;$BF$13),D73,"")</f>
        <v/>
      </c>
      <c r="BG74" s="6">
        <f>IF(AND(AT74&gt;$BG$12,AU74&lt;$BG$13,AV74&gt;$BG$11),D73,"")</f>
        <v/>
      </c>
      <c r="BH74" s="6">
        <f>IF(BE74&lt;&gt;"",BE74,IF(BF74&lt;&gt;"",BF74,BG74))</f>
        <v/>
      </c>
      <c r="BI74" s="6">
        <f>IF(AND(AZ74&gt;$BI$12,BA74&lt;$BI$13),E73,"")</f>
        <v/>
      </c>
      <c r="BJ74" s="6">
        <f>IF(AND(AX74&lt;=$BJ$12,E74&lt;$BJ$13),E73,"")</f>
        <v/>
      </c>
      <c r="BK74" s="6">
        <f>IF(AND(AY74&gt;$BK$12,AZ74&gt;$BK$13),E73,"")</f>
        <v/>
      </c>
      <c r="BL74" s="6">
        <f>IF(BI74&lt;&gt;"",BI74,IF(BJ74&lt;&gt;"",BJ74,BK74))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2026-08-10T06:25:45Z</dcterms:created>
  <dcterms:modified xmlns:dcterms="http://purl.org/dc/terms/" xmlns:xsi="http://www.w3.org/2001/XMLSchema-instance" xsi:type="dcterms:W3CDTF">2026-08-10T06:25:47Z</dcterms:modified>
</cp:coreProperties>
</file>