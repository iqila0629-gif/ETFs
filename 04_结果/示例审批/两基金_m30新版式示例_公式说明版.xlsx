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&quot;%&quot;"/>
    <numFmt numFmtId="165" formatCode="General&quot;%&quot;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9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1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两基金 m30 新版式示例</t>
        </is>
      </c>
    </row>
    <row r="3">
      <c r="A3" t="inlineStr">
        <is>
          <t>公式说明：</t>
        </is>
      </c>
    </row>
    <row r="4">
      <c r="A4" t="inlineStr">
        <is>
          <t>1. 统计头公式（第2-10行）</t>
        </is>
      </c>
    </row>
    <row r="5">
      <c r="A5" t="inlineStr">
        <is>
          <t xml:space="preserve">   Hit Ratio = Up Count / (Up Count + Down Count)；</t>
        </is>
      </c>
    </row>
    <row r="6">
      <c r="A6" t="inlineStr">
        <is>
          <t xml:space="preserve">   Up Count = COUNTIF(该列数据区, "&gt;0")；Down Count = COUNTIF(该列数据区, "&lt;0")；</t>
        </is>
      </c>
    </row>
    <row r="7">
      <c r="A7" t="inlineStr">
        <is>
          <t xml:space="preserve">   Average = AVERAGE(该列数据区)；Max/Min/Count/Std/Sum 对应 MAX/MIN/COUNT/STDEV/SUM。</t>
        </is>
      </c>
    </row>
    <row r="8">
      <c r="A8" t="inlineStr">
        <is>
          <t>2. 回报率公式</t>
        </is>
      </c>
    </row>
    <row r="9">
      <c r="A9" t="inlineStr">
        <is>
          <t xml:space="preserve">   =IF(COUNT(B16:B17)=2,ROUND((B16/B17-1)*100,4),"")</t>
        </is>
      </c>
    </row>
    <row r="10">
      <c r="A10" t="inlineStr">
        <is>
          <t xml:space="preserve">   B16 是今日 Adj Close，B17 是前一交易日 Adj Close；</t>
        </is>
      </c>
    </row>
    <row r="11">
      <c r="A11" t="inlineStr">
        <is>
          <t xml:space="preserve">   COUNT 判断两天价格都存在才计算当日回报率，否则留空，避免 #DIV/0!。</t>
        </is>
      </c>
    </row>
    <row r="12">
      <c r="A12" t="inlineStr">
        <is>
          <t xml:space="preserve">   VIX_Close 的回报率公式相同；VIX_Chg% 为外部涨跌幅列，可与计算值核对。</t>
        </is>
      </c>
    </row>
    <row r="13">
      <c r="A13" t="inlineStr">
        <is>
          <t xml:space="preserve">   ETF 原始数据列为 Open/High/Low/Close/Adj Close/Volume，回报率由 Adj Close 计算；</t>
        </is>
      </c>
    </row>
    <row r="14">
      <c r="A14" t="inlineStr">
        <is>
          <t xml:space="preserve">   第14行为区块名称行（如EEM），第15行为列头；ETF列头不重复ETF名。</t>
        </is>
      </c>
    </row>
    <row r="15">
      <c r="A15" t="inlineStr">
        <is>
          <t xml:space="preserve">   表内按区块排列：基金区、每支ETF、ETF区、VIX区结束后均用空白列分隔。</t>
        </is>
      </c>
    </row>
    <row r="16">
      <c r="A16" t="inlineStr">
        <is>
          <t xml:space="preserve">   所有回报率均以百分比显示并保留4位小数（公式 ROUND 到4位，显示格式 0.0000%）。</t>
        </is>
      </c>
    </row>
    <row r="17">
      <c r="A17" t="inlineStr">
        <is>
          <t>3. 策略公式</t>
        </is>
      </c>
    </row>
    <row r="18">
      <c r="A18" t="inlineStr">
        <is>
          <t xml:space="preserve">   =IF(条件, 该基金次日实际回报, "")</t>
        </is>
      </c>
    </row>
    <row r="19">
      <c r="A19" t="inlineStr">
        <is>
          <t xml:space="preserve">   条件引用回报率列和阈值参数；满足条件时显示次日实际回报（日期降序，次日=上一行）。</t>
        </is>
      </c>
    </row>
    <row r="20">
      <c r="A20" t="inlineStr">
        <is>
          <t>4. 合并公式</t>
        </is>
      </c>
    </row>
    <row r="21">
      <c r="A21" t="inlineStr">
        <is>
          <t xml:space="preserve">   策略列按 |全历史Average| 从高到低排列，合并列取第一个非空策略：</t>
        </is>
      </c>
    </row>
    <row r="22">
      <c r="A22" t="inlineStr">
        <is>
          <t xml:space="preserve">   =IF(策略1&lt;&gt;"",策略1,IF(策略2&lt;&gt;"",策略2,策略3))</t>
        </is>
      </c>
    </row>
    <row r="23">
      <c r="A23" t="inlineStr">
        <is>
          <t xml:space="preserve">   同一天多条策略触发时，历史 |Average| 最大的策略生效；全部未触发则留空。</t>
        </is>
      </c>
    </row>
    <row r="24">
      <c r="A24" t="inlineStr">
        <is>
          <t>5. 阈值参数</t>
        </is>
      </c>
    </row>
    <row r="25">
      <c r="A25" t="inlineStr">
        <is>
          <t xml:space="preserve">   每个策略列正上方的第11/12/13行是该策略条件阈值：二条件用12/13行，三条件额外用11行；</t>
        </is>
      </c>
    </row>
    <row r="26">
      <c r="A26" t="inlineStr">
        <is>
          <t xml:space="preserve">   修改数字可调整条件，公式自动更新。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E75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4" t="n"/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4" t="n"/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4" t="n"/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4" t="n"/>
      <c r="AB2" s="3">
        <f>AB3/(AB3+AB4)</f>
        <v/>
      </c>
      <c r="AC2" s="3">
        <f>AC3/(AC3+AC4)</f>
        <v/>
      </c>
      <c r="AD2" s="3">
        <f>AD3/(AD3+AD4)</f>
        <v/>
      </c>
      <c r="AE2" s="3">
        <f>AE3/(AE3+AE4)</f>
        <v/>
      </c>
      <c r="AF2" s="3">
        <f>AF3/(AF3+AF4)</f>
        <v/>
      </c>
      <c r="AG2" s="3">
        <f>AG3/(AG3+AG4)</f>
        <v/>
      </c>
      <c r="AH2" s="4" t="n"/>
      <c r="AI2" s="3">
        <f>AI3/(AI3+AI4)</f>
        <v/>
      </c>
      <c r="AJ2" s="3">
        <f>AJ3/(AJ3+AJ4)</f>
        <v/>
      </c>
      <c r="AK2" s="3">
        <f>AK3/(AK3+AK4)</f>
        <v/>
      </c>
      <c r="AL2" s="3">
        <f>AL3/(AL3+AL4)</f>
        <v/>
      </c>
      <c r="AM2" s="3">
        <f>AM3/(AM3+AM4)</f>
        <v/>
      </c>
      <c r="AN2" s="3">
        <f>AN3/(AN3+AN4)</f>
        <v/>
      </c>
      <c r="AO2" s="4" t="n"/>
      <c r="AP2" s="3">
        <f>AP3/(AP3+AP4)</f>
        <v/>
      </c>
      <c r="AQ2" s="3">
        <f>AQ3/(AQ3+AQ4)</f>
        <v/>
      </c>
      <c r="AR2" s="3">
        <f>AR3/(AR3+AR4)</f>
        <v/>
      </c>
      <c r="AS2" s="3">
        <f>AS3/(AS3+AS4)</f>
        <v/>
      </c>
      <c r="AT2" s="3">
        <f>AT3/(AT3+AT4)</f>
        <v/>
      </c>
      <c r="AU2" s="3">
        <f>AU3/(AU3+AU4)</f>
        <v/>
      </c>
      <c r="AV2" s="4" t="n"/>
      <c r="AW2" s="3">
        <f>AW3/(AW3+AW4)</f>
        <v/>
      </c>
      <c r="AX2" s="3">
        <f>AX3/(AX3+AX4)</f>
        <v/>
      </c>
      <c r="AY2" s="3">
        <f>AY3/(AY3+AY4)</f>
        <v/>
      </c>
      <c r="AZ2" s="3">
        <f>AZ3/(AZ3+AZ4)</f>
        <v/>
      </c>
      <c r="BA2" s="3">
        <f>BA3/(BA3+BA4)</f>
        <v/>
      </c>
      <c r="BB2" s="3">
        <f>BB3/(BB3+BB4)</f>
        <v/>
      </c>
      <c r="BC2" s="4" t="n"/>
      <c r="BD2" s="3">
        <f>BD3/(BD3+BD4)</f>
        <v/>
      </c>
      <c r="BE2" s="3">
        <f>BE3/(BE3+BE4)</f>
        <v/>
      </c>
      <c r="BF2" s="3">
        <f>BF3/(BF3+BF4)</f>
        <v/>
      </c>
      <c r="BG2" s="3">
        <f>BG3/(BG3+BG4)</f>
        <v/>
      </c>
      <c r="BH2" s="3">
        <f>BH3/(BH3+BH4)</f>
        <v/>
      </c>
      <c r="BI2" s="3">
        <f>BI3/(BI3+BI4)</f>
        <v/>
      </c>
      <c r="BJ2" s="4" t="n"/>
      <c r="BK2" s="3">
        <f>BK3/(BK3+BK4)</f>
        <v/>
      </c>
      <c r="BL2" s="3">
        <f>BL3/(BL3+BL4)</f>
        <v/>
      </c>
      <c r="BM2" s="3">
        <f>BM3/(BM3+BM4)</f>
        <v/>
      </c>
      <c r="BN2" s="3">
        <f>BN3/(BN3+BN4)</f>
        <v/>
      </c>
      <c r="BO2" s="3">
        <f>BO3/(BO3+BO4)</f>
        <v/>
      </c>
      <c r="BP2" s="3">
        <f>BP3/(BP3+BP4)</f>
        <v/>
      </c>
      <c r="BQ2" s="3">
        <f>BQ3/(BQ3+BQ4)</f>
        <v/>
      </c>
      <c r="BR2" s="3">
        <f>BR3/(BR3+BR4)</f>
        <v/>
      </c>
      <c r="BS2" s="4" t="n"/>
      <c r="BT2" s="3">
        <f>BT3/(BT3+BT4)</f>
        <v/>
      </c>
      <c r="BU2" s="3">
        <f>BU3/(BU3+BU4)</f>
        <v/>
      </c>
      <c r="BV2" s="3">
        <f>BV3/(BV3+BV4)</f>
        <v/>
      </c>
      <c r="BW2" s="4" t="n"/>
      <c r="BX2" s="3">
        <f>BX3/(BX3+BX4)</f>
        <v/>
      </c>
      <c r="BY2" s="3">
        <f>BY3/(BY3+BY4)</f>
        <v/>
      </c>
      <c r="BZ2" s="3">
        <f>BZ3/(BZ3+BZ4)</f>
        <v/>
      </c>
      <c r="CA2" s="3">
        <f>CA3/(CA3+CA4)</f>
        <v/>
      </c>
      <c r="CB2" s="3">
        <f>CB3/(CB3+CB4)</f>
        <v/>
      </c>
      <c r="CC2" s="3">
        <f>CC3/(CC3+CC4)</f>
        <v/>
      </c>
      <c r="CD2" s="3">
        <f>CD3/(CD3+CD4)</f>
        <v/>
      </c>
      <c r="CE2" s="3">
        <f>CE3/(CE3+CE4)</f>
        <v/>
      </c>
    </row>
    <row r="3">
      <c r="A3" s="2" t="inlineStr">
        <is>
          <t>Up Count</t>
        </is>
      </c>
      <c r="B3" s="4">
        <f>COUNTIF(B16:B75,"&gt;0")</f>
        <v/>
      </c>
      <c r="C3" s="4">
        <f>COUNTIF(C16:C75,"&gt;0")</f>
        <v/>
      </c>
      <c r="D3" s="4">
        <f>COUNTIF(D16:D75,"&gt;0")</f>
        <v/>
      </c>
      <c r="E3" s="4">
        <f>COUNTIF(E16:E75,"&gt;0")</f>
        <v/>
      </c>
      <c r="F3" s="4" t="n"/>
      <c r="G3" s="4">
        <f>COUNTIF(G16:G75,"&gt;0")</f>
        <v/>
      </c>
      <c r="H3" s="4">
        <f>COUNTIF(H16:H75,"&gt;0")</f>
        <v/>
      </c>
      <c r="I3" s="4">
        <f>COUNTIF(I16:I75,"&gt;0")</f>
        <v/>
      </c>
      <c r="J3" s="4">
        <f>COUNTIF(J16:J75,"&gt;0")</f>
        <v/>
      </c>
      <c r="K3" s="4">
        <f>COUNTIF(K16:K75,"&gt;0")</f>
        <v/>
      </c>
      <c r="L3" s="4">
        <f>COUNTIF(L16:L75,"&gt;0")</f>
        <v/>
      </c>
      <c r="M3" s="4" t="n"/>
      <c r="N3" s="4">
        <f>COUNTIF(N16:N75,"&gt;0")</f>
        <v/>
      </c>
      <c r="O3" s="4">
        <f>COUNTIF(O16:O75,"&gt;0")</f>
        <v/>
      </c>
      <c r="P3" s="4">
        <f>COUNTIF(P16:P75,"&gt;0")</f>
        <v/>
      </c>
      <c r="Q3" s="4">
        <f>COUNTIF(Q16:Q75,"&gt;0")</f>
        <v/>
      </c>
      <c r="R3" s="4">
        <f>COUNTIF(R16:R75,"&gt;0")</f>
        <v/>
      </c>
      <c r="S3" s="4">
        <f>COUNTIF(S16:S75,"&gt;0")</f>
        <v/>
      </c>
      <c r="T3" s="4" t="n"/>
      <c r="U3" s="4">
        <f>COUNTIF(U16:U75,"&gt;0")</f>
        <v/>
      </c>
      <c r="V3" s="4">
        <f>COUNTIF(V16:V75,"&gt;0")</f>
        <v/>
      </c>
      <c r="W3" s="4">
        <f>COUNTIF(W16:W75,"&gt;0")</f>
        <v/>
      </c>
      <c r="X3" s="4">
        <f>COUNTIF(X16:X75,"&gt;0")</f>
        <v/>
      </c>
      <c r="Y3" s="4">
        <f>COUNTIF(Y16:Y75,"&gt;0")</f>
        <v/>
      </c>
      <c r="Z3" s="4">
        <f>COUNTIF(Z16:Z75,"&gt;0")</f>
        <v/>
      </c>
      <c r="AA3" s="4" t="n"/>
      <c r="AB3" s="4">
        <f>COUNTIF(AB16:AB75,"&gt;0")</f>
        <v/>
      </c>
      <c r="AC3" s="4">
        <f>COUNTIF(AC16:AC75,"&gt;0")</f>
        <v/>
      </c>
      <c r="AD3" s="4">
        <f>COUNTIF(AD16:AD75,"&gt;0")</f>
        <v/>
      </c>
      <c r="AE3" s="4">
        <f>COUNTIF(AE16:AE75,"&gt;0")</f>
        <v/>
      </c>
      <c r="AF3" s="4">
        <f>COUNTIF(AF16:AF75,"&gt;0")</f>
        <v/>
      </c>
      <c r="AG3" s="4">
        <f>COUNTIF(AG16:AG75,"&gt;0")</f>
        <v/>
      </c>
      <c r="AH3" s="4" t="n"/>
      <c r="AI3" s="4">
        <f>COUNTIF(AI16:AI75,"&gt;0")</f>
        <v/>
      </c>
      <c r="AJ3" s="4">
        <f>COUNTIF(AJ16:AJ75,"&gt;0")</f>
        <v/>
      </c>
      <c r="AK3" s="4">
        <f>COUNTIF(AK16:AK75,"&gt;0")</f>
        <v/>
      </c>
      <c r="AL3" s="4">
        <f>COUNTIF(AL16:AL75,"&gt;0")</f>
        <v/>
      </c>
      <c r="AM3" s="4">
        <f>COUNTIF(AM16:AM75,"&gt;0")</f>
        <v/>
      </c>
      <c r="AN3" s="4">
        <f>COUNTIF(AN16:AN75,"&gt;0")</f>
        <v/>
      </c>
      <c r="AO3" s="4" t="n"/>
      <c r="AP3" s="4">
        <f>COUNTIF(AP16:AP75,"&gt;0")</f>
        <v/>
      </c>
      <c r="AQ3" s="4">
        <f>COUNTIF(AQ16:AQ75,"&gt;0")</f>
        <v/>
      </c>
      <c r="AR3" s="4">
        <f>COUNTIF(AR16:AR75,"&gt;0")</f>
        <v/>
      </c>
      <c r="AS3" s="4">
        <f>COUNTIF(AS16:AS75,"&gt;0")</f>
        <v/>
      </c>
      <c r="AT3" s="4">
        <f>COUNTIF(AT16:AT75,"&gt;0")</f>
        <v/>
      </c>
      <c r="AU3" s="4">
        <f>COUNTIF(AU16:AU75,"&gt;0")</f>
        <v/>
      </c>
      <c r="AV3" s="4" t="n"/>
      <c r="AW3" s="4">
        <f>COUNTIF(AW16:AW75,"&gt;0")</f>
        <v/>
      </c>
      <c r="AX3" s="4">
        <f>COUNTIF(AX16:AX75,"&gt;0")</f>
        <v/>
      </c>
      <c r="AY3" s="4">
        <f>COUNTIF(AY16:AY75,"&gt;0")</f>
        <v/>
      </c>
      <c r="AZ3" s="4">
        <f>COUNTIF(AZ16:AZ75,"&gt;0")</f>
        <v/>
      </c>
      <c r="BA3" s="4">
        <f>COUNTIF(BA16:BA75,"&gt;0")</f>
        <v/>
      </c>
      <c r="BB3" s="4">
        <f>COUNTIF(BB16:BB75,"&gt;0")</f>
        <v/>
      </c>
      <c r="BC3" s="4" t="n"/>
      <c r="BD3" s="4">
        <f>COUNTIF(BD16:BD75,"&gt;0")</f>
        <v/>
      </c>
      <c r="BE3" s="4">
        <f>COUNTIF(BE16:BE75,"&gt;0")</f>
        <v/>
      </c>
      <c r="BF3" s="4">
        <f>COUNTIF(BF16:BF75,"&gt;0")</f>
        <v/>
      </c>
      <c r="BG3" s="4">
        <f>COUNTIF(BG16:BG75,"&gt;0")</f>
        <v/>
      </c>
      <c r="BH3" s="4">
        <f>COUNTIF(BH16:BH75,"&gt;0")</f>
        <v/>
      </c>
      <c r="BI3" s="4">
        <f>COUNTIF(BI16:BI75,"&gt;0")</f>
        <v/>
      </c>
      <c r="BJ3" s="4" t="n"/>
      <c r="BK3" s="4">
        <f>COUNTIF(BK16:BK75,"&gt;0")</f>
        <v/>
      </c>
      <c r="BL3" s="4">
        <f>COUNTIF(BL16:BL75,"&gt;0")</f>
        <v/>
      </c>
      <c r="BM3" s="4">
        <f>COUNTIF(BM16:BM75,"&gt;0")</f>
        <v/>
      </c>
      <c r="BN3" s="4">
        <f>COUNTIF(BN16:BN75,"&gt;0")</f>
        <v/>
      </c>
      <c r="BO3" s="4">
        <f>COUNTIF(BO16:BO75,"&gt;0")</f>
        <v/>
      </c>
      <c r="BP3" s="4">
        <f>COUNTIF(BP16:BP75,"&gt;0")</f>
        <v/>
      </c>
      <c r="BQ3" s="4">
        <f>COUNTIF(BQ16:BQ75,"&gt;0")</f>
        <v/>
      </c>
      <c r="BR3" s="4">
        <f>COUNTIF(BR16:BR75,"&gt;0")</f>
        <v/>
      </c>
      <c r="BS3" s="4" t="n"/>
      <c r="BT3" s="4">
        <f>COUNTIF(BT16:BT75,"&gt;0")</f>
        <v/>
      </c>
      <c r="BU3" s="4">
        <f>COUNTIF(BU16:BU75,"&gt;0")</f>
        <v/>
      </c>
      <c r="BV3" s="4">
        <f>COUNTIF(BV16:BV75,"&gt;0")</f>
        <v/>
      </c>
      <c r="BW3" s="4" t="n"/>
      <c r="BX3" s="4">
        <f>COUNTIF(BX16:BX75,"&gt;0")</f>
        <v/>
      </c>
      <c r="BY3" s="4">
        <f>COUNTIF(BY16:BY75,"&gt;0")</f>
        <v/>
      </c>
      <c r="BZ3" s="4">
        <f>COUNTIF(BZ16:BZ75,"&gt;0")</f>
        <v/>
      </c>
      <c r="CA3" s="4">
        <f>COUNTIF(CA16:CA75,"&gt;0")</f>
        <v/>
      </c>
      <c r="CB3" s="4">
        <f>COUNTIF(CB16:CB75,"&gt;0")</f>
        <v/>
      </c>
      <c r="CC3" s="4">
        <f>COUNTIF(CC16:CC75,"&gt;0")</f>
        <v/>
      </c>
      <c r="CD3" s="4">
        <f>COUNTIF(CD16:CD75,"&gt;0")</f>
        <v/>
      </c>
      <c r="CE3" s="4">
        <f>COUNTIF(CE16:CE75,"&gt;0")</f>
        <v/>
      </c>
    </row>
    <row r="4">
      <c r="A4" s="2" t="inlineStr">
        <is>
          <t>Down Count</t>
        </is>
      </c>
      <c r="B4" s="4">
        <f>COUNTIF(B16:B75,"&lt;0")</f>
        <v/>
      </c>
      <c r="C4" s="4">
        <f>COUNTIF(C16:C75,"&lt;0")</f>
        <v/>
      </c>
      <c r="D4" s="4">
        <f>COUNTIF(D16:D75,"&lt;0")</f>
        <v/>
      </c>
      <c r="E4" s="4">
        <f>COUNTIF(E16:E75,"&lt;0")</f>
        <v/>
      </c>
      <c r="F4" s="4" t="n"/>
      <c r="G4" s="4">
        <f>COUNTIF(G16:G75,"&lt;0")</f>
        <v/>
      </c>
      <c r="H4" s="4">
        <f>COUNTIF(H16:H75,"&lt;0")</f>
        <v/>
      </c>
      <c r="I4" s="4">
        <f>COUNTIF(I16:I75,"&lt;0")</f>
        <v/>
      </c>
      <c r="J4" s="4">
        <f>COUNTIF(J16:J75,"&lt;0")</f>
        <v/>
      </c>
      <c r="K4" s="4">
        <f>COUNTIF(K16:K75,"&lt;0")</f>
        <v/>
      </c>
      <c r="L4" s="4">
        <f>COUNTIF(L16:L75,"&lt;0")</f>
        <v/>
      </c>
      <c r="M4" s="4" t="n"/>
      <c r="N4" s="4">
        <f>COUNTIF(N16:N75,"&lt;0")</f>
        <v/>
      </c>
      <c r="O4" s="4">
        <f>COUNTIF(O16:O75,"&lt;0")</f>
        <v/>
      </c>
      <c r="P4" s="4">
        <f>COUNTIF(P16:P75,"&lt;0")</f>
        <v/>
      </c>
      <c r="Q4" s="4">
        <f>COUNTIF(Q16:Q75,"&lt;0")</f>
        <v/>
      </c>
      <c r="R4" s="4">
        <f>COUNTIF(R16:R75,"&lt;0")</f>
        <v/>
      </c>
      <c r="S4" s="4">
        <f>COUNTIF(S16:S75,"&lt;0")</f>
        <v/>
      </c>
      <c r="T4" s="4" t="n"/>
      <c r="U4" s="4">
        <f>COUNTIF(U16:U75,"&lt;0")</f>
        <v/>
      </c>
      <c r="V4" s="4">
        <f>COUNTIF(V16:V75,"&lt;0")</f>
        <v/>
      </c>
      <c r="W4" s="4">
        <f>COUNTIF(W16:W75,"&lt;0")</f>
        <v/>
      </c>
      <c r="X4" s="4">
        <f>COUNTIF(X16:X75,"&lt;0")</f>
        <v/>
      </c>
      <c r="Y4" s="4">
        <f>COUNTIF(Y16:Y75,"&lt;0")</f>
        <v/>
      </c>
      <c r="Z4" s="4">
        <f>COUNTIF(Z16:Z75,"&lt;0")</f>
        <v/>
      </c>
      <c r="AA4" s="4" t="n"/>
      <c r="AB4" s="4">
        <f>COUNTIF(AB16:AB75,"&lt;0")</f>
        <v/>
      </c>
      <c r="AC4" s="4">
        <f>COUNTIF(AC16:AC75,"&lt;0")</f>
        <v/>
      </c>
      <c r="AD4" s="4">
        <f>COUNTIF(AD16:AD75,"&lt;0")</f>
        <v/>
      </c>
      <c r="AE4" s="4">
        <f>COUNTIF(AE16:AE75,"&lt;0")</f>
        <v/>
      </c>
      <c r="AF4" s="4">
        <f>COUNTIF(AF16:AF75,"&lt;0")</f>
        <v/>
      </c>
      <c r="AG4" s="4">
        <f>COUNTIF(AG16:AG75,"&lt;0")</f>
        <v/>
      </c>
      <c r="AH4" s="4" t="n"/>
      <c r="AI4" s="4">
        <f>COUNTIF(AI16:AI75,"&lt;0")</f>
        <v/>
      </c>
      <c r="AJ4" s="4">
        <f>COUNTIF(AJ16:AJ75,"&lt;0")</f>
        <v/>
      </c>
      <c r="AK4" s="4">
        <f>COUNTIF(AK16:AK75,"&lt;0")</f>
        <v/>
      </c>
      <c r="AL4" s="4">
        <f>COUNTIF(AL16:AL75,"&lt;0")</f>
        <v/>
      </c>
      <c r="AM4" s="4">
        <f>COUNTIF(AM16:AM75,"&lt;0")</f>
        <v/>
      </c>
      <c r="AN4" s="4">
        <f>COUNTIF(AN16:AN75,"&lt;0")</f>
        <v/>
      </c>
      <c r="AO4" s="4" t="n"/>
      <c r="AP4" s="4">
        <f>COUNTIF(AP16:AP75,"&lt;0")</f>
        <v/>
      </c>
      <c r="AQ4" s="4">
        <f>COUNTIF(AQ16:AQ75,"&lt;0")</f>
        <v/>
      </c>
      <c r="AR4" s="4">
        <f>COUNTIF(AR16:AR75,"&lt;0")</f>
        <v/>
      </c>
      <c r="AS4" s="4">
        <f>COUNTIF(AS16:AS75,"&lt;0")</f>
        <v/>
      </c>
      <c r="AT4" s="4">
        <f>COUNTIF(AT16:AT75,"&lt;0")</f>
        <v/>
      </c>
      <c r="AU4" s="4">
        <f>COUNTIF(AU16:AU75,"&lt;0")</f>
        <v/>
      </c>
      <c r="AV4" s="4" t="n"/>
      <c r="AW4" s="4">
        <f>COUNTIF(AW16:AW75,"&lt;0")</f>
        <v/>
      </c>
      <c r="AX4" s="4">
        <f>COUNTIF(AX16:AX75,"&lt;0")</f>
        <v/>
      </c>
      <c r="AY4" s="4">
        <f>COUNTIF(AY16:AY75,"&lt;0")</f>
        <v/>
      </c>
      <c r="AZ4" s="4">
        <f>COUNTIF(AZ16:AZ75,"&lt;0")</f>
        <v/>
      </c>
      <c r="BA4" s="4">
        <f>COUNTIF(BA16:BA75,"&lt;0")</f>
        <v/>
      </c>
      <c r="BB4" s="4">
        <f>COUNTIF(BB16:BB75,"&lt;0")</f>
        <v/>
      </c>
      <c r="BC4" s="4" t="n"/>
      <c r="BD4" s="4">
        <f>COUNTIF(BD16:BD75,"&lt;0")</f>
        <v/>
      </c>
      <c r="BE4" s="4">
        <f>COUNTIF(BE16:BE75,"&lt;0")</f>
        <v/>
      </c>
      <c r="BF4" s="4">
        <f>COUNTIF(BF16:BF75,"&lt;0")</f>
        <v/>
      </c>
      <c r="BG4" s="4">
        <f>COUNTIF(BG16:BG75,"&lt;0")</f>
        <v/>
      </c>
      <c r="BH4" s="4">
        <f>COUNTIF(BH16:BH75,"&lt;0")</f>
        <v/>
      </c>
      <c r="BI4" s="4">
        <f>COUNTIF(BI16:BI75,"&lt;0")</f>
        <v/>
      </c>
      <c r="BJ4" s="4" t="n"/>
      <c r="BK4" s="4">
        <f>COUNTIF(BK16:BK75,"&lt;0")</f>
        <v/>
      </c>
      <c r="BL4" s="4">
        <f>COUNTIF(BL16:BL75,"&lt;0")</f>
        <v/>
      </c>
      <c r="BM4" s="4">
        <f>COUNTIF(BM16:BM75,"&lt;0")</f>
        <v/>
      </c>
      <c r="BN4" s="4">
        <f>COUNTIF(BN16:BN75,"&lt;0")</f>
        <v/>
      </c>
      <c r="BO4" s="4">
        <f>COUNTIF(BO16:BO75,"&lt;0")</f>
        <v/>
      </c>
      <c r="BP4" s="4">
        <f>COUNTIF(BP16:BP75,"&lt;0")</f>
        <v/>
      </c>
      <c r="BQ4" s="4">
        <f>COUNTIF(BQ16:BQ75,"&lt;0")</f>
        <v/>
      </c>
      <c r="BR4" s="4">
        <f>COUNTIF(BR16:BR75,"&lt;0")</f>
        <v/>
      </c>
      <c r="BS4" s="4" t="n"/>
      <c r="BT4" s="4">
        <f>COUNTIF(BT16:BT75,"&lt;0")</f>
        <v/>
      </c>
      <c r="BU4" s="4">
        <f>COUNTIF(BU16:BU75,"&lt;0")</f>
        <v/>
      </c>
      <c r="BV4" s="4">
        <f>COUNTIF(BV16:BV75,"&lt;0")</f>
        <v/>
      </c>
      <c r="BW4" s="4" t="n"/>
      <c r="BX4" s="4">
        <f>COUNTIF(BX16:BX75,"&lt;0")</f>
        <v/>
      </c>
      <c r="BY4" s="4">
        <f>COUNTIF(BY16:BY75,"&lt;0")</f>
        <v/>
      </c>
      <c r="BZ4" s="4">
        <f>COUNTIF(BZ16:BZ75,"&lt;0")</f>
        <v/>
      </c>
      <c r="CA4" s="4">
        <f>COUNTIF(CA16:CA75,"&lt;0")</f>
        <v/>
      </c>
      <c r="CB4" s="4">
        <f>COUNTIF(CB16:CB75,"&lt;0")</f>
        <v/>
      </c>
      <c r="CC4" s="4">
        <f>COUNTIF(CC16:CC75,"&lt;0")</f>
        <v/>
      </c>
      <c r="CD4" s="4">
        <f>COUNTIF(CD16:CD75,"&lt;0")</f>
        <v/>
      </c>
      <c r="CE4" s="4">
        <f>COUNTIF(CE16:CE75,"&lt;0")</f>
        <v/>
      </c>
    </row>
    <row r="5">
      <c r="A5" s="2" t="inlineStr">
        <is>
          <t>Average</t>
        </is>
      </c>
      <c r="B5" s="5">
        <f>AVERAGE(B16:B75)</f>
        <v/>
      </c>
      <c r="C5" s="5">
        <f>AVERAGE(C16:C75)</f>
        <v/>
      </c>
      <c r="D5" s="5">
        <f>AVERAGE(D16:D75)</f>
        <v/>
      </c>
      <c r="E5" s="5">
        <f>AVERAGE(E16:E75)</f>
        <v/>
      </c>
      <c r="F5" s="4" t="n"/>
      <c r="G5" s="5">
        <f>AVERAGE(G16:G75)</f>
        <v/>
      </c>
      <c r="H5" s="5">
        <f>AVERAGE(H16:H75)</f>
        <v/>
      </c>
      <c r="I5" s="5">
        <f>AVERAGE(I16:I75)</f>
        <v/>
      </c>
      <c r="J5" s="5">
        <f>AVERAGE(J16:J75)</f>
        <v/>
      </c>
      <c r="K5" s="5">
        <f>AVERAGE(K16:K75)</f>
        <v/>
      </c>
      <c r="L5" s="5">
        <f>AVERAGE(L16:L75)</f>
        <v/>
      </c>
      <c r="M5" s="4" t="n"/>
      <c r="N5" s="5">
        <f>AVERAGE(N16:N75)</f>
        <v/>
      </c>
      <c r="O5" s="5">
        <f>AVERAGE(O16:O75)</f>
        <v/>
      </c>
      <c r="P5" s="5">
        <f>AVERAGE(P16:P75)</f>
        <v/>
      </c>
      <c r="Q5" s="5">
        <f>AVERAGE(Q16:Q75)</f>
        <v/>
      </c>
      <c r="R5" s="5">
        <f>AVERAGE(R16:R75)</f>
        <v/>
      </c>
      <c r="S5" s="5">
        <f>AVERAGE(S16:S75)</f>
        <v/>
      </c>
      <c r="T5" s="4" t="n"/>
      <c r="U5" s="5">
        <f>AVERAGE(U16:U75)</f>
        <v/>
      </c>
      <c r="V5" s="5">
        <f>AVERAGE(V16:V75)</f>
        <v/>
      </c>
      <c r="W5" s="5">
        <f>AVERAGE(W16:W75)</f>
        <v/>
      </c>
      <c r="X5" s="5">
        <f>AVERAGE(X16:X75)</f>
        <v/>
      </c>
      <c r="Y5" s="5">
        <f>AVERAGE(Y16:Y75)</f>
        <v/>
      </c>
      <c r="Z5" s="5">
        <f>AVERAGE(Z16:Z75)</f>
        <v/>
      </c>
      <c r="AA5" s="4" t="n"/>
      <c r="AB5" s="5">
        <f>AVERAGE(AB16:AB75)</f>
        <v/>
      </c>
      <c r="AC5" s="5">
        <f>AVERAGE(AC16:AC75)</f>
        <v/>
      </c>
      <c r="AD5" s="5">
        <f>AVERAGE(AD16:AD75)</f>
        <v/>
      </c>
      <c r="AE5" s="5">
        <f>AVERAGE(AE16:AE75)</f>
        <v/>
      </c>
      <c r="AF5" s="5">
        <f>AVERAGE(AF16:AF75)</f>
        <v/>
      </c>
      <c r="AG5" s="5">
        <f>AVERAGE(AG16:AG75)</f>
        <v/>
      </c>
      <c r="AH5" s="4" t="n"/>
      <c r="AI5" s="5">
        <f>AVERAGE(AI16:AI75)</f>
        <v/>
      </c>
      <c r="AJ5" s="5">
        <f>AVERAGE(AJ16:AJ75)</f>
        <v/>
      </c>
      <c r="AK5" s="5">
        <f>AVERAGE(AK16:AK75)</f>
        <v/>
      </c>
      <c r="AL5" s="5">
        <f>AVERAGE(AL16:AL75)</f>
        <v/>
      </c>
      <c r="AM5" s="5">
        <f>AVERAGE(AM16:AM75)</f>
        <v/>
      </c>
      <c r="AN5" s="5">
        <f>AVERAGE(AN16:AN75)</f>
        <v/>
      </c>
      <c r="AO5" s="4" t="n"/>
      <c r="AP5" s="5">
        <f>AVERAGE(AP16:AP75)</f>
        <v/>
      </c>
      <c r="AQ5" s="5">
        <f>AVERAGE(AQ16:AQ75)</f>
        <v/>
      </c>
      <c r="AR5" s="5">
        <f>AVERAGE(AR16:AR75)</f>
        <v/>
      </c>
      <c r="AS5" s="5">
        <f>AVERAGE(AS16:AS75)</f>
        <v/>
      </c>
      <c r="AT5" s="5">
        <f>AVERAGE(AT16:AT75)</f>
        <v/>
      </c>
      <c r="AU5" s="5">
        <f>AVERAGE(AU16:AU75)</f>
        <v/>
      </c>
      <c r="AV5" s="4" t="n"/>
      <c r="AW5" s="5">
        <f>AVERAGE(AW16:AW75)</f>
        <v/>
      </c>
      <c r="AX5" s="5">
        <f>AVERAGE(AX16:AX75)</f>
        <v/>
      </c>
      <c r="AY5" s="5">
        <f>AVERAGE(AY16:AY75)</f>
        <v/>
      </c>
      <c r="AZ5" s="5">
        <f>AVERAGE(AZ16:AZ75)</f>
        <v/>
      </c>
      <c r="BA5" s="5">
        <f>AVERAGE(BA16:BA75)</f>
        <v/>
      </c>
      <c r="BB5" s="5">
        <f>AVERAGE(BB16:BB75)</f>
        <v/>
      </c>
      <c r="BC5" s="4" t="n"/>
      <c r="BD5" s="5">
        <f>AVERAGE(BD16:BD75)</f>
        <v/>
      </c>
      <c r="BE5" s="5">
        <f>AVERAGE(BE16:BE75)</f>
        <v/>
      </c>
      <c r="BF5" s="5">
        <f>AVERAGE(BF16:BF75)</f>
        <v/>
      </c>
      <c r="BG5" s="5">
        <f>AVERAGE(BG16:BG75)</f>
        <v/>
      </c>
      <c r="BH5" s="5">
        <f>AVERAGE(BH16:BH75)</f>
        <v/>
      </c>
      <c r="BI5" s="5">
        <f>AVERAGE(BI16:BI75)</f>
        <v/>
      </c>
      <c r="BJ5" s="4" t="n"/>
      <c r="BK5" s="5">
        <f>AVERAGE(BK16:BK75)</f>
        <v/>
      </c>
      <c r="BL5" s="5">
        <f>AVERAGE(BL16:BL75)</f>
        <v/>
      </c>
      <c r="BM5" s="5">
        <f>AVERAGE(BM16:BM75)</f>
        <v/>
      </c>
      <c r="BN5" s="5">
        <f>AVERAGE(BN16:BN75)</f>
        <v/>
      </c>
      <c r="BO5" s="5">
        <f>AVERAGE(BO16:BO75)</f>
        <v/>
      </c>
      <c r="BP5" s="5">
        <f>AVERAGE(BP16:BP75)</f>
        <v/>
      </c>
      <c r="BQ5" s="5">
        <f>AVERAGE(BQ16:BQ75)</f>
        <v/>
      </c>
      <c r="BR5" s="5">
        <f>AVERAGE(BR16:BR75)</f>
        <v/>
      </c>
      <c r="BS5" s="4" t="n"/>
      <c r="BT5" s="5">
        <f>AVERAGE(BT16:BT75)</f>
        <v/>
      </c>
      <c r="BU5" s="5">
        <f>AVERAGE(BU16:BU75)</f>
        <v/>
      </c>
      <c r="BV5" s="5">
        <f>AVERAGE(BV16:BV75)</f>
        <v/>
      </c>
      <c r="BW5" s="4" t="n"/>
      <c r="BX5" s="5">
        <f>AVERAGE(BX16:BX75)</f>
        <v/>
      </c>
      <c r="BY5" s="5">
        <f>AVERAGE(BY16:BY75)</f>
        <v/>
      </c>
      <c r="BZ5" s="5">
        <f>AVERAGE(BZ16:BZ75)</f>
        <v/>
      </c>
      <c r="CA5" s="5">
        <f>AVERAGE(CA16:CA75)</f>
        <v/>
      </c>
      <c r="CB5" s="5">
        <f>AVERAGE(CB16:CB75)</f>
        <v/>
      </c>
      <c r="CC5" s="5">
        <f>AVERAGE(CC16:CC75)</f>
        <v/>
      </c>
      <c r="CD5" s="5">
        <f>AVERAGE(CD16:CD75)</f>
        <v/>
      </c>
      <c r="CE5" s="5">
        <f>AVERAGE(CE16:CE75)</f>
        <v/>
      </c>
    </row>
    <row r="6">
      <c r="A6" s="2" t="inlineStr">
        <is>
          <t>Max</t>
        </is>
      </c>
      <c r="B6" s="5">
        <f>MAX(B16:B75)</f>
        <v/>
      </c>
      <c r="C6" s="5">
        <f>MAX(C16:C75)</f>
        <v/>
      </c>
      <c r="D6" s="5">
        <f>MAX(D16:D75)</f>
        <v/>
      </c>
      <c r="E6" s="5">
        <f>MAX(E16:E75)</f>
        <v/>
      </c>
      <c r="F6" s="4" t="n"/>
      <c r="G6" s="5">
        <f>MAX(G16:G75)</f>
        <v/>
      </c>
      <c r="H6" s="5">
        <f>MAX(H16:H75)</f>
        <v/>
      </c>
      <c r="I6" s="5">
        <f>MAX(I16:I75)</f>
        <v/>
      </c>
      <c r="J6" s="5">
        <f>MAX(J16:J75)</f>
        <v/>
      </c>
      <c r="K6" s="5">
        <f>MAX(K16:K75)</f>
        <v/>
      </c>
      <c r="L6" s="5">
        <f>MAX(L16:L75)</f>
        <v/>
      </c>
      <c r="M6" s="4" t="n"/>
      <c r="N6" s="5">
        <f>MAX(N16:N75)</f>
        <v/>
      </c>
      <c r="O6" s="5">
        <f>MAX(O16:O75)</f>
        <v/>
      </c>
      <c r="P6" s="5">
        <f>MAX(P16:P75)</f>
        <v/>
      </c>
      <c r="Q6" s="5">
        <f>MAX(Q16:Q75)</f>
        <v/>
      </c>
      <c r="R6" s="5">
        <f>MAX(R16:R75)</f>
        <v/>
      </c>
      <c r="S6" s="5">
        <f>MAX(S16:S75)</f>
        <v/>
      </c>
      <c r="T6" s="4" t="n"/>
      <c r="U6" s="5">
        <f>MAX(U16:U75)</f>
        <v/>
      </c>
      <c r="V6" s="5">
        <f>MAX(V16:V75)</f>
        <v/>
      </c>
      <c r="W6" s="5">
        <f>MAX(W16:W75)</f>
        <v/>
      </c>
      <c r="X6" s="5">
        <f>MAX(X16:X75)</f>
        <v/>
      </c>
      <c r="Y6" s="5">
        <f>MAX(Y16:Y75)</f>
        <v/>
      </c>
      <c r="Z6" s="5">
        <f>MAX(Z16:Z75)</f>
        <v/>
      </c>
      <c r="AA6" s="4" t="n"/>
      <c r="AB6" s="5">
        <f>MAX(AB16:AB75)</f>
        <v/>
      </c>
      <c r="AC6" s="5">
        <f>MAX(AC16:AC75)</f>
        <v/>
      </c>
      <c r="AD6" s="5">
        <f>MAX(AD16:AD75)</f>
        <v/>
      </c>
      <c r="AE6" s="5">
        <f>MAX(AE16:AE75)</f>
        <v/>
      </c>
      <c r="AF6" s="5">
        <f>MAX(AF16:AF75)</f>
        <v/>
      </c>
      <c r="AG6" s="5">
        <f>MAX(AG16:AG75)</f>
        <v/>
      </c>
      <c r="AH6" s="4" t="n"/>
      <c r="AI6" s="5">
        <f>MAX(AI16:AI75)</f>
        <v/>
      </c>
      <c r="AJ6" s="5">
        <f>MAX(AJ16:AJ75)</f>
        <v/>
      </c>
      <c r="AK6" s="5">
        <f>MAX(AK16:AK75)</f>
        <v/>
      </c>
      <c r="AL6" s="5">
        <f>MAX(AL16:AL75)</f>
        <v/>
      </c>
      <c r="AM6" s="5">
        <f>MAX(AM16:AM75)</f>
        <v/>
      </c>
      <c r="AN6" s="5">
        <f>MAX(AN16:AN75)</f>
        <v/>
      </c>
      <c r="AO6" s="4" t="n"/>
      <c r="AP6" s="5">
        <f>MAX(AP16:AP75)</f>
        <v/>
      </c>
      <c r="AQ6" s="5">
        <f>MAX(AQ16:AQ75)</f>
        <v/>
      </c>
      <c r="AR6" s="5">
        <f>MAX(AR16:AR75)</f>
        <v/>
      </c>
      <c r="AS6" s="5">
        <f>MAX(AS16:AS75)</f>
        <v/>
      </c>
      <c r="AT6" s="5">
        <f>MAX(AT16:AT75)</f>
        <v/>
      </c>
      <c r="AU6" s="5">
        <f>MAX(AU16:AU75)</f>
        <v/>
      </c>
      <c r="AV6" s="4" t="n"/>
      <c r="AW6" s="5">
        <f>MAX(AW16:AW75)</f>
        <v/>
      </c>
      <c r="AX6" s="5">
        <f>MAX(AX16:AX75)</f>
        <v/>
      </c>
      <c r="AY6" s="5">
        <f>MAX(AY16:AY75)</f>
        <v/>
      </c>
      <c r="AZ6" s="5">
        <f>MAX(AZ16:AZ75)</f>
        <v/>
      </c>
      <c r="BA6" s="5">
        <f>MAX(BA16:BA75)</f>
        <v/>
      </c>
      <c r="BB6" s="5">
        <f>MAX(BB16:BB75)</f>
        <v/>
      </c>
      <c r="BC6" s="4" t="n"/>
      <c r="BD6" s="5">
        <f>MAX(BD16:BD75)</f>
        <v/>
      </c>
      <c r="BE6" s="5">
        <f>MAX(BE16:BE75)</f>
        <v/>
      </c>
      <c r="BF6" s="5">
        <f>MAX(BF16:BF75)</f>
        <v/>
      </c>
      <c r="BG6" s="5">
        <f>MAX(BG16:BG75)</f>
        <v/>
      </c>
      <c r="BH6" s="5">
        <f>MAX(BH16:BH75)</f>
        <v/>
      </c>
      <c r="BI6" s="5">
        <f>MAX(BI16:BI75)</f>
        <v/>
      </c>
      <c r="BJ6" s="4" t="n"/>
      <c r="BK6" s="5">
        <f>MAX(BK16:BK75)</f>
        <v/>
      </c>
      <c r="BL6" s="5">
        <f>MAX(BL16:BL75)</f>
        <v/>
      </c>
      <c r="BM6" s="5">
        <f>MAX(BM16:BM75)</f>
        <v/>
      </c>
      <c r="BN6" s="5">
        <f>MAX(BN16:BN75)</f>
        <v/>
      </c>
      <c r="BO6" s="5">
        <f>MAX(BO16:BO75)</f>
        <v/>
      </c>
      <c r="BP6" s="5">
        <f>MAX(BP16:BP75)</f>
        <v/>
      </c>
      <c r="BQ6" s="5">
        <f>MAX(BQ16:BQ75)</f>
        <v/>
      </c>
      <c r="BR6" s="5">
        <f>MAX(BR16:BR75)</f>
        <v/>
      </c>
      <c r="BS6" s="4" t="n"/>
      <c r="BT6" s="5">
        <f>MAX(BT16:BT75)</f>
        <v/>
      </c>
      <c r="BU6" s="5">
        <f>MAX(BU16:BU75)</f>
        <v/>
      </c>
      <c r="BV6" s="5">
        <f>MAX(BV16:BV75)</f>
        <v/>
      </c>
      <c r="BW6" s="4" t="n"/>
      <c r="BX6" s="5">
        <f>MAX(BX16:BX75)</f>
        <v/>
      </c>
      <c r="BY6" s="5">
        <f>MAX(BY16:BY75)</f>
        <v/>
      </c>
      <c r="BZ6" s="5">
        <f>MAX(BZ16:BZ75)</f>
        <v/>
      </c>
      <c r="CA6" s="5">
        <f>MAX(CA16:CA75)</f>
        <v/>
      </c>
      <c r="CB6" s="5">
        <f>MAX(CB16:CB75)</f>
        <v/>
      </c>
      <c r="CC6" s="5">
        <f>MAX(CC16:CC75)</f>
        <v/>
      </c>
      <c r="CD6" s="5">
        <f>MAX(CD16:CD75)</f>
        <v/>
      </c>
      <c r="CE6" s="5">
        <f>MAX(CE16:CE75)</f>
        <v/>
      </c>
    </row>
    <row r="7">
      <c r="A7" s="2" t="inlineStr">
        <is>
          <t>Min</t>
        </is>
      </c>
      <c r="B7" s="5">
        <f>MIN(B16:B75)</f>
        <v/>
      </c>
      <c r="C7" s="5">
        <f>MIN(C16:C75)</f>
        <v/>
      </c>
      <c r="D7" s="5">
        <f>MIN(D16:D75)</f>
        <v/>
      </c>
      <c r="E7" s="5">
        <f>MIN(E16:E75)</f>
        <v/>
      </c>
      <c r="F7" s="4" t="n"/>
      <c r="G7" s="5">
        <f>MIN(G16:G75)</f>
        <v/>
      </c>
      <c r="H7" s="5">
        <f>MIN(H16:H75)</f>
        <v/>
      </c>
      <c r="I7" s="5">
        <f>MIN(I16:I75)</f>
        <v/>
      </c>
      <c r="J7" s="5">
        <f>MIN(J16:J75)</f>
        <v/>
      </c>
      <c r="K7" s="5">
        <f>MIN(K16:K75)</f>
        <v/>
      </c>
      <c r="L7" s="5">
        <f>MIN(L16:L75)</f>
        <v/>
      </c>
      <c r="M7" s="4" t="n"/>
      <c r="N7" s="5">
        <f>MIN(N16:N75)</f>
        <v/>
      </c>
      <c r="O7" s="5">
        <f>MIN(O16:O75)</f>
        <v/>
      </c>
      <c r="P7" s="5">
        <f>MIN(P16:P75)</f>
        <v/>
      </c>
      <c r="Q7" s="5">
        <f>MIN(Q16:Q75)</f>
        <v/>
      </c>
      <c r="R7" s="5">
        <f>MIN(R16:R75)</f>
        <v/>
      </c>
      <c r="S7" s="5">
        <f>MIN(S16:S75)</f>
        <v/>
      </c>
      <c r="T7" s="4" t="n"/>
      <c r="U7" s="5">
        <f>MIN(U16:U75)</f>
        <v/>
      </c>
      <c r="V7" s="5">
        <f>MIN(V16:V75)</f>
        <v/>
      </c>
      <c r="W7" s="5">
        <f>MIN(W16:W75)</f>
        <v/>
      </c>
      <c r="X7" s="5">
        <f>MIN(X16:X75)</f>
        <v/>
      </c>
      <c r="Y7" s="5">
        <f>MIN(Y16:Y75)</f>
        <v/>
      </c>
      <c r="Z7" s="5">
        <f>MIN(Z16:Z75)</f>
        <v/>
      </c>
      <c r="AA7" s="4" t="n"/>
      <c r="AB7" s="5">
        <f>MIN(AB16:AB75)</f>
        <v/>
      </c>
      <c r="AC7" s="5">
        <f>MIN(AC16:AC75)</f>
        <v/>
      </c>
      <c r="AD7" s="5">
        <f>MIN(AD16:AD75)</f>
        <v/>
      </c>
      <c r="AE7" s="5">
        <f>MIN(AE16:AE75)</f>
        <v/>
      </c>
      <c r="AF7" s="5">
        <f>MIN(AF16:AF75)</f>
        <v/>
      </c>
      <c r="AG7" s="5">
        <f>MIN(AG16:AG75)</f>
        <v/>
      </c>
      <c r="AH7" s="4" t="n"/>
      <c r="AI7" s="5">
        <f>MIN(AI16:AI75)</f>
        <v/>
      </c>
      <c r="AJ7" s="5">
        <f>MIN(AJ16:AJ75)</f>
        <v/>
      </c>
      <c r="AK7" s="5">
        <f>MIN(AK16:AK75)</f>
        <v/>
      </c>
      <c r="AL7" s="5">
        <f>MIN(AL16:AL75)</f>
        <v/>
      </c>
      <c r="AM7" s="5">
        <f>MIN(AM16:AM75)</f>
        <v/>
      </c>
      <c r="AN7" s="5">
        <f>MIN(AN16:AN75)</f>
        <v/>
      </c>
      <c r="AO7" s="4" t="n"/>
      <c r="AP7" s="5">
        <f>MIN(AP16:AP75)</f>
        <v/>
      </c>
      <c r="AQ7" s="5">
        <f>MIN(AQ16:AQ75)</f>
        <v/>
      </c>
      <c r="AR7" s="5">
        <f>MIN(AR16:AR75)</f>
        <v/>
      </c>
      <c r="AS7" s="5">
        <f>MIN(AS16:AS75)</f>
        <v/>
      </c>
      <c r="AT7" s="5">
        <f>MIN(AT16:AT75)</f>
        <v/>
      </c>
      <c r="AU7" s="5">
        <f>MIN(AU16:AU75)</f>
        <v/>
      </c>
      <c r="AV7" s="4" t="n"/>
      <c r="AW7" s="5">
        <f>MIN(AW16:AW75)</f>
        <v/>
      </c>
      <c r="AX7" s="5">
        <f>MIN(AX16:AX75)</f>
        <v/>
      </c>
      <c r="AY7" s="5">
        <f>MIN(AY16:AY75)</f>
        <v/>
      </c>
      <c r="AZ7" s="5">
        <f>MIN(AZ16:AZ75)</f>
        <v/>
      </c>
      <c r="BA7" s="5">
        <f>MIN(BA16:BA75)</f>
        <v/>
      </c>
      <c r="BB7" s="5">
        <f>MIN(BB16:BB75)</f>
        <v/>
      </c>
      <c r="BC7" s="4" t="n"/>
      <c r="BD7" s="5">
        <f>MIN(BD16:BD75)</f>
        <v/>
      </c>
      <c r="BE7" s="5">
        <f>MIN(BE16:BE75)</f>
        <v/>
      </c>
      <c r="BF7" s="5">
        <f>MIN(BF16:BF75)</f>
        <v/>
      </c>
      <c r="BG7" s="5">
        <f>MIN(BG16:BG75)</f>
        <v/>
      </c>
      <c r="BH7" s="5">
        <f>MIN(BH16:BH75)</f>
        <v/>
      </c>
      <c r="BI7" s="5">
        <f>MIN(BI16:BI75)</f>
        <v/>
      </c>
      <c r="BJ7" s="4" t="n"/>
      <c r="BK7" s="5">
        <f>MIN(BK16:BK75)</f>
        <v/>
      </c>
      <c r="BL7" s="5">
        <f>MIN(BL16:BL75)</f>
        <v/>
      </c>
      <c r="BM7" s="5">
        <f>MIN(BM16:BM75)</f>
        <v/>
      </c>
      <c r="BN7" s="5">
        <f>MIN(BN16:BN75)</f>
        <v/>
      </c>
      <c r="BO7" s="5">
        <f>MIN(BO16:BO75)</f>
        <v/>
      </c>
      <c r="BP7" s="5">
        <f>MIN(BP16:BP75)</f>
        <v/>
      </c>
      <c r="BQ7" s="5">
        <f>MIN(BQ16:BQ75)</f>
        <v/>
      </c>
      <c r="BR7" s="5">
        <f>MIN(BR16:BR75)</f>
        <v/>
      </c>
      <c r="BS7" s="4" t="n"/>
      <c r="BT7" s="5">
        <f>MIN(BT16:BT75)</f>
        <v/>
      </c>
      <c r="BU7" s="5">
        <f>MIN(BU16:BU75)</f>
        <v/>
      </c>
      <c r="BV7" s="5">
        <f>MIN(BV16:BV75)</f>
        <v/>
      </c>
      <c r="BW7" s="4" t="n"/>
      <c r="BX7" s="5">
        <f>MIN(BX16:BX75)</f>
        <v/>
      </c>
      <c r="BY7" s="5">
        <f>MIN(BY16:BY75)</f>
        <v/>
      </c>
      <c r="BZ7" s="5">
        <f>MIN(BZ16:BZ75)</f>
        <v/>
      </c>
      <c r="CA7" s="5">
        <f>MIN(CA16:CA75)</f>
        <v/>
      </c>
      <c r="CB7" s="5">
        <f>MIN(CB16:CB75)</f>
        <v/>
      </c>
      <c r="CC7" s="5">
        <f>MIN(CC16:CC75)</f>
        <v/>
      </c>
      <c r="CD7" s="5">
        <f>MIN(CD16:CD75)</f>
        <v/>
      </c>
      <c r="CE7" s="5">
        <f>MIN(CE16:CE75)</f>
        <v/>
      </c>
    </row>
    <row r="8">
      <c r="A8" s="2" t="inlineStr">
        <is>
          <t>Count</t>
        </is>
      </c>
      <c r="B8" s="4">
        <f>COUNT(B16:B75)</f>
        <v/>
      </c>
      <c r="C8" s="4">
        <f>COUNT(C16:C75)</f>
        <v/>
      </c>
      <c r="D8" s="4">
        <f>COUNT(D16:D75)</f>
        <v/>
      </c>
      <c r="E8" s="4">
        <f>COUNT(E16:E75)</f>
        <v/>
      </c>
      <c r="F8" s="4" t="n"/>
      <c r="G8" s="4">
        <f>COUNT(G16:G75)</f>
        <v/>
      </c>
      <c r="H8" s="4">
        <f>COUNT(H16:H75)</f>
        <v/>
      </c>
      <c r="I8" s="4">
        <f>COUNT(I16:I75)</f>
        <v/>
      </c>
      <c r="J8" s="4">
        <f>COUNT(J16:J75)</f>
        <v/>
      </c>
      <c r="K8" s="4">
        <f>COUNT(K16:K75)</f>
        <v/>
      </c>
      <c r="L8" s="4">
        <f>COUNT(L16:L75)</f>
        <v/>
      </c>
      <c r="M8" s="4" t="n"/>
      <c r="N8" s="4">
        <f>COUNT(N16:N75)</f>
        <v/>
      </c>
      <c r="O8" s="4">
        <f>COUNT(O16:O75)</f>
        <v/>
      </c>
      <c r="P8" s="4">
        <f>COUNT(P16:P75)</f>
        <v/>
      </c>
      <c r="Q8" s="4">
        <f>COUNT(Q16:Q75)</f>
        <v/>
      </c>
      <c r="R8" s="4">
        <f>COUNT(R16:R75)</f>
        <v/>
      </c>
      <c r="S8" s="4">
        <f>COUNT(S16:S75)</f>
        <v/>
      </c>
      <c r="T8" s="4" t="n"/>
      <c r="U8" s="4">
        <f>COUNT(U16:U75)</f>
        <v/>
      </c>
      <c r="V8" s="4">
        <f>COUNT(V16:V75)</f>
        <v/>
      </c>
      <c r="W8" s="4">
        <f>COUNT(W16:W75)</f>
        <v/>
      </c>
      <c r="X8" s="4">
        <f>COUNT(X16:X75)</f>
        <v/>
      </c>
      <c r="Y8" s="4">
        <f>COUNT(Y16:Y75)</f>
        <v/>
      </c>
      <c r="Z8" s="4">
        <f>COUNT(Z16:Z75)</f>
        <v/>
      </c>
      <c r="AA8" s="4" t="n"/>
      <c r="AB8" s="4">
        <f>COUNT(AB16:AB75)</f>
        <v/>
      </c>
      <c r="AC8" s="4">
        <f>COUNT(AC16:AC75)</f>
        <v/>
      </c>
      <c r="AD8" s="4">
        <f>COUNT(AD16:AD75)</f>
        <v/>
      </c>
      <c r="AE8" s="4">
        <f>COUNT(AE16:AE75)</f>
        <v/>
      </c>
      <c r="AF8" s="4">
        <f>COUNT(AF16:AF75)</f>
        <v/>
      </c>
      <c r="AG8" s="4">
        <f>COUNT(AG16:AG75)</f>
        <v/>
      </c>
      <c r="AH8" s="4" t="n"/>
      <c r="AI8" s="4">
        <f>COUNT(AI16:AI75)</f>
        <v/>
      </c>
      <c r="AJ8" s="4">
        <f>COUNT(AJ16:AJ75)</f>
        <v/>
      </c>
      <c r="AK8" s="4">
        <f>COUNT(AK16:AK75)</f>
        <v/>
      </c>
      <c r="AL8" s="4">
        <f>COUNT(AL16:AL75)</f>
        <v/>
      </c>
      <c r="AM8" s="4">
        <f>COUNT(AM16:AM75)</f>
        <v/>
      </c>
      <c r="AN8" s="4">
        <f>COUNT(AN16:AN75)</f>
        <v/>
      </c>
      <c r="AO8" s="4" t="n"/>
      <c r="AP8" s="4">
        <f>COUNT(AP16:AP75)</f>
        <v/>
      </c>
      <c r="AQ8" s="4">
        <f>COUNT(AQ16:AQ75)</f>
        <v/>
      </c>
      <c r="AR8" s="4">
        <f>COUNT(AR16:AR75)</f>
        <v/>
      </c>
      <c r="AS8" s="4">
        <f>COUNT(AS16:AS75)</f>
        <v/>
      </c>
      <c r="AT8" s="4">
        <f>COUNT(AT16:AT75)</f>
        <v/>
      </c>
      <c r="AU8" s="4">
        <f>COUNT(AU16:AU75)</f>
        <v/>
      </c>
      <c r="AV8" s="4" t="n"/>
      <c r="AW8" s="4">
        <f>COUNT(AW16:AW75)</f>
        <v/>
      </c>
      <c r="AX8" s="4">
        <f>COUNT(AX16:AX75)</f>
        <v/>
      </c>
      <c r="AY8" s="4">
        <f>COUNT(AY16:AY75)</f>
        <v/>
      </c>
      <c r="AZ8" s="4">
        <f>COUNT(AZ16:AZ75)</f>
        <v/>
      </c>
      <c r="BA8" s="4">
        <f>COUNT(BA16:BA75)</f>
        <v/>
      </c>
      <c r="BB8" s="4">
        <f>COUNT(BB16:BB75)</f>
        <v/>
      </c>
      <c r="BC8" s="4" t="n"/>
      <c r="BD8" s="4">
        <f>COUNT(BD16:BD75)</f>
        <v/>
      </c>
      <c r="BE8" s="4">
        <f>COUNT(BE16:BE75)</f>
        <v/>
      </c>
      <c r="BF8" s="4">
        <f>COUNT(BF16:BF75)</f>
        <v/>
      </c>
      <c r="BG8" s="4">
        <f>COUNT(BG16:BG75)</f>
        <v/>
      </c>
      <c r="BH8" s="4">
        <f>COUNT(BH16:BH75)</f>
        <v/>
      </c>
      <c r="BI8" s="4">
        <f>COUNT(BI16:BI75)</f>
        <v/>
      </c>
      <c r="BJ8" s="4" t="n"/>
      <c r="BK8" s="4">
        <f>COUNT(BK16:BK75)</f>
        <v/>
      </c>
      <c r="BL8" s="4">
        <f>COUNT(BL16:BL75)</f>
        <v/>
      </c>
      <c r="BM8" s="4">
        <f>COUNT(BM16:BM75)</f>
        <v/>
      </c>
      <c r="BN8" s="4">
        <f>COUNT(BN16:BN75)</f>
        <v/>
      </c>
      <c r="BO8" s="4">
        <f>COUNT(BO16:BO75)</f>
        <v/>
      </c>
      <c r="BP8" s="4">
        <f>COUNT(BP16:BP75)</f>
        <v/>
      </c>
      <c r="BQ8" s="4">
        <f>COUNT(BQ16:BQ75)</f>
        <v/>
      </c>
      <c r="BR8" s="4">
        <f>COUNT(BR16:BR75)</f>
        <v/>
      </c>
      <c r="BS8" s="4" t="n"/>
      <c r="BT8" s="4">
        <f>COUNT(BT16:BT75)</f>
        <v/>
      </c>
      <c r="BU8" s="4">
        <f>COUNT(BU16:BU75)</f>
        <v/>
      </c>
      <c r="BV8" s="4">
        <f>COUNT(BV16:BV75)</f>
        <v/>
      </c>
      <c r="BW8" s="4" t="n"/>
      <c r="BX8" s="4">
        <f>COUNT(BX16:BX75)</f>
        <v/>
      </c>
      <c r="BY8" s="4">
        <f>COUNT(BY16:BY75)</f>
        <v/>
      </c>
      <c r="BZ8" s="4">
        <f>COUNT(BZ16:BZ75)</f>
        <v/>
      </c>
      <c r="CA8" s="4">
        <f>COUNT(CA16:CA75)</f>
        <v/>
      </c>
      <c r="CB8" s="4">
        <f>COUNT(CB16:CB75)</f>
        <v/>
      </c>
      <c r="CC8" s="4">
        <f>COUNT(CC16:CC75)</f>
        <v/>
      </c>
      <c r="CD8" s="4">
        <f>COUNT(CD16:CD75)</f>
        <v/>
      </c>
      <c r="CE8" s="4">
        <f>COUNT(CE16:CE75)</f>
        <v/>
      </c>
    </row>
    <row r="9">
      <c r="A9" s="2" t="inlineStr">
        <is>
          <t>Std</t>
        </is>
      </c>
      <c r="B9" s="4">
        <f>STDEV(B16:B75)</f>
        <v/>
      </c>
      <c r="C9" s="4">
        <f>STDEV(C16:C75)</f>
        <v/>
      </c>
      <c r="D9" s="4">
        <f>STDEV(D16:D75)</f>
        <v/>
      </c>
      <c r="E9" s="4">
        <f>STDEV(E16:E75)</f>
        <v/>
      </c>
      <c r="F9" s="4" t="n"/>
      <c r="G9" s="4">
        <f>STDEV(G16:G75)</f>
        <v/>
      </c>
      <c r="H9" s="4">
        <f>STDEV(H16:H75)</f>
        <v/>
      </c>
      <c r="I9" s="4">
        <f>STDEV(I16:I75)</f>
        <v/>
      </c>
      <c r="J9" s="4">
        <f>STDEV(J16:J75)</f>
        <v/>
      </c>
      <c r="K9" s="4">
        <f>STDEV(K16:K75)</f>
        <v/>
      </c>
      <c r="L9" s="4">
        <f>STDEV(L16:L75)</f>
        <v/>
      </c>
      <c r="M9" s="4" t="n"/>
      <c r="N9" s="4">
        <f>STDEV(N16:N75)</f>
        <v/>
      </c>
      <c r="O9" s="4">
        <f>STDEV(O16:O75)</f>
        <v/>
      </c>
      <c r="P9" s="4">
        <f>STDEV(P16:P75)</f>
        <v/>
      </c>
      <c r="Q9" s="4">
        <f>STDEV(Q16:Q75)</f>
        <v/>
      </c>
      <c r="R9" s="4">
        <f>STDEV(R16:R75)</f>
        <v/>
      </c>
      <c r="S9" s="4">
        <f>STDEV(S16:S75)</f>
        <v/>
      </c>
      <c r="T9" s="4" t="n"/>
      <c r="U9" s="4">
        <f>STDEV(U16:U75)</f>
        <v/>
      </c>
      <c r="V9" s="4">
        <f>STDEV(V16:V75)</f>
        <v/>
      </c>
      <c r="W9" s="4">
        <f>STDEV(W16:W75)</f>
        <v/>
      </c>
      <c r="X9" s="4">
        <f>STDEV(X16:X75)</f>
        <v/>
      </c>
      <c r="Y9" s="4">
        <f>STDEV(Y16:Y75)</f>
        <v/>
      </c>
      <c r="Z9" s="4">
        <f>STDEV(Z16:Z75)</f>
        <v/>
      </c>
      <c r="AA9" s="4" t="n"/>
      <c r="AB9" s="4">
        <f>STDEV(AB16:AB75)</f>
        <v/>
      </c>
      <c r="AC9" s="4">
        <f>STDEV(AC16:AC75)</f>
        <v/>
      </c>
      <c r="AD9" s="4">
        <f>STDEV(AD16:AD75)</f>
        <v/>
      </c>
      <c r="AE9" s="4">
        <f>STDEV(AE16:AE75)</f>
        <v/>
      </c>
      <c r="AF9" s="4">
        <f>STDEV(AF16:AF75)</f>
        <v/>
      </c>
      <c r="AG9" s="4">
        <f>STDEV(AG16:AG75)</f>
        <v/>
      </c>
      <c r="AH9" s="4" t="n"/>
      <c r="AI9" s="4">
        <f>STDEV(AI16:AI75)</f>
        <v/>
      </c>
      <c r="AJ9" s="4">
        <f>STDEV(AJ16:AJ75)</f>
        <v/>
      </c>
      <c r="AK9" s="4">
        <f>STDEV(AK16:AK75)</f>
        <v/>
      </c>
      <c r="AL9" s="4">
        <f>STDEV(AL16:AL75)</f>
        <v/>
      </c>
      <c r="AM9" s="4">
        <f>STDEV(AM16:AM75)</f>
        <v/>
      </c>
      <c r="AN9" s="4">
        <f>STDEV(AN16:AN75)</f>
        <v/>
      </c>
      <c r="AO9" s="4" t="n"/>
      <c r="AP9" s="4">
        <f>STDEV(AP16:AP75)</f>
        <v/>
      </c>
      <c r="AQ9" s="4">
        <f>STDEV(AQ16:AQ75)</f>
        <v/>
      </c>
      <c r="AR9" s="4">
        <f>STDEV(AR16:AR75)</f>
        <v/>
      </c>
      <c r="AS9" s="4">
        <f>STDEV(AS16:AS75)</f>
        <v/>
      </c>
      <c r="AT9" s="4">
        <f>STDEV(AT16:AT75)</f>
        <v/>
      </c>
      <c r="AU9" s="4">
        <f>STDEV(AU16:AU75)</f>
        <v/>
      </c>
      <c r="AV9" s="4" t="n"/>
      <c r="AW9" s="4">
        <f>STDEV(AW16:AW75)</f>
        <v/>
      </c>
      <c r="AX9" s="4">
        <f>STDEV(AX16:AX75)</f>
        <v/>
      </c>
      <c r="AY9" s="4">
        <f>STDEV(AY16:AY75)</f>
        <v/>
      </c>
      <c r="AZ9" s="4">
        <f>STDEV(AZ16:AZ75)</f>
        <v/>
      </c>
      <c r="BA9" s="4">
        <f>STDEV(BA16:BA75)</f>
        <v/>
      </c>
      <c r="BB9" s="4">
        <f>STDEV(BB16:BB75)</f>
        <v/>
      </c>
      <c r="BC9" s="4" t="n"/>
      <c r="BD9" s="4">
        <f>STDEV(BD16:BD75)</f>
        <v/>
      </c>
      <c r="BE9" s="4">
        <f>STDEV(BE16:BE75)</f>
        <v/>
      </c>
      <c r="BF9" s="4">
        <f>STDEV(BF16:BF75)</f>
        <v/>
      </c>
      <c r="BG9" s="4">
        <f>STDEV(BG16:BG75)</f>
        <v/>
      </c>
      <c r="BH9" s="4">
        <f>STDEV(BH16:BH75)</f>
        <v/>
      </c>
      <c r="BI9" s="4">
        <f>STDEV(BI16:BI75)</f>
        <v/>
      </c>
      <c r="BJ9" s="4" t="n"/>
      <c r="BK9" s="4">
        <f>STDEV(BK16:BK75)</f>
        <v/>
      </c>
      <c r="BL9" s="4">
        <f>STDEV(BL16:BL75)</f>
        <v/>
      </c>
      <c r="BM9" s="4">
        <f>STDEV(BM16:BM75)</f>
        <v/>
      </c>
      <c r="BN9" s="4">
        <f>STDEV(BN16:BN75)</f>
        <v/>
      </c>
      <c r="BO9" s="4">
        <f>STDEV(BO16:BO75)</f>
        <v/>
      </c>
      <c r="BP9" s="4">
        <f>STDEV(BP16:BP75)</f>
        <v/>
      </c>
      <c r="BQ9" s="4">
        <f>STDEV(BQ16:BQ75)</f>
        <v/>
      </c>
      <c r="BR9" s="4">
        <f>STDEV(BR16:BR75)</f>
        <v/>
      </c>
      <c r="BS9" s="4" t="n"/>
      <c r="BT9" s="4">
        <f>STDEV(BT16:BT75)</f>
        <v/>
      </c>
      <c r="BU9" s="4">
        <f>STDEV(BU16:BU75)</f>
        <v/>
      </c>
      <c r="BV9" s="4">
        <f>STDEV(BV16:BV75)</f>
        <v/>
      </c>
      <c r="BW9" s="4" t="n"/>
      <c r="BX9" s="4">
        <f>STDEV(BX16:BX75)</f>
        <v/>
      </c>
      <c r="BY9" s="4">
        <f>STDEV(BY16:BY75)</f>
        <v/>
      </c>
      <c r="BZ9" s="4">
        <f>STDEV(BZ16:BZ75)</f>
        <v/>
      </c>
      <c r="CA9" s="4">
        <f>STDEV(CA16:CA75)</f>
        <v/>
      </c>
      <c r="CB9" s="4">
        <f>STDEV(CB16:CB75)</f>
        <v/>
      </c>
      <c r="CC9" s="4">
        <f>STDEV(CC16:CC75)</f>
        <v/>
      </c>
      <c r="CD9" s="4">
        <f>STDEV(CD16:CD75)</f>
        <v/>
      </c>
      <c r="CE9" s="4">
        <f>STDEV(CE16:CE75)</f>
        <v/>
      </c>
    </row>
    <row r="10">
      <c r="A10" s="2" t="inlineStr">
        <is>
          <t>Sum</t>
        </is>
      </c>
      <c r="B10" s="4">
        <f>SUM(B16:B75)</f>
        <v/>
      </c>
      <c r="C10" s="4">
        <f>SUM(C16:C75)</f>
        <v/>
      </c>
      <c r="D10" s="4">
        <f>SUM(D16:D75)</f>
        <v/>
      </c>
      <c r="E10" s="4">
        <f>SUM(E16:E75)</f>
        <v/>
      </c>
      <c r="F10" s="4" t="n"/>
      <c r="G10" s="4">
        <f>SUM(G16:G75)</f>
        <v/>
      </c>
      <c r="H10" s="4">
        <f>SUM(H16:H75)</f>
        <v/>
      </c>
      <c r="I10" s="4">
        <f>SUM(I16:I75)</f>
        <v/>
      </c>
      <c r="J10" s="4">
        <f>SUM(J16:J75)</f>
        <v/>
      </c>
      <c r="K10" s="4">
        <f>SUM(K16:K75)</f>
        <v/>
      </c>
      <c r="L10" s="4">
        <f>SUM(L16:L75)</f>
        <v/>
      </c>
      <c r="M10" s="4" t="n"/>
      <c r="N10" s="4">
        <f>SUM(N16:N75)</f>
        <v/>
      </c>
      <c r="O10" s="4">
        <f>SUM(O16:O75)</f>
        <v/>
      </c>
      <c r="P10" s="4">
        <f>SUM(P16:P75)</f>
        <v/>
      </c>
      <c r="Q10" s="4">
        <f>SUM(Q16:Q75)</f>
        <v/>
      </c>
      <c r="R10" s="4">
        <f>SUM(R16:R75)</f>
        <v/>
      </c>
      <c r="S10" s="4">
        <f>SUM(S16:S75)</f>
        <v/>
      </c>
      <c r="T10" s="4" t="n"/>
      <c r="U10" s="4">
        <f>SUM(U16:U75)</f>
        <v/>
      </c>
      <c r="V10" s="4">
        <f>SUM(V16:V75)</f>
        <v/>
      </c>
      <c r="W10" s="4">
        <f>SUM(W16:W75)</f>
        <v/>
      </c>
      <c r="X10" s="4">
        <f>SUM(X16:X75)</f>
        <v/>
      </c>
      <c r="Y10" s="4">
        <f>SUM(Y16:Y75)</f>
        <v/>
      </c>
      <c r="Z10" s="4">
        <f>SUM(Z16:Z75)</f>
        <v/>
      </c>
      <c r="AA10" s="4" t="n"/>
      <c r="AB10" s="4">
        <f>SUM(AB16:AB75)</f>
        <v/>
      </c>
      <c r="AC10" s="4">
        <f>SUM(AC16:AC75)</f>
        <v/>
      </c>
      <c r="AD10" s="4">
        <f>SUM(AD16:AD75)</f>
        <v/>
      </c>
      <c r="AE10" s="4">
        <f>SUM(AE16:AE75)</f>
        <v/>
      </c>
      <c r="AF10" s="4">
        <f>SUM(AF16:AF75)</f>
        <v/>
      </c>
      <c r="AG10" s="4">
        <f>SUM(AG16:AG75)</f>
        <v/>
      </c>
      <c r="AH10" s="4" t="n"/>
      <c r="AI10" s="4">
        <f>SUM(AI16:AI75)</f>
        <v/>
      </c>
      <c r="AJ10" s="4">
        <f>SUM(AJ16:AJ75)</f>
        <v/>
      </c>
      <c r="AK10" s="4">
        <f>SUM(AK16:AK75)</f>
        <v/>
      </c>
      <c r="AL10" s="4">
        <f>SUM(AL16:AL75)</f>
        <v/>
      </c>
      <c r="AM10" s="4">
        <f>SUM(AM16:AM75)</f>
        <v/>
      </c>
      <c r="AN10" s="4">
        <f>SUM(AN16:AN75)</f>
        <v/>
      </c>
      <c r="AO10" s="4" t="n"/>
      <c r="AP10" s="4">
        <f>SUM(AP16:AP75)</f>
        <v/>
      </c>
      <c r="AQ10" s="4">
        <f>SUM(AQ16:AQ75)</f>
        <v/>
      </c>
      <c r="AR10" s="4">
        <f>SUM(AR16:AR75)</f>
        <v/>
      </c>
      <c r="AS10" s="4">
        <f>SUM(AS16:AS75)</f>
        <v/>
      </c>
      <c r="AT10" s="4">
        <f>SUM(AT16:AT75)</f>
        <v/>
      </c>
      <c r="AU10" s="4">
        <f>SUM(AU16:AU75)</f>
        <v/>
      </c>
      <c r="AV10" s="4" t="n"/>
      <c r="AW10" s="4">
        <f>SUM(AW16:AW75)</f>
        <v/>
      </c>
      <c r="AX10" s="4">
        <f>SUM(AX16:AX75)</f>
        <v/>
      </c>
      <c r="AY10" s="4">
        <f>SUM(AY16:AY75)</f>
        <v/>
      </c>
      <c r="AZ10" s="4">
        <f>SUM(AZ16:AZ75)</f>
        <v/>
      </c>
      <c r="BA10" s="4">
        <f>SUM(BA16:BA75)</f>
        <v/>
      </c>
      <c r="BB10" s="4">
        <f>SUM(BB16:BB75)</f>
        <v/>
      </c>
      <c r="BC10" s="4" t="n"/>
      <c r="BD10" s="4">
        <f>SUM(BD16:BD75)</f>
        <v/>
      </c>
      <c r="BE10" s="4">
        <f>SUM(BE16:BE75)</f>
        <v/>
      </c>
      <c r="BF10" s="4">
        <f>SUM(BF16:BF75)</f>
        <v/>
      </c>
      <c r="BG10" s="4">
        <f>SUM(BG16:BG75)</f>
        <v/>
      </c>
      <c r="BH10" s="4">
        <f>SUM(BH16:BH75)</f>
        <v/>
      </c>
      <c r="BI10" s="4">
        <f>SUM(BI16:BI75)</f>
        <v/>
      </c>
      <c r="BJ10" s="4" t="n"/>
      <c r="BK10" s="4">
        <f>SUM(BK16:BK75)</f>
        <v/>
      </c>
      <c r="BL10" s="4">
        <f>SUM(BL16:BL75)</f>
        <v/>
      </c>
      <c r="BM10" s="4">
        <f>SUM(BM16:BM75)</f>
        <v/>
      </c>
      <c r="BN10" s="4">
        <f>SUM(BN16:BN75)</f>
        <v/>
      </c>
      <c r="BO10" s="4">
        <f>SUM(BO16:BO75)</f>
        <v/>
      </c>
      <c r="BP10" s="4">
        <f>SUM(BP16:BP75)</f>
        <v/>
      </c>
      <c r="BQ10" s="4">
        <f>SUM(BQ16:BQ75)</f>
        <v/>
      </c>
      <c r="BR10" s="4">
        <f>SUM(BR16:BR75)</f>
        <v/>
      </c>
      <c r="BS10" s="4" t="n"/>
      <c r="BT10" s="4">
        <f>SUM(BT16:BT75)</f>
        <v/>
      </c>
      <c r="BU10" s="4">
        <f>SUM(BU16:BU75)</f>
        <v/>
      </c>
      <c r="BV10" s="4">
        <f>SUM(BV16:BV75)</f>
        <v/>
      </c>
      <c r="BW10" s="4" t="n"/>
      <c r="BX10" s="4">
        <f>SUM(BX16:BX75)</f>
        <v/>
      </c>
      <c r="BY10" s="4">
        <f>SUM(BY16:BY75)</f>
        <v/>
      </c>
      <c r="BZ10" s="4">
        <f>SUM(BZ16:BZ75)</f>
        <v/>
      </c>
      <c r="CA10" s="4">
        <f>SUM(CA16:CA75)</f>
        <v/>
      </c>
      <c r="CB10" s="4">
        <f>SUM(CB16:CB75)</f>
        <v/>
      </c>
      <c r="CC10" s="4">
        <f>SUM(CC16:CC75)</f>
        <v/>
      </c>
      <c r="CD10" s="4">
        <f>SUM(CD16:CD75)</f>
        <v/>
      </c>
      <c r="CE10" s="4">
        <f>SUM(CE16:CE75)</f>
        <v/>
      </c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6" t="n"/>
      <c r="AY11" s="6" t="n"/>
      <c r="AZ11" s="6" t="n"/>
      <c r="BA11" s="6" t="n"/>
      <c r="BB11" s="6" t="n"/>
      <c r="BC11" s="6" t="n"/>
      <c r="BD11" s="6" t="n"/>
      <c r="BE11" s="6" t="n"/>
      <c r="BF11" s="6" t="n"/>
      <c r="BG11" s="6" t="n"/>
      <c r="BH11" s="6" t="n"/>
      <c r="BI11" s="6" t="n"/>
      <c r="BJ11" s="6" t="n"/>
      <c r="BK11" s="6" t="n"/>
      <c r="BL11" s="6" t="n"/>
      <c r="BM11" s="6" t="n"/>
      <c r="BN11" s="6" t="n"/>
      <c r="BO11" s="6" t="n"/>
      <c r="BP11" s="6" t="n"/>
      <c r="BQ11" s="6" t="n"/>
      <c r="BR11" s="6" t="n"/>
      <c r="BS11" s="6" t="n"/>
      <c r="BT11" s="6" t="n"/>
      <c r="BU11" s="6" t="n"/>
      <c r="BV11" s="6" t="n"/>
      <c r="BW11" s="6" t="n"/>
      <c r="BX11" s="7" t="n"/>
      <c r="BY11" s="7" t="n"/>
      <c r="BZ11" s="7" t="n">
        <v>0</v>
      </c>
      <c r="CA11" s="6" t="n"/>
      <c r="CB11" s="7" t="n"/>
      <c r="CC11" s="7" t="n"/>
      <c r="CD11" s="7" t="n"/>
      <c r="CE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6" t="n"/>
      <c r="AY12" s="6" t="n"/>
      <c r="AZ12" s="6" t="n"/>
      <c r="BA12" s="6" t="n"/>
      <c r="BB12" s="6" t="n"/>
      <c r="BC12" s="6" t="n"/>
      <c r="BD12" s="6" t="n"/>
      <c r="BE12" s="6" t="n"/>
      <c r="BF12" s="6" t="n"/>
      <c r="BG12" s="6" t="n"/>
      <c r="BH12" s="6" t="n"/>
      <c r="BI12" s="6" t="n"/>
      <c r="BJ12" s="6" t="n"/>
      <c r="BK12" s="6" t="n"/>
      <c r="BL12" s="6" t="n"/>
      <c r="BM12" s="6" t="n"/>
      <c r="BN12" s="6" t="n"/>
      <c r="BO12" s="6" t="n"/>
      <c r="BP12" s="6" t="n"/>
      <c r="BQ12" s="6" t="n"/>
      <c r="BR12" s="6" t="n"/>
      <c r="BS12" s="6" t="n"/>
      <c r="BT12" s="6" t="n"/>
      <c r="BU12" s="6" t="n"/>
      <c r="BV12" s="6" t="n"/>
      <c r="BW12" s="6" t="n"/>
      <c r="BX12" s="7" t="n">
        <v>0</v>
      </c>
      <c r="BY12" s="7" t="n">
        <v>0</v>
      </c>
      <c r="BZ12" s="7" t="n">
        <v>0</v>
      </c>
      <c r="CA12" s="6" t="n"/>
      <c r="CB12" s="7" t="n">
        <v>0</v>
      </c>
      <c r="CC12" s="7" t="n">
        <v>-1</v>
      </c>
      <c r="CD12" s="7" t="n">
        <v>0</v>
      </c>
      <c r="CE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6" t="n"/>
      <c r="AY13" s="6" t="n"/>
      <c r="AZ13" s="6" t="n"/>
      <c r="BA13" s="6" t="n"/>
      <c r="BB13" s="6" t="n"/>
      <c r="BC13" s="6" t="n"/>
      <c r="BD13" s="6" t="n"/>
      <c r="BE13" s="6" t="n"/>
      <c r="BF13" s="6" t="n"/>
      <c r="BG13" s="6" t="n"/>
      <c r="BH13" s="6" t="n"/>
      <c r="BI13" s="6" t="n"/>
      <c r="BJ13" s="6" t="n"/>
      <c r="BK13" s="6" t="n"/>
      <c r="BL13" s="6" t="n"/>
      <c r="BM13" s="6" t="n"/>
      <c r="BN13" s="6" t="n"/>
      <c r="BO13" s="6" t="n"/>
      <c r="BP13" s="6" t="n"/>
      <c r="BQ13" s="6" t="n"/>
      <c r="BR13" s="6" t="n"/>
      <c r="BS13" s="6" t="n"/>
      <c r="BT13" s="6" t="n"/>
      <c r="BU13" s="6" t="n"/>
      <c r="BV13" s="6" t="n"/>
      <c r="BW13" s="6" t="n"/>
      <c r="BX13" s="7" t="n">
        <v>-2</v>
      </c>
      <c r="BY13" s="7" t="n">
        <v>0</v>
      </c>
      <c r="BZ13" s="7" t="n">
        <v>0</v>
      </c>
      <c r="CA13" s="6" t="n"/>
      <c r="CB13" s="7" t="n">
        <v>0</v>
      </c>
      <c r="CC13" s="7" t="n">
        <v>0</v>
      </c>
      <c r="CD13" s="7" t="n">
        <v>0</v>
      </c>
      <c r="CE13" s="6" t="n"/>
    </row>
    <row r="14" ht="47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inlineStr">
        <is>
          <t>EEM</t>
        </is>
      </c>
      <c r="J14" s="8" t="n"/>
      <c r="K14" s="8" t="n"/>
      <c r="L14" s="8" t="n"/>
      <c r="M14" s="8" t="n"/>
      <c r="N14" s="8" t="n"/>
      <c r="O14" s="8" t="n"/>
      <c r="P14" s="8" t="inlineStr">
        <is>
          <t>GLD</t>
        </is>
      </c>
      <c r="Q14" s="8" t="n"/>
      <c r="R14" s="8" t="n"/>
      <c r="S14" s="8" t="n"/>
      <c r="T14" s="8" t="n"/>
      <c r="U14" s="8" t="n"/>
      <c r="V14" s="8" t="n"/>
      <c r="W14" s="8" t="inlineStr">
        <is>
          <t>HYG</t>
        </is>
      </c>
      <c r="X14" s="8" t="n"/>
      <c r="Y14" s="8" t="n"/>
      <c r="Z14" s="8" t="n"/>
      <c r="AA14" s="8" t="n"/>
      <c r="AB14" s="8" t="n"/>
      <c r="AC14" s="8" t="n"/>
      <c r="AD14" s="8" t="inlineStr">
        <is>
          <t>TIP</t>
        </is>
      </c>
      <c r="AE14" s="8" t="n"/>
      <c r="AF14" s="8" t="n"/>
      <c r="AG14" s="8" t="n"/>
      <c r="AH14" s="8" t="n"/>
      <c r="AI14" s="8" t="n"/>
      <c r="AJ14" s="8" t="n"/>
      <c r="AK14" s="8" t="inlineStr">
        <is>
          <t>XLF</t>
        </is>
      </c>
      <c r="AL14" s="8" t="n"/>
      <c r="AM14" s="8" t="n"/>
      <c r="AN14" s="8" t="n"/>
      <c r="AO14" s="8" t="n"/>
      <c r="AP14" s="8" t="n"/>
      <c r="AQ14" s="8" t="n"/>
      <c r="AR14" s="8" t="inlineStr">
        <is>
          <t>FXY</t>
        </is>
      </c>
      <c r="AS14" s="8" t="n"/>
      <c r="AT14" s="8" t="n"/>
      <c r="AU14" s="8" t="n"/>
      <c r="AV14" s="8" t="n"/>
      <c r="AW14" s="8" t="n"/>
      <c r="AX14" s="8" t="n"/>
      <c r="AY14" s="8" t="inlineStr">
        <is>
          <t>GDX</t>
        </is>
      </c>
      <c r="AZ14" s="8" t="n"/>
      <c r="BA14" s="8" t="n"/>
      <c r="BB14" s="8" t="n"/>
      <c r="BC14" s="8" t="n"/>
      <c r="BD14" s="8" t="n"/>
      <c r="BE14" s="8" t="n"/>
      <c r="BF14" s="8" t="inlineStr">
        <is>
          <t>XLC</t>
        </is>
      </c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inlineStr">
        <is>
          <t>Ultra NASDAQ-100 ProFunds Investor Class（UOPIX）</t>
        </is>
      </c>
      <c r="BY14" s="8" t="inlineStr">
        <is>
          <t>Ultra NASDAQ-101 ProFunds Investor Class（UOPIX）</t>
        </is>
      </c>
      <c r="BZ14" s="8" t="inlineStr">
        <is>
          <t>Ultra NASDAQ-102 ProFunds Investor Class（UOPIX）</t>
        </is>
      </c>
      <c r="CA14" s="8" t="inlineStr">
        <is>
          <t>Ultra NASDAQ-103 ProFunds Investor Class（UOPIX）</t>
        </is>
      </c>
      <c r="CB14" s="8" t="inlineStr">
        <is>
          <t>UltraBull ProFund Investor Shares（ULPIX）</t>
        </is>
      </c>
      <c r="CC14" s="8" t="inlineStr">
        <is>
          <t>UltraBull ProFund Investor Shares（ULPIX）</t>
        </is>
      </c>
      <c r="CD14" s="8" t="inlineStr">
        <is>
          <t>UltraBull ProFund Investor Shares（ULPIX）</t>
        </is>
      </c>
      <c r="CE14" s="8" t="inlineStr">
        <is>
          <t>UltraBull ProFund Investor Shares（ULPIX）</t>
        </is>
      </c>
    </row>
    <row r="15" ht="47" customHeight="1">
      <c r="A15" s="8" t="inlineStr">
        <is>
          <t>日期</t>
        </is>
      </c>
      <c r="B15" s="8" t="inlineStr">
        <is>
          <t>Ultra NASDAQ-100 ProFunds Investor Class（UOPIX） Adj Close</t>
        </is>
      </c>
      <c r="C15" s="8" t="inlineStr">
        <is>
          <t>UltraBull ProFund Investor Shares（ULPIX） Adj Close</t>
        </is>
      </c>
      <c r="D15" s="8" t="inlineStr">
        <is>
          <t>Ultra NASDAQ-100 ProFunds Investor Class（UOPIX）回报</t>
        </is>
      </c>
      <c r="E15" s="8" t="inlineStr">
        <is>
          <t>UltraBull ProFund Investor Shares（ULPIX）回报</t>
        </is>
      </c>
      <c r="F15" s="8" t="inlineStr"/>
      <c r="G15" s="8" t="inlineStr">
        <is>
          <t>Open</t>
        </is>
      </c>
      <c r="H15" s="8" t="inlineStr">
        <is>
          <t>High</t>
        </is>
      </c>
      <c r="I15" s="8" t="inlineStr">
        <is>
          <t>Low</t>
        </is>
      </c>
      <c r="J15" s="8" t="inlineStr">
        <is>
          <t>Close</t>
        </is>
      </c>
      <c r="K15" s="8" t="inlineStr">
        <is>
          <t>Adj Close</t>
        </is>
      </c>
      <c r="L15" s="8" t="inlineStr">
        <is>
          <t>Volume</t>
        </is>
      </c>
      <c r="M15" s="8" t="inlineStr"/>
      <c r="N15" s="8" t="inlineStr">
        <is>
          <t>Open</t>
        </is>
      </c>
      <c r="O15" s="8" t="inlineStr">
        <is>
          <t>High</t>
        </is>
      </c>
      <c r="P15" s="8" t="inlineStr">
        <is>
          <t>Low</t>
        </is>
      </c>
      <c r="Q15" s="8" t="inlineStr">
        <is>
          <t>Close</t>
        </is>
      </c>
      <c r="R15" s="8" t="inlineStr">
        <is>
          <t>Adj Close</t>
        </is>
      </c>
      <c r="S15" s="8" t="inlineStr">
        <is>
          <t>Volume</t>
        </is>
      </c>
      <c r="T15" s="8" t="inlineStr"/>
      <c r="U15" s="8" t="inlineStr">
        <is>
          <t>Open</t>
        </is>
      </c>
      <c r="V15" s="8" t="inlineStr">
        <is>
          <t>High</t>
        </is>
      </c>
      <c r="W15" s="8" t="inlineStr">
        <is>
          <t>Low</t>
        </is>
      </c>
      <c r="X15" s="8" t="inlineStr">
        <is>
          <t>Close</t>
        </is>
      </c>
      <c r="Y15" s="8" t="inlineStr">
        <is>
          <t>Adj Close</t>
        </is>
      </c>
      <c r="Z15" s="8" t="inlineStr">
        <is>
          <t>Volume</t>
        </is>
      </c>
      <c r="AA15" s="8" t="inlineStr"/>
      <c r="AB15" s="8" t="inlineStr">
        <is>
          <t>Open</t>
        </is>
      </c>
      <c r="AC15" s="8" t="inlineStr">
        <is>
          <t>High</t>
        </is>
      </c>
      <c r="AD15" s="8" t="inlineStr">
        <is>
          <t>Low</t>
        </is>
      </c>
      <c r="AE15" s="8" t="inlineStr">
        <is>
          <t>Close</t>
        </is>
      </c>
      <c r="AF15" s="8" t="inlineStr">
        <is>
          <t>Adj Close</t>
        </is>
      </c>
      <c r="AG15" s="8" t="inlineStr">
        <is>
          <t>Volume</t>
        </is>
      </c>
      <c r="AH15" s="8" t="inlineStr"/>
      <c r="AI15" s="8" t="inlineStr">
        <is>
          <t>Open</t>
        </is>
      </c>
      <c r="AJ15" s="8" t="inlineStr">
        <is>
          <t>High</t>
        </is>
      </c>
      <c r="AK15" s="8" t="inlineStr">
        <is>
          <t>Low</t>
        </is>
      </c>
      <c r="AL15" s="8" t="inlineStr">
        <is>
          <t>Close</t>
        </is>
      </c>
      <c r="AM15" s="8" t="inlineStr">
        <is>
          <t>Adj Close</t>
        </is>
      </c>
      <c r="AN15" s="8" t="inlineStr">
        <is>
          <t>Volume</t>
        </is>
      </c>
      <c r="AO15" s="8" t="inlineStr"/>
      <c r="AP15" s="8" t="inlineStr">
        <is>
          <t>Open</t>
        </is>
      </c>
      <c r="AQ15" s="8" t="inlineStr">
        <is>
          <t>High</t>
        </is>
      </c>
      <c r="AR15" s="8" t="inlineStr">
        <is>
          <t>Low</t>
        </is>
      </c>
      <c r="AS15" s="8" t="inlineStr">
        <is>
          <t>Close</t>
        </is>
      </c>
      <c r="AT15" s="8" t="inlineStr">
        <is>
          <t>Adj Close</t>
        </is>
      </c>
      <c r="AU15" s="8" t="inlineStr">
        <is>
          <t>Volume</t>
        </is>
      </c>
      <c r="AV15" s="8" t="inlineStr"/>
      <c r="AW15" s="8" t="inlineStr">
        <is>
          <t>Open</t>
        </is>
      </c>
      <c r="AX15" s="8" t="inlineStr">
        <is>
          <t>High</t>
        </is>
      </c>
      <c r="AY15" s="8" t="inlineStr">
        <is>
          <t>Low</t>
        </is>
      </c>
      <c r="AZ15" s="8" t="inlineStr">
        <is>
          <t>Close</t>
        </is>
      </c>
      <c r="BA15" s="8" t="inlineStr">
        <is>
          <t>Adj Close</t>
        </is>
      </c>
      <c r="BB15" s="8" t="inlineStr">
        <is>
          <t>Volume</t>
        </is>
      </c>
      <c r="BC15" s="8" t="inlineStr"/>
      <c r="BD15" s="8" t="inlineStr">
        <is>
          <t>Open</t>
        </is>
      </c>
      <c r="BE15" s="8" t="inlineStr">
        <is>
          <t>High</t>
        </is>
      </c>
      <c r="BF15" s="8" t="inlineStr">
        <is>
          <t>Low</t>
        </is>
      </c>
      <c r="BG15" s="8" t="inlineStr">
        <is>
          <t>Close</t>
        </is>
      </c>
      <c r="BH15" s="8" t="inlineStr">
        <is>
          <t>Adj Close</t>
        </is>
      </c>
      <c r="BI15" s="8" t="inlineStr">
        <is>
          <t>Volume</t>
        </is>
      </c>
      <c r="BJ15" s="8" t="inlineStr"/>
      <c r="BK15" s="8" t="inlineStr">
        <is>
          <t>EEM回报</t>
        </is>
      </c>
      <c r="BL15" s="8" t="inlineStr">
        <is>
          <t>GLD回报</t>
        </is>
      </c>
      <c r="BM15" s="8" t="inlineStr">
        <is>
          <t>HYG回报</t>
        </is>
      </c>
      <c r="BN15" s="8" t="inlineStr">
        <is>
          <t>TIP回报</t>
        </is>
      </c>
      <c r="BO15" s="8" t="inlineStr">
        <is>
          <t>XLF回报</t>
        </is>
      </c>
      <c r="BP15" s="8" t="inlineStr">
        <is>
          <t>FXY回报</t>
        </is>
      </c>
      <c r="BQ15" s="8" t="inlineStr">
        <is>
          <t>GDX回报</t>
        </is>
      </c>
      <c r="BR15" s="8" t="inlineStr">
        <is>
          <t>XLC回报</t>
        </is>
      </c>
      <c r="BS15" s="8" t="inlineStr"/>
      <c r="BT15" s="8" t="inlineStr">
        <is>
          <t>VIX_Close</t>
        </is>
      </c>
      <c r="BU15" s="8" t="inlineStr">
        <is>
          <t>VIX回报</t>
        </is>
      </c>
      <c r="BV15" s="8" t="inlineStr">
        <is>
          <t>VIX_Chg%</t>
        </is>
      </c>
      <c r="BW15" s="8" t="inlineStr"/>
      <c r="BX15" s="8" t="inlineStr">
        <is>
          <t>VIX&gt;0 且 该基金当日回报&lt;=-2%，买基金第二天</t>
        </is>
      </c>
      <c r="BY15" s="8" t="inlineStr">
        <is>
          <t>HYG&lt;0 且 TIP&gt;0，买基金第二天</t>
        </is>
      </c>
      <c r="BZ15" s="8" t="inlineStr">
        <is>
          <t>EEM&gt;0 且 GLD&lt;0 且 HYG&gt;0，买基金第二天</t>
        </is>
      </c>
      <c r="CA15" s="8" t="inlineStr">
        <is>
          <t>合并效果</t>
        </is>
      </c>
      <c r="CB15" s="8" t="inlineStr">
        <is>
          <t>GDX&gt;0 且 XLC&lt;0，买基金第二天</t>
        </is>
      </c>
      <c r="CC15" s="8" t="inlineStr">
        <is>
          <t>XLF&lt;=-1% 且 该基金当日回报&lt;0，买基金第二天</t>
        </is>
      </c>
      <c r="CD15" s="8" t="inlineStr">
        <is>
          <t>FXY&gt;0 且 GDX&gt;0，买基金第二天</t>
        </is>
      </c>
      <c r="CE15" s="8" t="inlineStr">
        <is>
          <t>合并效果</t>
        </is>
      </c>
    </row>
    <row r="16">
      <c r="A16" s="9" t="inlineStr">
        <is>
          <t>2026/08/04</t>
        </is>
      </c>
      <c r="B16" s="9" t="n">
        <v>164.02</v>
      </c>
      <c r="C16" s="9" t="n">
        <v>194.03</v>
      </c>
      <c r="D16" s="10">
        <f>IF(COUNT(B16:B17)=2,ROUND((B16/B17-1)*100,4),"")</f>
        <v/>
      </c>
      <c r="E16" s="10">
        <f>IF(COUNT(C16:C17)=2,ROUND((C16/C17-1)*100,4),"")</f>
        <v/>
      </c>
      <c r="F16" s="9" t="inlineStr"/>
      <c r="G16" s="9" t="n">
        <v>65.22</v>
      </c>
      <c r="H16" s="9" t="n">
        <v>66.14</v>
      </c>
      <c r="I16" s="9" t="n">
        <v>65.12</v>
      </c>
      <c r="J16" s="9" t="n">
        <v>66</v>
      </c>
      <c r="K16" s="9" t="n">
        <v>66</v>
      </c>
      <c r="L16" s="9" t="n">
        <v>25811400</v>
      </c>
      <c r="M16" s="9" t="inlineStr"/>
      <c r="N16" s="9" t="n">
        <v>374.14</v>
      </c>
      <c r="O16" s="9" t="n">
        <v>376.69</v>
      </c>
      <c r="P16" s="9" t="n">
        <v>373.71</v>
      </c>
      <c r="Q16" s="9" t="n">
        <v>374.16</v>
      </c>
      <c r="R16" s="9" t="n">
        <v>374.16</v>
      </c>
      <c r="S16" s="9" t="n">
        <v>5723100</v>
      </c>
      <c r="T16" s="9" t="inlineStr"/>
      <c r="U16" s="9" t="n">
        <v>79.37</v>
      </c>
      <c r="V16" s="9" t="n">
        <v>79.59999999999999</v>
      </c>
      <c r="W16" s="9" t="n">
        <v>79.37</v>
      </c>
      <c r="X16" s="9" t="n">
        <v>79.55</v>
      </c>
      <c r="Y16" s="9" t="n">
        <v>79.55</v>
      </c>
      <c r="Z16" s="9" t="n">
        <v>46524700</v>
      </c>
      <c r="AA16" s="9" t="inlineStr"/>
      <c r="AB16" s="9" t="n">
        <v>107.1</v>
      </c>
      <c r="AC16" s="9" t="n">
        <v>107.13</v>
      </c>
      <c r="AD16" s="9" t="n">
        <v>106.99</v>
      </c>
      <c r="AE16" s="9" t="n">
        <v>107.05</v>
      </c>
      <c r="AF16" s="9" t="n">
        <v>107.05</v>
      </c>
      <c r="AG16" s="9" t="n">
        <v>2324900</v>
      </c>
      <c r="AH16" s="9" t="inlineStr"/>
      <c r="AI16" s="9" t="n">
        <v>57.22</v>
      </c>
      <c r="AJ16" s="9" t="n">
        <v>58.02</v>
      </c>
      <c r="AK16" s="9" t="n">
        <v>57.19</v>
      </c>
      <c r="AL16" s="9" t="n">
        <v>57.88</v>
      </c>
      <c r="AM16" s="9" t="n">
        <v>57.88</v>
      </c>
      <c r="AN16" s="9" t="n">
        <v>31466100</v>
      </c>
      <c r="AO16" s="9" t="inlineStr"/>
      <c r="AP16" s="9" t="n">
        <v>58.28</v>
      </c>
      <c r="AQ16" s="9" t="n">
        <v>58.37</v>
      </c>
      <c r="AR16" s="9" t="n">
        <v>58.11</v>
      </c>
      <c r="AS16" s="9" t="n">
        <v>58.15</v>
      </c>
      <c r="AT16" s="9" t="n">
        <v>58.15</v>
      </c>
      <c r="AU16" s="9" t="n">
        <v>465400</v>
      </c>
      <c r="AV16" s="9" t="inlineStr"/>
      <c r="AW16" s="9" t="n">
        <v>77.61</v>
      </c>
      <c r="AX16" s="9" t="n">
        <v>78.86</v>
      </c>
      <c r="AY16" s="9" t="n">
        <v>77.01000000000001</v>
      </c>
      <c r="AZ16" s="9" t="n">
        <v>77.92</v>
      </c>
      <c r="BA16" s="9" t="n">
        <v>77.92</v>
      </c>
      <c r="BB16" s="9" t="n">
        <v>20255600</v>
      </c>
      <c r="BC16" s="9" t="inlineStr"/>
      <c r="BD16" s="9" t="n">
        <v>110.535</v>
      </c>
      <c r="BE16" s="9" t="n">
        <v>112.275</v>
      </c>
      <c r="BF16" s="9" t="n">
        <v>110.45</v>
      </c>
      <c r="BG16" s="9" t="n">
        <v>112.04</v>
      </c>
      <c r="BH16" s="9" t="n">
        <v>112.04</v>
      </c>
      <c r="BI16" s="9" t="n">
        <v>5461000</v>
      </c>
      <c r="BJ16" s="9" t="inlineStr"/>
      <c r="BK16" s="10">
        <f>IF(COUNT(K16:K17)=2,ROUND((K16/K17-1)*100,4),"")</f>
        <v/>
      </c>
      <c r="BL16" s="10">
        <f>IF(COUNT(R16:R17)=2,ROUND((R16/R17-1)*100,4),"")</f>
        <v/>
      </c>
      <c r="BM16" s="10">
        <f>IF(COUNT(Y16:Y17)=2,ROUND((Y16/Y17-1)*100,4),"")</f>
        <v/>
      </c>
      <c r="BN16" s="10">
        <f>IF(COUNT(AF16:AF17)=2,ROUND((AF16/AF17-1)*100,4),"")</f>
        <v/>
      </c>
      <c r="BO16" s="10">
        <f>IF(COUNT(AM16:AM17)=2,ROUND((AM16/AM17-1)*100,4),"")</f>
        <v/>
      </c>
      <c r="BP16" s="10">
        <f>IF(COUNT(AT16:AT17)=2,ROUND((AT16/AT17-1)*100,4),"")</f>
        <v/>
      </c>
      <c r="BQ16" s="10">
        <f>IF(COUNT(BA16:BA17)=2,ROUND((BA16/BA17-1)*100,4),"")</f>
        <v/>
      </c>
      <c r="BR16" s="10">
        <f>IF(COUNT(BH16:BH17)=2,ROUND((BH16/BH17-1)*100,4),"")</f>
        <v/>
      </c>
      <c r="BS16" s="9" t="inlineStr"/>
      <c r="BT16" s="9" t="n">
        <v>16.5</v>
      </c>
      <c r="BU16" s="10">
        <f>IF(COUNT(BT16:BT17)=2,ROUND((BT16/BT17-1)*100,4),"")</f>
        <v/>
      </c>
      <c r="BV16" s="10" t="n">
        <v>4.0353</v>
      </c>
      <c r="BW16" s="9" t="inlineStr"/>
      <c r="BX16" s="10" t="inlineStr"/>
      <c r="BY16" s="10" t="inlineStr"/>
      <c r="BZ16" s="10" t="inlineStr"/>
      <c r="CA16" s="10">
        <f>IF(BX16&lt;&gt;"",BX16,IF(BY16&lt;&gt;"",BY16,BZ16))</f>
        <v/>
      </c>
      <c r="CB16" s="10" t="inlineStr"/>
      <c r="CC16" s="10" t="inlineStr"/>
      <c r="CD16" s="10" t="inlineStr"/>
      <c r="CE16" s="10">
        <f>IF(CB16&lt;&gt;"",CB16,IF(CC16&lt;&gt;"",CC16,CD16))</f>
        <v/>
      </c>
    </row>
    <row r="17">
      <c r="A17" s="9" t="inlineStr">
        <is>
          <t>2026/08/03</t>
        </is>
      </c>
      <c r="B17" s="9" t="n">
        <v>153.8</v>
      </c>
      <c r="C17" s="9" t="n">
        <v>187.34</v>
      </c>
      <c r="D17" s="10">
        <f>IF(COUNT(B17:B18)=2,ROUND((B17/B18-1)*100,4),"")</f>
        <v/>
      </c>
      <c r="E17" s="10">
        <f>IF(COUNT(C17:C18)=2,ROUND((C17/C18-1)*100,4),"")</f>
        <v/>
      </c>
      <c r="F17" s="9" t="inlineStr"/>
      <c r="G17" s="9" t="n">
        <v>63.74</v>
      </c>
      <c r="H17" s="9" t="n">
        <v>64.45</v>
      </c>
      <c r="I17" s="9" t="n">
        <v>63.34</v>
      </c>
      <c r="J17" s="9" t="n">
        <v>64.31999999999999</v>
      </c>
      <c r="K17" s="9" t="n">
        <v>64.31999999999999</v>
      </c>
      <c r="L17" s="9" t="n">
        <v>21829600</v>
      </c>
      <c r="M17" s="9" t="inlineStr"/>
      <c r="N17" s="9" t="n">
        <v>370.1</v>
      </c>
      <c r="O17" s="9" t="n">
        <v>372.04</v>
      </c>
      <c r="P17" s="9" t="n">
        <v>368.64</v>
      </c>
      <c r="Q17" s="9" t="n">
        <v>371.71</v>
      </c>
      <c r="R17" s="9" t="n">
        <v>371.71</v>
      </c>
      <c r="S17" s="9" t="n">
        <v>4968900</v>
      </c>
      <c r="T17" s="9" t="inlineStr"/>
      <c r="U17" s="9" t="n">
        <v>79.25</v>
      </c>
      <c r="V17" s="9" t="n">
        <v>79.33</v>
      </c>
      <c r="W17" s="9" t="n">
        <v>79.15000000000001</v>
      </c>
      <c r="X17" s="9" t="n">
        <v>79.31</v>
      </c>
      <c r="Y17" s="9" t="n">
        <v>79.31</v>
      </c>
      <c r="Z17" s="9" t="n">
        <v>30860100</v>
      </c>
      <c r="AA17" s="9" t="inlineStr"/>
      <c r="AB17" s="9" t="n">
        <v>106.89</v>
      </c>
      <c r="AC17" s="9" t="n">
        <v>106.97</v>
      </c>
      <c r="AD17" s="9" t="n">
        <v>106.76</v>
      </c>
      <c r="AE17" s="9" t="n">
        <v>106.86</v>
      </c>
      <c r="AF17" s="9" t="n">
        <v>106.86</v>
      </c>
      <c r="AG17" s="9" t="n">
        <v>2609900</v>
      </c>
      <c r="AH17" s="9" t="inlineStr"/>
      <c r="AI17" s="9" t="n">
        <v>57.29</v>
      </c>
      <c r="AJ17" s="9" t="n">
        <v>57.55</v>
      </c>
      <c r="AK17" s="9" t="n">
        <v>57</v>
      </c>
      <c r="AL17" s="9" t="n">
        <v>57.38</v>
      </c>
      <c r="AM17" s="9" t="n">
        <v>57.38</v>
      </c>
      <c r="AN17" s="9" t="n">
        <v>31019400</v>
      </c>
      <c r="AO17" s="9" t="inlineStr"/>
      <c r="AP17" s="9" t="n">
        <v>58.62</v>
      </c>
      <c r="AQ17" s="9" t="n">
        <v>58.72</v>
      </c>
      <c r="AR17" s="9" t="n">
        <v>58.43</v>
      </c>
      <c r="AS17" s="9" t="n">
        <v>58.5</v>
      </c>
      <c r="AT17" s="9" t="n">
        <v>58.5</v>
      </c>
      <c r="AU17" s="9" t="n">
        <v>678400</v>
      </c>
      <c r="AV17" s="9" t="inlineStr"/>
      <c r="AW17" s="9" t="n">
        <v>74.31</v>
      </c>
      <c r="AX17" s="9" t="n">
        <v>76.12</v>
      </c>
      <c r="AY17" s="9" t="n">
        <v>73.62</v>
      </c>
      <c r="AZ17" s="9" t="n">
        <v>76.05</v>
      </c>
      <c r="BA17" s="9" t="n">
        <v>76.05</v>
      </c>
      <c r="BB17" s="9" t="n">
        <v>13804000</v>
      </c>
      <c r="BC17" s="9" t="inlineStr"/>
      <c r="BD17" s="9" t="n">
        <v>109.83</v>
      </c>
      <c r="BE17" s="9" t="n">
        <v>112.01</v>
      </c>
      <c r="BF17" s="9" t="n">
        <v>109.79</v>
      </c>
      <c r="BG17" s="9" t="n">
        <v>111.34</v>
      </c>
      <c r="BH17" s="9" t="n">
        <v>111.34</v>
      </c>
      <c r="BI17" s="9" t="n">
        <v>7789800</v>
      </c>
      <c r="BJ17" s="9" t="inlineStr"/>
      <c r="BK17" s="10">
        <f>IF(COUNT(K17:K18)=2,ROUND((K17/K18-1)*100,4),"")</f>
        <v/>
      </c>
      <c r="BL17" s="10">
        <f>IF(COUNT(R17:R18)=2,ROUND((R17/R18-1)*100,4),"")</f>
        <v/>
      </c>
      <c r="BM17" s="10">
        <f>IF(COUNT(Y17:Y18)=2,ROUND((Y17/Y18-1)*100,4),"")</f>
        <v/>
      </c>
      <c r="BN17" s="10">
        <f>IF(COUNT(AF17:AF18)=2,ROUND((AF17/AF18-1)*100,4),"")</f>
        <v/>
      </c>
      <c r="BO17" s="10">
        <f>IF(COUNT(AM17:AM18)=2,ROUND((AM17/AM18-1)*100,4),"")</f>
        <v/>
      </c>
      <c r="BP17" s="10">
        <f>IF(COUNT(AT17:AT18)=2,ROUND((AT17/AT18-1)*100,4),"")</f>
        <v/>
      </c>
      <c r="BQ17" s="10">
        <f>IF(COUNT(BA17:BA18)=2,ROUND((BA17/BA18-1)*100,4),"")</f>
        <v/>
      </c>
      <c r="BR17" s="10">
        <f>IF(COUNT(BH17:BH18)=2,ROUND((BH17/BH18-1)*100,4),"")</f>
        <v/>
      </c>
      <c r="BS17" s="9" t="inlineStr"/>
      <c r="BT17" s="9" t="n">
        <v>15.86</v>
      </c>
      <c r="BU17" s="10">
        <f>IF(COUNT(BT17:BT18)=2,ROUND((BT17/BT18-1)*100,4),"")</f>
        <v/>
      </c>
      <c r="BV17" s="10" t="n">
        <v>-0.8129999999999999</v>
      </c>
      <c r="BW17" s="9" t="inlineStr"/>
      <c r="BX17" s="10">
        <f>IF(AND(BV17&gt;$BX$12,D17&lt;=$BX$13),D16,"")</f>
        <v/>
      </c>
      <c r="BY17" s="10">
        <f>IF(AND(BM17&lt;$BY$12,BN17&gt;$BY$13),D16,"")</f>
        <v/>
      </c>
      <c r="BZ17" s="10">
        <f>IF(AND(BK17&gt;$BZ$12,BL17&lt;$BZ$13,BM17&gt;$BZ$11),D16,"")</f>
        <v/>
      </c>
      <c r="CA17" s="10">
        <f>IF(BX17&lt;&gt;"",BX17,IF(BY17&lt;&gt;"",BY17,BZ17))</f>
        <v/>
      </c>
      <c r="CB17" s="10">
        <f>IF(AND(BQ17&gt;$CB$12,BR17&lt;$CB$13),E16,"")</f>
        <v/>
      </c>
      <c r="CC17" s="10">
        <f>IF(AND(BO17&lt;=$CC$12,E17&lt;$CC$13),E16,"")</f>
        <v/>
      </c>
      <c r="CD17" s="10">
        <f>IF(AND(BP17&gt;$CD$12,BQ17&gt;$CD$13),E16,"")</f>
        <v/>
      </c>
      <c r="CE17" s="10">
        <f>IF(CB17&lt;&gt;"",CB17,IF(CC17&lt;&gt;"",CC17,CD17))</f>
        <v/>
      </c>
    </row>
    <row r="18">
      <c r="A18" s="9" t="inlineStr">
        <is>
          <t>2026/07/31</t>
        </is>
      </c>
      <c r="B18" s="9" t="n">
        <v>148.6</v>
      </c>
      <c r="C18" s="9" t="n">
        <v>182.05</v>
      </c>
      <c r="D18" s="10">
        <f>IF(COUNT(B18:B19)=2,ROUND((B18/B19-1)*100,4),"")</f>
        <v/>
      </c>
      <c r="E18" s="10">
        <f>IF(COUNT(C18:C19)=2,ROUND((C18/C19-1)*100,4),"")</f>
        <v/>
      </c>
      <c r="F18" s="9" t="inlineStr"/>
      <c r="G18" s="9" t="n">
        <v>64.93000000000001</v>
      </c>
      <c r="H18" s="9" t="n">
        <v>65.06</v>
      </c>
      <c r="I18" s="9" t="n">
        <v>63.51</v>
      </c>
      <c r="J18" s="9" t="n">
        <v>64.09</v>
      </c>
      <c r="K18" s="9" t="n">
        <v>64.09</v>
      </c>
      <c r="L18" s="9" t="n">
        <v>31148600</v>
      </c>
      <c r="M18" s="9" t="inlineStr"/>
      <c r="N18" s="9" t="n">
        <v>370.84</v>
      </c>
      <c r="O18" s="9" t="n">
        <v>372.01</v>
      </c>
      <c r="P18" s="9" t="n">
        <v>368.82</v>
      </c>
      <c r="Q18" s="9" t="n">
        <v>371.54</v>
      </c>
      <c r="R18" s="9" t="n">
        <v>371.54</v>
      </c>
      <c r="S18" s="9" t="n">
        <v>6825900</v>
      </c>
      <c r="T18" s="9" t="inlineStr"/>
      <c r="U18" s="9" t="n">
        <v>79.45999999999999</v>
      </c>
      <c r="V18" s="9" t="n">
        <v>79.54000000000001</v>
      </c>
      <c r="W18" s="9" t="n">
        <v>79.23999999999999</v>
      </c>
      <c r="X18" s="9" t="n">
        <v>79.48</v>
      </c>
      <c r="Y18" s="9" t="n">
        <v>79.096</v>
      </c>
      <c r="Z18" s="9" t="n">
        <v>38659800</v>
      </c>
      <c r="AA18" s="9" t="inlineStr"/>
      <c r="AB18" s="9" t="n">
        <v>107.55</v>
      </c>
      <c r="AC18" s="9" t="n">
        <v>107.63</v>
      </c>
      <c r="AD18" s="9" t="n">
        <v>107.34</v>
      </c>
      <c r="AE18" s="9" t="n">
        <v>107.63</v>
      </c>
      <c r="AF18" s="9" t="n">
        <v>106.846</v>
      </c>
      <c r="AG18" s="9" t="n">
        <v>3868300</v>
      </c>
      <c r="AH18" s="9" t="inlineStr"/>
      <c r="AI18" s="9" t="n">
        <v>56.81</v>
      </c>
      <c r="AJ18" s="9" t="n">
        <v>57.12</v>
      </c>
      <c r="AK18" s="9" t="n">
        <v>56.69</v>
      </c>
      <c r="AL18" s="9" t="n">
        <v>56.94</v>
      </c>
      <c r="AM18" s="9" t="n">
        <v>56.94</v>
      </c>
      <c r="AN18" s="9" t="n">
        <v>32543500</v>
      </c>
      <c r="AO18" s="9" t="inlineStr"/>
      <c r="AP18" s="9" t="n">
        <v>57.52</v>
      </c>
      <c r="AQ18" s="9" t="n">
        <v>58.01</v>
      </c>
      <c r="AR18" s="9" t="n">
        <v>57.38</v>
      </c>
      <c r="AS18" s="9" t="n">
        <v>57.66</v>
      </c>
      <c r="AT18" s="9" t="n">
        <v>57.66</v>
      </c>
      <c r="AU18" s="9" t="n">
        <v>682600</v>
      </c>
      <c r="AV18" s="9" t="inlineStr"/>
      <c r="AW18" s="9" t="n">
        <v>74.88</v>
      </c>
      <c r="AX18" s="9" t="n">
        <v>75.31999999999999</v>
      </c>
      <c r="AY18" s="9" t="n">
        <v>72.92</v>
      </c>
      <c r="AZ18" s="9" t="n">
        <v>74.09999999999999</v>
      </c>
      <c r="BA18" s="9" t="n">
        <v>74.09999999999999</v>
      </c>
      <c r="BB18" s="9" t="n">
        <v>17782700</v>
      </c>
      <c r="BC18" s="9" t="inlineStr"/>
      <c r="BD18" s="9" t="n">
        <v>106.825</v>
      </c>
      <c r="BE18" s="9" t="n">
        <v>108.405</v>
      </c>
      <c r="BF18" s="9" t="n">
        <v>106.61</v>
      </c>
      <c r="BG18" s="9" t="n">
        <v>108.24</v>
      </c>
      <c r="BH18" s="9" t="n">
        <v>108.24</v>
      </c>
      <c r="BI18" s="9" t="n">
        <v>5024600</v>
      </c>
      <c r="BJ18" s="9" t="inlineStr"/>
      <c r="BK18" s="10">
        <f>IF(COUNT(K18:K19)=2,ROUND((K18/K19-1)*100,4),"")</f>
        <v/>
      </c>
      <c r="BL18" s="10">
        <f>IF(COUNT(R18:R19)=2,ROUND((R18/R19-1)*100,4),"")</f>
        <v/>
      </c>
      <c r="BM18" s="10">
        <f>IF(COUNT(Y18:Y19)=2,ROUND((Y18/Y19-1)*100,4),"")</f>
        <v/>
      </c>
      <c r="BN18" s="10">
        <f>IF(COUNT(AF18:AF19)=2,ROUND((AF18/AF19-1)*100,4),"")</f>
        <v/>
      </c>
      <c r="BO18" s="10">
        <f>IF(COUNT(AM18:AM19)=2,ROUND((AM18/AM19-1)*100,4),"")</f>
        <v/>
      </c>
      <c r="BP18" s="10">
        <f>IF(COUNT(AT18:AT19)=2,ROUND((AT18/AT19-1)*100,4),"")</f>
        <v/>
      </c>
      <c r="BQ18" s="10">
        <f>IF(COUNT(BA18:BA19)=2,ROUND((BA18/BA19-1)*100,4),"")</f>
        <v/>
      </c>
      <c r="BR18" s="10">
        <f>IF(COUNT(BH18:BH19)=2,ROUND((BH18/BH19-1)*100,4),"")</f>
        <v/>
      </c>
      <c r="BS18" s="9" t="inlineStr"/>
      <c r="BT18" s="9" t="n">
        <v>15.99</v>
      </c>
      <c r="BU18" s="10">
        <f>IF(COUNT(BT18:BT19)=2,ROUND((BT18/BT19-1)*100,4),"")</f>
        <v/>
      </c>
      <c r="BV18" s="10" t="n">
        <v>-6.4365</v>
      </c>
      <c r="BW18" s="9" t="inlineStr"/>
      <c r="BX18" s="10">
        <f>IF(AND(BV18&gt;$BX$12,D18&lt;=$BX$13),D17,"")</f>
        <v/>
      </c>
      <c r="BY18" s="10">
        <f>IF(AND(BM18&lt;$BY$12,BN18&gt;$BY$13),D17,"")</f>
        <v/>
      </c>
      <c r="BZ18" s="10">
        <f>IF(AND(BK18&gt;$BZ$12,BL18&lt;$BZ$13,BM18&gt;$BZ$11),D17,"")</f>
        <v/>
      </c>
      <c r="CA18" s="10">
        <f>IF(BX18&lt;&gt;"",BX18,IF(BY18&lt;&gt;"",BY18,BZ18))</f>
        <v/>
      </c>
      <c r="CB18" s="10">
        <f>IF(AND(BQ18&gt;$CB$12,BR18&lt;$CB$13),E17,"")</f>
        <v/>
      </c>
      <c r="CC18" s="10">
        <f>IF(AND(BO18&lt;=$CC$12,E18&lt;$CC$13),E17,"")</f>
        <v/>
      </c>
      <c r="CD18" s="10">
        <f>IF(AND(BP18&gt;$CD$12,BQ18&gt;$CD$13),E17,"")</f>
        <v/>
      </c>
      <c r="CE18" s="10">
        <f>IF(CB18&lt;&gt;"",CB18,IF(CC18&lt;&gt;"",CC18,CD18))</f>
        <v/>
      </c>
    </row>
    <row r="19">
      <c r="A19" s="9" t="inlineStr">
        <is>
          <t>2026/07/30</t>
        </is>
      </c>
      <c r="B19" s="9" t="n">
        <v>146.84</v>
      </c>
      <c r="C19" s="9" t="n">
        <v>179.55</v>
      </c>
      <c r="D19" s="10">
        <f>IF(COUNT(B19:B20)=2,ROUND((B19/B20-1)*100,4),"")</f>
        <v/>
      </c>
      <c r="E19" s="10">
        <f>IF(COUNT(C19:C20)=2,ROUND((C19/C20-1)*100,4),"")</f>
        <v/>
      </c>
      <c r="F19" s="9" t="inlineStr"/>
      <c r="G19" s="9" t="n">
        <v>62.48</v>
      </c>
      <c r="H19" s="9" t="n">
        <v>63.64</v>
      </c>
      <c r="I19" s="9" t="n">
        <v>62.3</v>
      </c>
      <c r="J19" s="9" t="n">
        <v>63.59</v>
      </c>
      <c r="K19" s="9" t="n">
        <v>63.59</v>
      </c>
      <c r="L19" s="9" t="n">
        <v>42233300</v>
      </c>
      <c r="M19" s="9" t="inlineStr"/>
      <c r="N19" s="9" t="n">
        <v>374.16</v>
      </c>
      <c r="O19" s="9" t="n">
        <v>377.86</v>
      </c>
      <c r="P19" s="9" t="n">
        <v>373.76</v>
      </c>
      <c r="Q19" s="9" t="n">
        <v>377.16</v>
      </c>
      <c r="R19" s="9" t="n">
        <v>377.16</v>
      </c>
      <c r="S19" s="9" t="n">
        <v>5968400</v>
      </c>
      <c r="T19" s="9" t="inlineStr"/>
      <c r="U19" s="9" t="n">
        <v>79.38</v>
      </c>
      <c r="V19" s="9" t="n">
        <v>79.5</v>
      </c>
      <c r="W19" s="9" t="n">
        <v>79.33</v>
      </c>
      <c r="X19" s="9" t="n">
        <v>79.47</v>
      </c>
      <c r="Y19" s="9" t="n">
        <v>79.086</v>
      </c>
      <c r="Z19" s="9" t="n">
        <v>30570700</v>
      </c>
      <c r="AA19" s="9" t="inlineStr"/>
      <c r="AB19" s="9" t="n">
        <v>107.83</v>
      </c>
      <c r="AC19" s="9" t="n">
        <v>107.89</v>
      </c>
      <c r="AD19" s="9" t="n">
        <v>107.67</v>
      </c>
      <c r="AE19" s="9" t="n">
        <v>107.74</v>
      </c>
      <c r="AF19" s="9" t="n">
        <v>106.9552</v>
      </c>
      <c r="AG19" s="9" t="n">
        <v>2203000</v>
      </c>
      <c r="AH19" s="9" t="inlineStr"/>
      <c r="AI19" s="9" t="n">
        <v>56.82</v>
      </c>
      <c r="AJ19" s="9" t="n">
        <v>57.05</v>
      </c>
      <c r="AK19" s="9" t="n">
        <v>56.18</v>
      </c>
      <c r="AL19" s="9" t="n">
        <v>57</v>
      </c>
      <c r="AM19" s="9" t="n">
        <v>57</v>
      </c>
      <c r="AN19" s="9" t="n">
        <v>33184200</v>
      </c>
      <c r="AO19" s="9" t="inlineStr"/>
      <c r="AP19" s="9" t="n">
        <v>56.37</v>
      </c>
      <c r="AQ19" s="9" t="n">
        <v>58.03</v>
      </c>
      <c r="AR19" s="9" t="n">
        <v>56.35</v>
      </c>
      <c r="AS19" s="9" t="n">
        <v>57.58</v>
      </c>
      <c r="AT19" s="9" t="n">
        <v>57.58</v>
      </c>
      <c r="AU19" s="9" t="n">
        <v>1838900</v>
      </c>
      <c r="AV19" s="9" t="inlineStr"/>
      <c r="AW19" s="9" t="n">
        <v>75.34999999999999</v>
      </c>
      <c r="AX19" s="9" t="n">
        <v>76.81</v>
      </c>
      <c r="AY19" s="9" t="n">
        <v>74.3</v>
      </c>
      <c r="AZ19" s="9" t="n">
        <v>76.78</v>
      </c>
      <c r="BA19" s="9" t="n">
        <v>76.78</v>
      </c>
      <c r="BB19" s="9" t="n">
        <v>20321300</v>
      </c>
      <c r="BC19" s="9" t="inlineStr"/>
      <c r="BD19" s="9" t="n">
        <v>106.47</v>
      </c>
      <c r="BE19" s="9" t="n">
        <v>106.65</v>
      </c>
      <c r="BF19" s="9" t="n">
        <v>105.493</v>
      </c>
      <c r="BG19" s="9" t="n">
        <v>106.58</v>
      </c>
      <c r="BH19" s="9" t="n">
        <v>106.58</v>
      </c>
      <c r="BI19" s="9" t="n">
        <v>10083400</v>
      </c>
      <c r="BJ19" s="9" t="inlineStr"/>
      <c r="BK19" s="10">
        <f>IF(COUNT(K19:K20)=2,ROUND((K19/K20-1)*100,4),"")</f>
        <v/>
      </c>
      <c r="BL19" s="10">
        <f>IF(COUNT(R19:R20)=2,ROUND((R19/R20-1)*100,4),"")</f>
        <v/>
      </c>
      <c r="BM19" s="10">
        <f>IF(COUNT(Y19:Y20)=2,ROUND((Y19/Y20-1)*100,4),"")</f>
        <v/>
      </c>
      <c r="BN19" s="10">
        <f>IF(COUNT(AF19:AF20)=2,ROUND((AF19/AF20-1)*100,4),"")</f>
        <v/>
      </c>
      <c r="BO19" s="10">
        <f>IF(COUNT(AM19:AM20)=2,ROUND((AM19/AM20-1)*100,4),"")</f>
        <v/>
      </c>
      <c r="BP19" s="10">
        <f>IF(COUNT(AT19:AT20)=2,ROUND((AT19/AT20-1)*100,4),"")</f>
        <v/>
      </c>
      <c r="BQ19" s="10">
        <f>IF(COUNT(BA19:BA20)=2,ROUND((BA19/BA20-1)*100,4),"")</f>
        <v/>
      </c>
      <c r="BR19" s="10">
        <f>IF(COUNT(BH19:BH20)=2,ROUND((BH19/BH20-1)*100,4),"")</f>
        <v/>
      </c>
      <c r="BS19" s="9" t="inlineStr"/>
      <c r="BT19" s="9" t="n">
        <v>17.09</v>
      </c>
      <c r="BU19" s="10">
        <f>IF(COUNT(BT19:BT20)=2,ROUND((BT19/BT20-1)*100,4),"")</f>
        <v/>
      </c>
      <c r="BV19" s="10" t="n">
        <v>-17.2798</v>
      </c>
      <c r="BW19" s="9" t="inlineStr"/>
      <c r="BX19" s="10">
        <f>IF(AND(BV19&gt;$BX$12,D19&lt;=$BX$13),D18,"")</f>
        <v/>
      </c>
      <c r="BY19" s="10">
        <f>IF(AND(BM19&lt;$BY$12,BN19&gt;$BY$13),D18,"")</f>
        <v/>
      </c>
      <c r="BZ19" s="10">
        <f>IF(AND(BK19&gt;$BZ$12,BL19&lt;$BZ$13,BM19&gt;$BZ$11),D18,"")</f>
        <v/>
      </c>
      <c r="CA19" s="10">
        <f>IF(BX19&lt;&gt;"",BX19,IF(BY19&lt;&gt;"",BY19,BZ19))</f>
        <v/>
      </c>
      <c r="CB19" s="10">
        <f>IF(AND(BQ19&gt;$CB$12,BR19&lt;$CB$13),E18,"")</f>
        <v/>
      </c>
      <c r="CC19" s="10">
        <f>IF(AND(BO19&lt;=$CC$12,E19&lt;$CC$13),E18,"")</f>
        <v/>
      </c>
      <c r="CD19" s="10">
        <f>IF(AND(BP19&gt;$CD$12,BQ19&gt;$CD$13),E18,"")</f>
        <v/>
      </c>
      <c r="CE19" s="10">
        <f>IF(CB19&lt;&gt;"",CB19,IF(CC19&lt;&gt;"",CC19,CD19))</f>
        <v/>
      </c>
    </row>
    <row r="20">
      <c r="A20" s="9" t="inlineStr">
        <is>
          <t>2026/07/29</t>
        </is>
      </c>
      <c r="B20" s="9" t="n">
        <v>137.65</v>
      </c>
      <c r="C20" s="9" t="n">
        <v>173.8</v>
      </c>
      <c r="D20" s="10">
        <f>IF(COUNT(B20:B21)=2,ROUND((B20/B21-1)*100,4),"")</f>
        <v/>
      </c>
      <c r="E20" s="10">
        <f>IF(COUNT(C20:C21)=2,ROUND((C20/C21-1)*100,4),"")</f>
        <v/>
      </c>
      <c r="F20" s="9" t="inlineStr"/>
      <c r="G20" s="9" t="n">
        <v>61.73</v>
      </c>
      <c r="H20" s="9" t="n">
        <v>62.7</v>
      </c>
      <c r="I20" s="9" t="n">
        <v>60.77</v>
      </c>
      <c r="J20" s="9" t="n">
        <v>61.07</v>
      </c>
      <c r="K20" s="9" t="n">
        <v>61.07</v>
      </c>
      <c r="L20" s="9" t="n">
        <v>32436600</v>
      </c>
      <c r="M20" s="9" t="inlineStr"/>
      <c r="N20" s="9" t="n">
        <v>368.29</v>
      </c>
      <c r="O20" s="9" t="n">
        <v>377.62</v>
      </c>
      <c r="P20" s="9" t="n">
        <v>366.53</v>
      </c>
      <c r="Q20" s="9" t="n">
        <v>371.08</v>
      </c>
      <c r="R20" s="9" t="n">
        <v>371.08</v>
      </c>
      <c r="S20" s="9" t="n">
        <v>11839900</v>
      </c>
      <c r="T20" s="9" t="inlineStr"/>
      <c r="U20" s="9" t="n">
        <v>79.37</v>
      </c>
      <c r="V20" s="9" t="n">
        <v>79.48</v>
      </c>
      <c r="W20" s="9" t="n">
        <v>79.14</v>
      </c>
      <c r="X20" s="9" t="n">
        <v>79.23999999999999</v>
      </c>
      <c r="Y20" s="9" t="n">
        <v>78.85720000000001</v>
      </c>
      <c r="Z20" s="9" t="n">
        <v>53074500</v>
      </c>
      <c r="AA20" s="9" t="inlineStr"/>
      <c r="AB20" s="9" t="n">
        <v>107.64</v>
      </c>
      <c r="AC20" s="9" t="n">
        <v>108.01</v>
      </c>
      <c r="AD20" s="9" t="n">
        <v>107.48</v>
      </c>
      <c r="AE20" s="9" t="n">
        <v>107.77</v>
      </c>
      <c r="AF20" s="9" t="n">
        <v>106.985</v>
      </c>
      <c r="AG20" s="9" t="n">
        <v>1759400</v>
      </c>
      <c r="AH20" s="9" t="inlineStr"/>
      <c r="AI20" s="9" t="n">
        <v>57.29</v>
      </c>
      <c r="AJ20" s="9" t="n">
        <v>57.47</v>
      </c>
      <c r="AK20" s="9" t="n">
        <v>56.59</v>
      </c>
      <c r="AL20" s="9" t="n">
        <v>56.68</v>
      </c>
      <c r="AM20" s="9" t="n">
        <v>56.68</v>
      </c>
      <c r="AN20" s="9" t="n">
        <v>49038800</v>
      </c>
      <c r="AO20" s="9" t="inlineStr"/>
      <c r="AP20" s="9" t="n">
        <v>56.02</v>
      </c>
      <c r="AQ20" s="9" t="n">
        <v>56.21</v>
      </c>
      <c r="AR20" s="9" t="n">
        <v>55.97</v>
      </c>
      <c r="AS20" s="9" t="n">
        <v>56.13</v>
      </c>
      <c r="AT20" s="9" t="n">
        <v>56.13</v>
      </c>
      <c r="AU20" s="9" t="n">
        <v>172300</v>
      </c>
      <c r="AV20" s="9" t="inlineStr"/>
      <c r="AW20" s="9" t="n">
        <v>73.94</v>
      </c>
      <c r="AX20" s="9" t="n">
        <v>76.03</v>
      </c>
      <c r="AY20" s="9" t="n">
        <v>72.18000000000001</v>
      </c>
      <c r="AZ20" s="9" t="n">
        <v>73.56999999999999</v>
      </c>
      <c r="BA20" s="9" t="n">
        <v>73.56999999999999</v>
      </c>
      <c r="BB20" s="9" t="n">
        <v>25718800</v>
      </c>
      <c r="BC20" s="9" t="inlineStr"/>
      <c r="BD20" s="9" t="n">
        <v>109.51</v>
      </c>
      <c r="BE20" s="9" t="n">
        <v>110.74</v>
      </c>
      <c r="BF20" s="9" t="n">
        <v>108.95</v>
      </c>
      <c r="BG20" s="9" t="n">
        <v>109.51</v>
      </c>
      <c r="BH20" s="9" t="n">
        <v>109.51</v>
      </c>
      <c r="BI20" s="9" t="n">
        <v>7120100</v>
      </c>
      <c r="BJ20" s="9" t="inlineStr"/>
      <c r="BK20" s="10">
        <f>IF(COUNT(K20:K21)=2,ROUND((K20/K21-1)*100,4),"")</f>
        <v/>
      </c>
      <c r="BL20" s="10">
        <f>IF(COUNT(R20:R21)=2,ROUND((R20/R21-1)*100,4),"")</f>
        <v/>
      </c>
      <c r="BM20" s="10">
        <f>IF(COUNT(Y20:Y21)=2,ROUND((Y20/Y21-1)*100,4),"")</f>
        <v/>
      </c>
      <c r="BN20" s="10">
        <f>IF(COUNT(AF20:AF21)=2,ROUND((AF20/AF21-1)*100,4),"")</f>
        <v/>
      </c>
      <c r="BO20" s="10">
        <f>IF(COUNT(AM20:AM21)=2,ROUND((AM20/AM21-1)*100,4),"")</f>
        <v/>
      </c>
      <c r="BP20" s="10">
        <f>IF(COUNT(AT20:AT21)=2,ROUND((AT20/AT21-1)*100,4),"")</f>
        <v/>
      </c>
      <c r="BQ20" s="10">
        <f>IF(COUNT(BA20:BA21)=2,ROUND((BA20/BA21-1)*100,4),"")</f>
        <v/>
      </c>
      <c r="BR20" s="10">
        <f>IF(COUNT(BH20:BH21)=2,ROUND((BH20/BH21-1)*100,4),"")</f>
        <v/>
      </c>
      <c r="BS20" s="9" t="inlineStr"/>
      <c r="BT20" s="9" t="n">
        <v>20.66</v>
      </c>
      <c r="BU20" s="10">
        <f>IF(COUNT(BT20:BT21)=2,ROUND((BT20/BT21-1)*100,4),"")</f>
        <v/>
      </c>
      <c r="BV20" s="10" t="n">
        <v>13.4541</v>
      </c>
      <c r="BW20" s="9" t="inlineStr"/>
      <c r="BX20" s="10">
        <f>IF(AND(BV20&gt;$BX$12,D20&lt;=$BX$13),D19,"")</f>
        <v/>
      </c>
      <c r="BY20" s="10">
        <f>IF(AND(BM20&lt;$BY$12,BN20&gt;$BY$13),D19,"")</f>
        <v/>
      </c>
      <c r="BZ20" s="10">
        <f>IF(AND(BK20&gt;$BZ$12,BL20&lt;$BZ$13,BM20&gt;$BZ$11),D19,"")</f>
        <v/>
      </c>
      <c r="CA20" s="10">
        <f>IF(BX20&lt;&gt;"",BX20,IF(BY20&lt;&gt;"",BY20,BZ20))</f>
        <v/>
      </c>
      <c r="CB20" s="10">
        <f>IF(AND(BQ20&gt;$CB$12,BR20&lt;$CB$13),E19,"")</f>
        <v/>
      </c>
      <c r="CC20" s="10">
        <f>IF(AND(BO20&lt;=$CC$12,E20&lt;$CC$13),E19,"")</f>
        <v/>
      </c>
      <c r="CD20" s="10">
        <f>IF(AND(BP20&gt;$CD$12,BQ20&gt;$CD$13),E19,"")</f>
        <v/>
      </c>
      <c r="CE20" s="10">
        <f>IF(CB20&lt;&gt;"",CB20,IF(CC20&lt;&gt;"",CC20,CD20))</f>
        <v/>
      </c>
    </row>
    <row r="21">
      <c r="A21" s="9" t="inlineStr">
        <is>
          <t>2026/07/28</t>
        </is>
      </c>
      <c r="B21" s="9" t="n">
        <v>143.57</v>
      </c>
      <c r="C21" s="9" t="n">
        <v>179.29</v>
      </c>
      <c r="D21" s="10">
        <f>IF(COUNT(B21:B22)=2,ROUND((B21/B22-1)*100,4),"")</f>
        <v/>
      </c>
      <c r="E21" s="10">
        <f>IF(COUNT(C21:C22)=2,ROUND((C21/C22-1)*100,4),"")</f>
        <v/>
      </c>
      <c r="F21" s="9" t="inlineStr"/>
      <c r="G21" s="9" t="n">
        <v>62.06</v>
      </c>
      <c r="H21" s="9" t="n">
        <v>62.8</v>
      </c>
      <c r="I21" s="9" t="n">
        <v>61.68</v>
      </c>
      <c r="J21" s="9" t="n">
        <v>62.36</v>
      </c>
      <c r="K21" s="9" t="n">
        <v>62.36</v>
      </c>
      <c r="L21" s="9" t="n">
        <v>28991800</v>
      </c>
      <c r="M21" s="9" t="inlineStr"/>
      <c r="N21" s="9" t="n">
        <v>369.61</v>
      </c>
      <c r="O21" s="9" t="n">
        <v>371.23</v>
      </c>
      <c r="P21" s="9" t="n">
        <v>367.98</v>
      </c>
      <c r="Q21" s="9" t="n">
        <v>369.37</v>
      </c>
      <c r="R21" s="9" t="n">
        <v>369.37</v>
      </c>
      <c r="S21" s="9" t="n">
        <v>4819300</v>
      </c>
      <c r="T21" s="9" t="inlineStr"/>
      <c r="U21" s="9" t="n">
        <v>79.31999999999999</v>
      </c>
      <c r="V21" s="9" t="n">
        <v>79.42</v>
      </c>
      <c r="W21" s="9" t="n">
        <v>79.25</v>
      </c>
      <c r="X21" s="9" t="n">
        <v>79.42</v>
      </c>
      <c r="Y21" s="9" t="n">
        <v>79.0363</v>
      </c>
      <c r="Z21" s="9" t="n">
        <v>33698300</v>
      </c>
      <c r="AA21" s="9" t="inlineStr"/>
      <c r="AB21" s="9" t="n">
        <v>107.5</v>
      </c>
      <c r="AC21" s="9" t="n">
        <v>107.8</v>
      </c>
      <c r="AD21" s="9" t="n">
        <v>107.48</v>
      </c>
      <c r="AE21" s="9" t="n">
        <v>107.66</v>
      </c>
      <c r="AF21" s="9" t="n">
        <v>106.8758</v>
      </c>
      <c r="AG21" s="9" t="n">
        <v>2765800</v>
      </c>
      <c r="AH21" s="9" t="inlineStr"/>
      <c r="AI21" s="9" t="n">
        <v>57.13</v>
      </c>
      <c r="AJ21" s="9" t="n">
        <v>57.6</v>
      </c>
      <c r="AK21" s="9" t="n">
        <v>56.95</v>
      </c>
      <c r="AL21" s="9" t="n">
        <v>57.6</v>
      </c>
      <c r="AM21" s="9" t="n">
        <v>57.6</v>
      </c>
      <c r="AN21" s="9" t="n">
        <v>34204400</v>
      </c>
      <c r="AO21" s="9" t="inlineStr"/>
      <c r="AP21" s="9" t="n">
        <v>55.98</v>
      </c>
      <c r="AQ21" s="9" t="n">
        <v>56.06</v>
      </c>
      <c r="AR21" s="9" t="n">
        <v>55.97</v>
      </c>
      <c r="AS21" s="9" t="n">
        <v>56</v>
      </c>
      <c r="AT21" s="9" t="n">
        <v>56</v>
      </c>
      <c r="AU21" s="9" t="n">
        <v>211900</v>
      </c>
      <c r="AV21" s="9" t="inlineStr"/>
      <c r="AW21" s="9" t="n">
        <v>74.5</v>
      </c>
      <c r="AX21" s="9" t="n">
        <v>75.15000000000001</v>
      </c>
      <c r="AY21" s="9" t="n">
        <v>73.33</v>
      </c>
      <c r="AZ21" s="9" t="n">
        <v>74.20999999999999</v>
      </c>
      <c r="BA21" s="9" t="n">
        <v>74.20999999999999</v>
      </c>
      <c r="BB21" s="9" t="n">
        <v>14266200</v>
      </c>
      <c r="BC21" s="9" t="inlineStr"/>
      <c r="BD21" s="9" t="n">
        <v>108.33</v>
      </c>
      <c r="BE21" s="9" t="n">
        <v>110.03</v>
      </c>
      <c r="BF21" s="9" t="n">
        <v>108.33</v>
      </c>
      <c r="BG21" s="9" t="n">
        <v>109.67</v>
      </c>
      <c r="BH21" s="9" t="n">
        <v>109.67</v>
      </c>
      <c r="BI21" s="9" t="n">
        <v>5307200</v>
      </c>
      <c r="BJ21" s="9" t="inlineStr"/>
      <c r="BK21" s="10">
        <f>IF(COUNT(K21:K22)=2,ROUND((K21/K22-1)*100,4),"")</f>
        <v/>
      </c>
      <c r="BL21" s="10">
        <f>IF(COUNT(R21:R22)=2,ROUND((R21/R22-1)*100,4),"")</f>
        <v/>
      </c>
      <c r="BM21" s="10">
        <f>IF(COUNT(Y21:Y22)=2,ROUND((Y21/Y22-1)*100,4),"")</f>
        <v/>
      </c>
      <c r="BN21" s="10">
        <f>IF(COUNT(AF21:AF22)=2,ROUND((AF21/AF22-1)*100,4),"")</f>
        <v/>
      </c>
      <c r="BO21" s="10">
        <f>IF(COUNT(AM21:AM22)=2,ROUND((AM21/AM22-1)*100,4),"")</f>
        <v/>
      </c>
      <c r="BP21" s="10">
        <f>IF(COUNT(AT21:AT22)=2,ROUND((AT21/AT22-1)*100,4),"")</f>
        <v/>
      </c>
      <c r="BQ21" s="10">
        <f>IF(COUNT(BA21:BA22)=2,ROUND((BA21/BA22-1)*100,4),"")</f>
        <v/>
      </c>
      <c r="BR21" s="10">
        <f>IF(COUNT(BH21:BH22)=2,ROUND((BH21/BH22-1)*100,4),"")</f>
        <v/>
      </c>
      <c r="BS21" s="9" t="inlineStr"/>
      <c r="BT21" s="9" t="n">
        <v>18.21</v>
      </c>
      <c r="BU21" s="10">
        <f>IF(COUNT(BT21:BT22)=2,ROUND((BT21/BT22-1)*100,4),"")</f>
        <v/>
      </c>
      <c r="BV21" s="10" t="n">
        <v>-2.4638</v>
      </c>
      <c r="BW21" s="9" t="inlineStr"/>
      <c r="BX21" s="10">
        <f>IF(AND(BV21&gt;$BX$12,D21&lt;=$BX$13),D20,"")</f>
        <v/>
      </c>
      <c r="BY21" s="10">
        <f>IF(AND(BM21&lt;$BY$12,BN21&gt;$BY$13),D20,"")</f>
        <v/>
      </c>
      <c r="BZ21" s="10">
        <f>IF(AND(BK21&gt;$BZ$12,BL21&lt;$BZ$13,BM21&gt;$BZ$11),D20,"")</f>
        <v/>
      </c>
      <c r="CA21" s="10">
        <f>IF(BX21&lt;&gt;"",BX21,IF(BY21&lt;&gt;"",BY21,BZ21))</f>
        <v/>
      </c>
      <c r="CB21" s="10">
        <f>IF(AND(BQ21&gt;$CB$12,BR21&lt;$CB$13),E20,"")</f>
        <v/>
      </c>
      <c r="CC21" s="10">
        <f>IF(AND(BO21&lt;=$CC$12,E21&lt;$CC$13),E20,"")</f>
        <v/>
      </c>
      <c r="CD21" s="10">
        <f>IF(AND(BP21&gt;$CD$12,BQ21&gt;$CD$13),E20,"")</f>
        <v/>
      </c>
      <c r="CE21" s="10">
        <f>IF(CB21&lt;&gt;"",CB21,IF(CC21&lt;&gt;"",CC21,CD21))</f>
        <v/>
      </c>
    </row>
    <row r="22">
      <c r="A22" s="9" t="inlineStr">
        <is>
          <t>2026/07/27</t>
        </is>
      </c>
      <c r="B22" s="9" t="n">
        <v>146.46</v>
      </c>
      <c r="C22" s="9" t="n">
        <v>178.54</v>
      </c>
      <c r="D22" s="10">
        <f>IF(COUNT(B22:B23)=2,ROUND((B22/B23-1)*100,4),"")</f>
        <v/>
      </c>
      <c r="E22" s="10">
        <f>IF(COUNT(C22:C23)=2,ROUND((C22/C23-1)*100,4),"")</f>
        <v/>
      </c>
      <c r="F22" s="9" t="inlineStr"/>
      <c r="G22" s="9" t="n">
        <v>64.22</v>
      </c>
      <c r="H22" s="9" t="n">
        <v>64.27</v>
      </c>
      <c r="I22" s="9" t="n">
        <v>62.85</v>
      </c>
      <c r="J22" s="9" t="n">
        <v>63.62</v>
      </c>
      <c r="K22" s="9" t="n">
        <v>63.62</v>
      </c>
      <c r="L22" s="9" t="n">
        <v>23439900</v>
      </c>
      <c r="M22" s="9" t="inlineStr"/>
      <c r="N22" s="9" t="n">
        <v>373.89</v>
      </c>
      <c r="O22" s="9" t="n">
        <v>375.53</v>
      </c>
      <c r="P22" s="9" t="n">
        <v>372.91</v>
      </c>
      <c r="Q22" s="9" t="n">
        <v>374.63</v>
      </c>
      <c r="R22" s="9" t="n">
        <v>374.63</v>
      </c>
      <c r="S22" s="9" t="n">
        <v>3700000</v>
      </c>
      <c r="T22" s="9" t="inlineStr"/>
      <c r="U22" s="9" t="n">
        <v>79.34</v>
      </c>
      <c r="V22" s="9" t="n">
        <v>79.40000000000001</v>
      </c>
      <c r="W22" s="9" t="n">
        <v>79.23999999999999</v>
      </c>
      <c r="X22" s="9" t="n">
        <v>79.27</v>
      </c>
      <c r="Y22" s="9" t="n">
        <v>78.887</v>
      </c>
      <c r="Z22" s="9" t="n">
        <v>28939800</v>
      </c>
      <c r="AA22" s="9" t="inlineStr"/>
      <c r="AB22" s="9" t="n">
        <v>107.57</v>
      </c>
      <c r="AC22" s="9" t="n">
        <v>107.63</v>
      </c>
      <c r="AD22" s="9" t="n">
        <v>107.39</v>
      </c>
      <c r="AE22" s="9" t="n">
        <v>107.39</v>
      </c>
      <c r="AF22" s="9" t="n">
        <v>106.6077</v>
      </c>
      <c r="AG22" s="9" t="n">
        <v>1262000</v>
      </c>
      <c r="AH22" s="9" t="inlineStr"/>
      <c r="AI22" s="9" t="n">
        <v>56.76</v>
      </c>
      <c r="AJ22" s="9" t="n">
        <v>57.13</v>
      </c>
      <c r="AK22" s="9" t="n">
        <v>56.59</v>
      </c>
      <c r="AL22" s="9" t="n">
        <v>56.88</v>
      </c>
      <c r="AM22" s="9" t="n">
        <v>56.88</v>
      </c>
      <c r="AN22" s="9" t="n">
        <v>29805900</v>
      </c>
      <c r="AO22" s="9" t="inlineStr"/>
      <c r="AP22" s="9" t="n">
        <v>56.04</v>
      </c>
      <c r="AQ22" s="9" t="n">
        <v>56.09</v>
      </c>
      <c r="AR22" s="9" t="n">
        <v>56.01</v>
      </c>
      <c r="AS22" s="9" t="n">
        <v>56.01</v>
      </c>
      <c r="AT22" s="9" t="n">
        <v>56.01</v>
      </c>
      <c r="AU22" s="9" t="n">
        <v>359200</v>
      </c>
      <c r="AV22" s="9" t="inlineStr"/>
      <c r="AW22" s="9" t="n">
        <v>76.20999999999999</v>
      </c>
      <c r="AX22" s="9" t="n">
        <v>76.56</v>
      </c>
      <c r="AY22" s="9" t="n">
        <v>74.25</v>
      </c>
      <c r="AZ22" s="9" t="n">
        <v>75.73</v>
      </c>
      <c r="BA22" s="9" t="n">
        <v>75.73</v>
      </c>
      <c r="BB22" s="9" t="n">
        <v>11401200</v>
      </c>
      <c r="BC22" s="9" t="inlineStr"/>
      <c r="BD22" s="9" t="n">
        <v>107.52</v>
      </c>
      <c r="BE22" s="9" t="n">
        <v>108.54</v>
      </c>
      <c r="BF22" s="9" t="n">
        <v>107.44</v>
      </c>
      <c r="BG22" s="9" t="n">
        <v>107.66</v>
      </c>
      <c r="BH22" s="9" t="n">
        <v>107.66</v>
      </c>
      <c r="BI22" s="9" t="n">
        <v>6668500</v>
      </c>
      <c r="BJ22" s="9" t="inlineStr"/>
      <c r="BK22" s="10">
        <f>IF(COUNT(K22:K23)=2,ROUND((K22/K23-1)*100,4),"")</f>
        <v/>
      </c>
      <c r="BL22" s="10">
        <f>IF(COUNT(R22:R23)=2,ROUND((R22/R23-1)*100,4),"")</f>
        <v/>
      </c>
      <c r="BM22" s="10">
        <f>IF(COUNT(Y22:Y23)=2,ROUND((Y22/Y23-1)*100,4),"")</f>
        <v/>
      </c>
      <c r="BN22" s="10">
        <f>IF(COUNT(AF22:AF23)=2,ROUND((AF22/AF23-1)*100,4),"")</f>
        <v/>
      </c>
      <c r="BO22" s="10">
        <f>IF(COUNT(AM22:AM23)=2,ROUND((AM22/AM23-1)*100,4),"")</f>
        <v/>
      </c>
      <c r="BP22" s="10">
        <f>IF(COUNT(AT22:AT23)=2,ROUND((AT22/AT23-1)*100,4),"")</f>
        <v/>
      </c>
      <c r="BQ22" s="10">
        <f>IF(COUNT(BA22:BA23)=2,ROUND((BA22/BA23-1)*100,4),"")</f>
        <v/>
      </c>
      <c r="BR22" s="10">
        <f>IF(COUNT(BH22:BH23)=2,ROUND((BH22/BH23-1)*100,4),"")</f>
        <v/>
      </c>
      <c r="BS22" s="9" t="inlineStr"/>
      <c r="BT22" s="9" t="n">
        <v>18.67</v>
      </c>
      <c r="BU22" s="10">
        <f>IF(COUNT(BT22:BT23)=2,ROUND((BT22/BT23-1)*100,4),"")</f>
        <v/>
      </c>
      <c r="BV22" s="10" t="n">
        <v>0.4844</v>
      </c>
      <c r="BW22" s="9" t="inlineStr"/>
      <c r="BX22" s="10">
        <f>IF(AND(BV22&gt;$BX$12,D22&lt;=$BX$13),D21,"")</f>
        <v/>
      </c>
      <c r="BY22" s="10">
        <f>IF(AND(BM22&lt;$BY$12,BN22&gt;$BY$13),D21,"")</f>
        <v/>
      </c>
      <c r="BZ22" s="10">
        <f>IF(AND(BK22&gt;$BZ$12,BL22&lt;$BZ$13,BM22&gt;$BZ$11),D21,"")</f>
        <v/>
      </c>
      <c r="CA22" s="10">
        <f>IF(BX22&lt;&gt;"",BX22,IF(BY22&lt;&gt;"",BY22,BZ22))</f>
        <v/>
      </c>
      <c r="CB22" s="10">
        <f>IF(AND(BQ22&gt;$CB$12,BR22&lt;$CB$13),E21,"")</f>
        <v/>
      </c>
      <c r="CC22" s="10">
        <f>IF(AND(BO22&lt;=$CC$12,E22&lt;$CC$13),E21,"")</f>
        <v/>
      </c>
      <c r="CD22" s="10">
        <f>IF(AND(BP22&gt;$CD$12,BQ22&gt;$CD$13),E21,"")</f>
        <v/>
      </c>
      <c r="CE22" s="10">
        <f>IF(CB22&lt;&gt;"",CB22,IF(CC22&lt;&gt;"",CC22,CD22))</f>
        <v/>
      </c>
    </row>
    <row r="23">
      <c r="A23" s="9" t="inlineStr">
        <is>
          <t>2026/07/24</t>
        </is>
      </c>
      <c r="B23" s="9" t="n">
        <v>147.47</v>
      </c>
      <c r="C23" s="9" t="n">
        <v>178.56</v>
      </c>
      <c r="D23" s="10">
        <f>IF(COUNT(B23:B24)=2,ROUND((B23/B24-1)*100,4),"")</f>
        <v/>
      </c>
      <c r="E23" s="10">
        <f>IF(COUNT(C23:C24)=2,ROUND((C23/C24-1)*100,4),"")</f>
        <v/>
      </c>
      <c r="F23" s="9" t="inlineStr"/>
      <c r="G23" s="9" t="n">
        <v>63.95</v>
      </c>
      <c r="H23" s="9" t="n">
        <v>64.15000000000001</v>
      </c>
      <c r="I23" s="9" t="n">
        <v>63.25</v>
      </c>
      <c r="J23" s="9" t="n">
        <v>63.33</v>
      </c>
      <c r="K23" s="9" t="n">
        <v>63.33</v>
      </c>
      <c r="L23" s="9" t="n">
        <v>20525600</v>
      </c>
      <c r="M23" s="9" t="inlineStr"/>
      <c r="N23" s="9" t="n">
        <v>371.26</v>
      </c>
      <c r="O23" s="9" t="n">
        <v>374.49</v>
      </c>
      <c r="P23" s="9" t="n">
        <v>371.03</v>
      </c>
      <c r="Q23" s="9" t="n">
        <v>371.9</v>
      </c>
      <c r="R23" s="9" t="n">
        <v>371.9</v>
      </c>
      <c r="S23" s="9" t="n">
        <v>3852400</v>
      </c>
      <c r="T23" s="9" t="inlineStr"/>
      <c r="U23" s="9" t="n">
        <v>79.25</v>
      </c>
      <c r="V23" s="9" t="n">
        <v>79.31</v>
      </c>
      <c r="W23" s="9" t="n">
        <v>79.16</v>
      </c>
      <c r="X23" s="9" t="n">
        <v>79.23</v>
      </c>
      <c r="Y23" s="9" t="n">
        <v>78.8472</v>
      </c>
      <c r="Z23" s="9" t="n">
        <v>41964600</v>
      </c>
      <c r="AA23" s="9" t="inlineStr"/>
      <c r="AB23" s="9" t="n">
        <v>107.55</v>
      </c>
      <c r="AC23" s="9" t="n">
        <v>107.74</v>
      </c>
      <c r="AD23" s="9" t="n">
        <v>107.5</v>
      </c>
      <c r="AE23" s="9" t="n">
        <v>107.5</v>
      </c>
      <c r="AF23" s="9" t="n">
        <v>106.7169</v>
      </c>
      <c r="AG23" s="9" t="n">
        <v>1220700</v>
      </c>
      <c r="AH23" s="9" t="inlineStr"/>
      <c r="AI23" s="9" t="n">
        <v>55.83</v>
      </c>
      <c r="AJ23" s="9" t="n">
        <v>56.38</v>
      </c>
      <c r="AK23" s="9" t="n">
        <v>55.69</v>
      </c>
      <c r="AL23" s="9" t="n">
        <v>56.31</v>
      </c>
      <c r="AM23" s="9" t="n">
        <v>56.31</v>
      </c>
      <c r="AN23" s="9" t="n">
        <v>32212900</v>
      </c>
      <c r="AO23" s="9" t="inlineStr"/>
      <c r="AP23" s="9" t="n">
        <v>56</v>
      </c>
      <c r="AQ23" s="9" t="n">
        <v>56.08</v>
      </c>
      <c r="AR23" s="9" t="n">
        <v>56</v>
      </c>
      <c r="AS23" s="9" t="n">
        <v>56.04</v>
      </c>
      <c r="AT23" s="9" t="n">
        <v>56.04</v>
      </c>
      <c r="AU23" s="9" t="n">
        <v>104100</v>
      </c>
      <c r="AV23" s="9" t="inlineStr"/>
      <c r="AW23" s="9" t="n">
        <v>75.5</v>
      </c>
      <c r="AX23" s="9" t="n">
        <v>76.48</v>
      </c>
      <c r="AY23" s="9" t="n">
        <v>74.62</v>
      </c>
      <c r="AZ23" s="9" t="n">
        <v>75.23</v>
      </c>
      <c r="BA23" s="9" t="n">
        <v>75.23</v>
      </c>
      <c r="BB23" s="9" t="n">
        <v>10693600</v>
      </c>
      <c r="BC23" s="9" t="inlineStr"/>
      <c r="BD23" s="9" t="n">
        <v>105.295</v>
      </c>
      <c r="BE23" s="9" t="n">
        <v>106.95</v>
      </c>
      <c r="BF23" s="9" t="n">
        <v>105.295</v>
      </c>
      <c r="BG23" s="9" t="n">
        <v>106.3</v>
      </c>
      <c r="BH23" s="9" t="n">
        <v>106.3</v>
      </c>
      <c r="BI23" s="9" t="n">
        <v>6151900</v>
      </c>
      <c r="BJ23" s="9" t="inlineStr"/>
      <c r="BK23" s="10">
        <f>IF(COUNT(K23:K24)=2,ROUND((K23/K24-1)*100,4),"")</f>
        <v/>
      </c>
      <c r="BL23" s="10">
        <f>IF(COUNT(R23:R24)=2,ROUND((R23/R24-1)*100,4),"")</f>
        <v/>
      </c>
      <c r="BM23" s="10">
        <f>IF(COUNT(Y23:Y24)=2,ROUND((Y23/Y24-1)*100,4),"")</f>
        <v/>
      </c>
      <c r="BN23" s="10">
        <f>IF(COUNT(AF23:AF24)=2,ROUND((AF23/AF24-1)*100,4),"")</f>
        <v/>
      </c>
      <c r="BO23" s="10">
        <f>IF(COUNT(AM23:AM24)=2,ROUND((AM23/AM24-1)*100,4),"")</f>
        <v/>
      </c>
      <c r="BP23" s="10">
        <f>IF(COUNT(AT23:AT24)=2,ROUND((AT23/AT24-1)*100,4),"")</f>
        <v/>
      </c>
      <c r="BQ23" s="10">
        <f>IF(COUNT(BA23:BA24)=2,ROUND((BA23/BA24-1)*100,4),"")</f>
        <v/>
      </c>
      <c r="BR23" s="10">
        <f>IF(COUNT(BH23:BH24)=2,ROUND((BH23/BH24-1)*100,4),"")</f>
        <v/>
      </c>
      <c r="BS23" s="9" t="inlineStr"/>
      <c r="BT23" s="9" t="n">
        <v>18.58</v>
      </c>
      <c r="BU23" s="10">
        <f>IF(COUNT(BT23:BT24)=2,ROUND((BT23/BT24-1)*100,4),"")</f>
        <v/>
      </c>
      <c r="BV23" s="10" t="n">
        <v>-0.6417</v>
      </c>
      <c r="BW23" s="9" t="inlineStr"/>
      <c r="BX23" s="10">
        <f>IF(AND(BV23&gt;$BX$12,D23&lt;=$BX$13),D22,"")</f>
        <v/>
      </c>
      <c r="BY23" s="10">
        <f>IF(AND(BM23&lt;$BY$12,BN23&gt;$BY$13),D22,"")</f>
        <v/>
      </c>
      <c r="BZ23" s="10">
        <f>IF(AND(BK23&gt;$BZ$12,BL23&lt;$BZ$13,BM23&gt;$BZ$11),D22,"")</f>
        <v/>
      </c>
      <c r="CA23" s="10">
        <f>IF(BX23&lt;&gt;"",BX23,IF(BY23&lt;&gt;"",BY23,BZ23))</f>
        <v/>
      </c>
      <c r="CB23" s="10">
        <f>IF(AND(BQ23&gt;$CB$12,BR23&lt;$CB$13),E22,"")</f>
        <v/>
      </c>
      <c r="CC23" s="10">
        <f>IF(AND(BO23&lt;=$CC$12,E23&lt;$CC$13),E22,"")</f>
        <v/>
      </c>
      <c r="CD23" s="10">
        <f>IF(AND(BP23&gt;$CD$12,BQ23&gt;$CD$13),E22,"")</f>
        <v/>
      </c>
      <c r="CE23" s="10">
        <f>IF(CB23&lt;&gt;"",CB23,IF(CC23&lt;&gt;"",CC23,CD23))</f>
        <v/>
      </c>
    </row>
    <row r="24">
      <c r="A24" s="9" t="inlineStr">
        <is>
          <t>2026/07/23</t>
        </is>
      </c>
      <c r="B24" s="9" t="n">
        <v>150.94</v>
      </c>
      <c r="C24" s="9" t="n">
        <v>178.37</v>
      </c>
      <c r="D24" s="10">
        <f>IF(COUNT(B24:B25)=2,ROUND((B24/B25-1)*100,4),"")</f>
        <v/>
      </c>
      <c r="E24" s="10">
        <f>IF(COUNT(C24:C25)=2,ROUND((C24/C25-1)*100,4),"")</f>
        <v/>
      </c>
      <c r="F24" s="9" t="inlineStr"/>
      <c r="G24" s="9" t="n">
        <v>64.48999999999999</v>
      </c>
      <c r="H24" s="9" t="n">
        <v>65.04000000000001</v>
      </c>
      <c r="I24" s="9" t="n">
        <v>63.99</v>
      </c>
      <c r="J24" s="9" t="n">
        <v>64.59999999999999</v>
      </c>
      <c r="K24" s="9" t="n">
        <v>64.59999999999999</v>
      </c>
      <c r="L24" s="9" t="n">
        <v>13003300</v>
      </c>
      <c r="M24" s="9" t="inlineStr"/>
      <c r="N24" s="9" t="n">
        <v>372.36</v>
      </c>
      <c r="O24" s="9" t="n">
        <v>373.09</v>
      </c>
      <c r="P24" s="9" t="n">
        <v>370.53</v>
      </c>
      <c r="Q24" s="9" t="n">
        <v>371.52</v>
      </c>
      <c r="R24" s="9" t="n">
        <v>371.52</v>
      </c>
      <c r="S24" s="9" t="n">
        <v>9820600</v>
      </c>
      <c r="T24" s="9" t="inlineStr"/>
      <c r="U24" s="9" t="n">
        <v>79.28</v>
      </c>
      <c r="V24" s="9" t="n">
        <v>79.37</v>
      </c>
      <c r="W24" s="9" t="n">
        <v>79.15000000000001</v>
      </c>
      <c r="X24" s="9" t="n">
        <v>79.23</v>
      </c>
      <c r="Y24" s="9" t="n">
        <v>78.8472</v>
      </c>
      <c r="Z24" s="9" t="n">
        <v>52554200</v>
      </c>
      <c r="AA24" s="9" t="inlineStr"/>
      <c r="AB24" s="9" t="n">
        <v>107.54</v>
      </c>
      <c r="AC24" s="9" t="n">
        <v>107.65</v>
      </c>
      <c r="AD24" s="9" t="n">
        <v>107.48</v>
      </c>
      <c r="AE24" s="9" t="n">
        <v>107.49</v>
      </c>
      <c r="AF24" s="9" t="n">
        <v>106.707</v>
      </c>
      <c r="AG24" s="9" t="n">
        <v>2261200</v>
      </c>
      <c r="AH24" s="9" t="inlineStr"/>
      <c r="AI24" s="9" t="n">
        <v>55.68</v>
      </c>
      <c r="AJ24" s="9" t="n">
        <v>55.86</v>
      </c>
      <c r="AK24" s="9" t="n">
        <v>55.45</v>
      </c>
      <c r="AL24" s="9" t="n">
        <v>55.83</v>
      </c>
      <c r="AM24" s="9" t="n">
        <v>55.83</v>
      </c>
      <c r="AN24" s="9" t="n">
        <v>24311000</v>
      </c>
      <c r="AO24" s="9" t="inlineStr"/>
      <c r="AP24" s="9" t="n">
        <v>56.04</v>
      </c>
      <c r="AQ24" s="9" t="n">
        <v>56.07</v>
      </c>
      <c r="AR24" s="9" t="n">
        <v>55.96</v>
      </c>
      <c r="AS24" s="9" t="n">
        <v>56.01</v>
      </c>
      <c r="AT24" s="9" t="n">
        <v>56.01</v>
      </c>
      <c r="AU24" s="9" t="n">
        <v>588200</v>
      </c>
      <c r="AV24" s="9" t="inlineStr"/>
      <c r="AW24" s="9" t="n">
        <v>74.44</v>
      </c>
      <c r="AX24" s="9" t="n">
        <v>75.36</v>
      </c>
      <c r="AY24" s="9" t="n">
        <v>73.84999999999999</v>
      </c>
      <c r="AZ24" s="9" t="n">
        <v>75.02</v>
      </c>
      <c r="BA24" s="9" t="n">
        <v>75.02</v>
      </c>
      <c r="BB24" s="9" t="n">
        <v>16371400</v>
      </c>
      <c r="BC24" s="9" t="inlineStr"/>
      <c r="BD24" s="9" t="n">
        <v>106.96</v>
      </c>
      <c r="BE24" s="9" t="n">
        <v>106.96</v>
      </c>
      <c r="BF24" s="9" t="n">
        <v>105.255</v>
      </c>
      <c r="BG24" s="9" t="n">
        <v>105.38</v>
      </c>
      <c r="BH24" s="9" t="n">
        <v>105.38</v>
      </c>
      <c r="BI24" s="9" t="n">
        <v>12517500</v>
      </c>
      <c r="BJ24" s="9" t="inlineStr"/>
      <c r="BK24" s="10">
        <f>IF(COUNT(K24:K25)=2,ROUND((K24/K25-1)*100,4),"")</f>
        <v/>
      </c>
      <c r="BL24" s="10">
        <f>IF(COUNT(R24:R25)=2,ROUND((R24/R25-1)*100,4),"")</f>
        <v/>
      </c>
      <c r="BM24" s="10">
        <f>IF(COUNT(Y24:Y25)=2,ROUND((Y24/Y25-1)*100,4),"")</f>
        <v/>
      </c>
      <c r="BN24" s="10">
        <f>IF(COUNT(AF24:AF25)=2,ROUND((AF24/AF25-1)*100,4),"")</f>
        <v/>
      </c>
      <c r="BO24" s="10">
        <f>IF(COUNT(AM24:AM25)=2,ROUND((AM24/AM25-1)*100,4),"")</f>
        <v/>
      </c>
      <c r="BP24" s="10">
        <f>IF(COUNT(AT24:AT25)=2,ROUND((AT24/AT25-1)*100,4),"")</f>
        <v/>
      </c>
      <c r="BQ24" s="10">
        <f>IF(COUNT(BA24:BA25)=2,ROUND((BA24/BA25-1)*100,4),"")</f>
        <v/>
      </c>
      <c r="BR24" s="10">
        <f>IF(COUNT(BH24:BH25)=2,ROUND((BH24/BH25-1)*100,4),"")</f>
        <v/>
      </c>
      <c r="BS24" s="9" t="inlineStr"/>
      <c r="BT24" s="9" t="n">
        <v>18.7</v>
      </c>
      <c r="BU24" s="10">
        <f>IF(COUNT(BT24:BT25)=2,ROUND((BT24/BT25-1)*100,4),"")</f>
        <v/>
      </c>
      <c r="BV24" s="10" t="n">
        <v>12.3798</v>
      </c>
      <c r="BW24" s="9" t="inlineStr"/>
      <c r="BX24" s="10">
        <f>IF(AND(BV24&gt;$BX$12,D24&lt;=$BX$13),D23,"")</f>
        <v/>
      </c>
      <c r="BY24" s="10">
        <f>IF(AND(BM24&lt;$BY$12,BN24&gt;$BY$13),D23,"")</f>
        <v/>
      </c>
      <c r="BZ24" s="10">
        <f>IF(AND(BK24&gt;$BZ$12,BL24&lt;$BZ$13,BM24&gt;$BZ$11),D23,"")</f>
        <v/>
      </c>
      <c r="CA24" s="10">
        <f>IF(BX24&lt;&gt;"",BX24,IF(BY24&lt;&gt;"",BY24,BZ24))</f>
        <v/>
      </c>
      <c r="CB24" s="10">
        <f>IF(AND(BQ24&gt;$CB$12,BR24&lt;$CB$13),E23,"")</f>
        <v/>
      </c>
      <c r="CC24" s="10">
        <f>IF(AND(BO24&lt;=$CC$12,E24&lt;$CC$13),E23,"")</f>
        <v/>
      </c>
      <c r="CD24" s="10">
        <f>IF(AND(BP24&gt;$CD$12,BQ24&gt;$CD$13),E23,"")</f>
        <v/>
      </c>
      <c r="CE24" s="10">
        <f>IF(CB24&lt;&gt;"",CB24,IF(CC24&lt;&gt;"",CC24,CD24))</f>
        <v/>
      </c>
    </row>
    <row r="25">
      <c r="A25" s="9" t="inlineStr">
        <is>
          <t>2026/07/22</t>
        </is>
      </c>
      <c r="B25" s="9" t="n">
        <v>156.87</v>
      </c>
      <c r="C25" s="9" t="n">
        <v>182.85</v>
      </c>
      <c r="D25" s="10">
        <f>IF(COUNT(B25:B26)=2,ROUND((B25/B26-1)*100,4),"")</f>
        <v/>
      </c>
      <c r="E25" s="10">
        <f>IF(COUNT(C25:C26)=2,ROUND((C25/C26-1)*100,4),"")</f>
        <v/>
      </c>
      <c r="F25" s="9" t="inlineStr"/>
      <c r="G25" s="9" t="n">
        <v>64.64</v>
      </c>
      <c r="H25" s="9" t="n">
        <v>65.19</v>
      </c>
      <c r="I25" s="9" t="n">
        <v>64.63</v>
      </c>
      <c r="J25" s="9" t="n">
        <v>64.98999999999999</v>
      </c>
      <c r="K25" s="9" t="n">
        <v>64.98999999999999</v>
      </c>
      <c r="L25" s="9" t="n">
        <v>13399800</v>
      </c>
      <c r="M25" s="9" t="inlineStr"/>
      <c r="N25" s="9" t="n">
        <v>379.07</v>
      </c>
      <c r="O25" s="9" t="n">
        <v>382.22</v>
      </c>
      <c r="P25" s="9" t="n">
        <v>378.83</v>
      </c>
      <c r="Q25" s="9" t="n">
        <v>379.12</v>
      </c>
      <c r="R25" s="9" t="n">
        <v>379.12</v>
      </c>
      <c r="S25" s="9" t="n">
        <v>7115100</v>
      </c>
      <c r="T25" s="9" t="inlineStr"/>
      <c r="U25" s="9" t="n">
        <v>79.61</v>
      </c>
      <c r="V25" s="9" t="n">
        <v>79.65000000000001</v>
      </c>
      <c r="W25" s="9" t="n">
        <v>79.48</v>
      </c>
      <c r="X25" s="9" t="n">
        <v>79.52</v>
      </c>
      <c r="Y25" s="9" t="n">
        <v>79.1358</v>
      </c>
      <c r="Z25" s="9" t="n">
        <v>24851700</v>
      </c>
      <c r="AA25" s="9" t="inlineStr"/>
      <c r="AB25" s="9" t="n">
        <v>107.95</v>
      </c>
      <c r="AC25" s="9" t="n">
        <v>107.96</v>
      </c>
      <c r="AD25" s="9" t="n">
        <v>107.76</v>
      </c>
      <c r="AE25" s="9" t="n">
        <v>107.77</v>
      </c>
      <c r="AF25" s="9" t="n">
        <v>106.985</v>
      </c>
      <c r="AG25" s="9" t="n">
        <v>1743300</v>
      </c>
      <c r="AH25" s="9" t="inlineStr"/>
      <c r="AI25" s="9" t="n">
        <v>56.14</v>
      </c>
      <c r="AJ25" s="9" t="n">
        <v>56.28</v>
      </c>
      <c r="AK25" s="9" t="n">
        <v>55.91</v>
      </c>
      <c r="AL25" s="9" t="n">
        <v>56.05</v>
      </c>
      <c r="AM25" s="9" t="n">
        <v>56.05</v>
      </c>
      <c r="AN25" s="9" t="n">
        <v>25430900</v>
      </c>
      <c r="AO25" s="9" t="inlineStr"/>
      <c r="AP25" s="9" t="n">
        <v>56.28</v>
      </c>
      <c r="AQ25" s="9" t="n">
        <v>56.29</v>
      </c>
      <c r="AR25" s="9" t="n">
        <v>56.22</v>
      </c>
      <c r="AS25" s="9" t="n">
        <v>56.23</v>
      </c>
      <c r="AT25" s="9" t="n">
        <v>56.23</v>
      </c>
      <c r="AU25" s="9" t="n">
        <v>194400</v>
      </c>
      <c r="AV25" s="9" t="inlineStr"/>
      <c r="AW25" s="9" t="n">
        <v>75.92</v>
      </c>
      <c r="AX25" s="9" t="n">
        <v>77.98999999999999</v>
      </c>
      <c r="AY25" s="9" t="n">
        <v>75.92</v>
      </c>
      <c r="AZ25" s="9" t="n">
        <v>76.68000000000001</v>
      </c>
      <c r="BA25" s="9" t="n">
        <v>76.68000000000001</v>
      </c>
      <c r="BB25" s="9" t="n">
        <v>20428100</v>
      </c>
      <c r="BC25" s="9" t="inlineStr"/>
      <c r="BD25" s="9" t="n">
        <v>110.91</v>
      </c>
      <c r="BE25" s="9" t="n">
        <v>111.105</v>
      </c>
      <c r="BF25" s="9" t="n">
        <v>109.16</v>
      </c>
      <c r="BG25" s="9" t="n">
        <v>109.2</v>
      </c>
      <c r="BH25" s="9" t="n">
        <v>109.2</v>
      </c>
      <c r="BI25" s="9" t="n">
        <v>3998500</v>
      </c>
      <c r="BJ25" s="9" t="inlineStr"/>
      <c r="BK25" s="10">
        <f>IF(COUNT(K25:K26)=2,ROUND((K25/K26-1)*100,4),"")</f>
        <v/>
      </c>
      <c r="BL25" s="10">
        <f>IF(COUNT(R25:R26)=2,ROUND((R25/R26-1)*100,4),"")</f>
        <v/>
      </c>
      <c r="BM25" s="10">
        <f>IF(COUNT(Y25:Y26)=2,ROUND((Y25/Y26-1)*100,4),"")</f>
        <v/>
      </c>
      <c r="BN25" s="10">
        <f>IF(COUNT(AF25:AF26)=2,ROUND((AF25/AF26-1)*100,4),"")</f>
        <v/>
      </c>
      <c r="BO25" s="10">
        <f>IF(COUNT(AM25:AM26)=2,ROUND((AM25/AM26-1)*100,4),"")</f>
        <v/>
      </c>
      <c r="BP25" s="10">
        <f>IF(COUNT(AT25:AT26)=2,ROUND((AT25/AT26-1)*100,4),"")</f>
        <v/>
      </c>
      <c r="BQ25" s="10">
        <f>IF(COUNT(BA25:BA26)=2,ROUND((BA25/BA26-1)*100,4),"")</f>
        <v/>
      </c>
      <c r="BR25" s="10">
        <f>IF(COUNT(BH25:BH26)=2,ROUND((BH25/BH26-1)*100,4),"")</f>
        <v/>
      </c>
      <c r="BS25" s="9" t="inlineStr"/>
      <c r="BT25" s="9" t="n">
        <v>16.64</v>
      </c>
      <c r="BU25" s="10">
        <f>IF(COUNT(BT25:BT26)=2,ROUND((BT25/BT26-1)*100,4),"")</f>
        <v/>
      </c>
      <c r="BV25" s="10" t="n">
        <v>-2.4047</v>
      </c>
      <c r="BW25" s="9" t="inlineStr"/>
      <c r="BX25" s="10">
        <f>IF(AND(BV25&gt;$BX$12,D25&lt;=$BX$13),D24,"")</f>
        <v/>
      </c>
      <c r="BY25" s="10">
        <f>IF(AND(BM25&lt;$BY$12,BN25&gt;$BY$13),D24,"")</f>
        <v/>
      </c>
      <c r="BZ25" s="10">
        <f>IF(AND(BK25&gt;$BZ$12,BL25&lt;$BZ$13,BM25&gt;$BZ$11),D24,"")</f>
        <v/>
      </c>
      <c r="CA25" s="10">
        <f>IF(BX25&lt;&gt;"",BX25,IF(BY25&lt;&gt;"",BY25,BZ25))</f>
        <v/>
      </c>
      <c r="CB25" s="10">
        <f>IF(AND(BQ25&gt;$CB$12,BR25&lt;$CB$13),E24,"")</f>
        <v/>
      </c>
      <c r="CC25" s="10">
        <f>IF(AND(BO25&lt;=$CC$12,E25&lt;$CC$13),E24,"")</f>
        <v/>
      </c>
      <c r="CD25" s="10">
        <f>IF(AND(BP25&gt;$CD$12,BQ25&gt;$CD$13),E24,"")</f>
        <v/>
      </c>
      <c r="CE25" s="10">
        <f>IF(CB25&lt;&gt;"",CB25,IF(CC25&lt;&gt;"",CC25,CD25))</f>
        <v/>
      </c>
    </row>
    <row r="26">
      <c r="A26" s="9" t="inlineStr">
        <is>
          <t>2026/07/21</t>
        </is>
      </c>
      <c r="B26" s="9" t="n">
        <v>158.58</v>
      </c>
      <c r="C26" s="9" t="n">
        <v>183.34</v>
      </c>
      <c r="D26" s="10">
        <f>IF(COUNT(B26:B27)=2,ROUND((B26/B27-1)*100,4),"")</f>
        <v/>
      </c>
      <c r="E26" s="10">
        <f>IF(COUNT(C26:C27)=2,ROUND((C26/C27-1)*100,4),"")</f>
        <v/>
      </c>
      <c r="F26" s="9" t="inlineStr"/>
      <c r="G26" s="9" t="n">
        <v>65.12</v>
      </c>
      <c r="H26" s="9" t="n">
        <v>65.5</v>
      </c>
      <c r="I26" s="9" t="n">
        <v>64.81999999999999</v>
      </c>
      <c r="J26" s="9" t="n">
        <v>65.34</v>
      </c>
      <c r="K26" s="9" t="n">
        <v>65.34</v>
      </c>
      <c r="L26" s="9" t="n">
        <v>20839300</v>
      </c>
      <c r="M26" s="9" t="inlineStr"/>
      <c r="N26" s="9" t="n">
        <v>371.7</v>
      </c>
      <c r="O26" s="9" t="n">
        <v>375.01</v>
      </c>
      <c r="P26" s="9" t="n">
        <v>371.07</v>
      </c>
      <c r="Q26" s="9" t="n">
        <v>374.81</v>
      </c>
      <c r="R26" s="9" t="n">
        <v>374.81</v>
      </c>
      <c r="S26" s="9" t="n">
        <v>6070600</v>
      </c>
      <c r="T26" s="9" t="inlineStr"/>
      <c r="U26" s="9" t="n">
        <v>79.72</v>
      </c>
      <c r="V26" s="9" t="n">
        <v>79.73999999999999</v>
      </c>
      <c r="W26" s="9" t="n">
        <v>79.59999999999999</v>
      </c>
      <c r="X26" s="9" t="n">
        <v>79.65000000000001</v>
      </c>
      <c r="Y26" s="9" t="n">
        <v>79.26519999999999</v>
      </c>
      <c r="Z26" s="9" t="n">
        <v>27198800</v>
      </c>
      <c r="AA26" s="9" t="inlineStr"/>
      <c r="AB26" s="9" t="n">
        <v>108</v>
      </c>
      <c r="AC26" s="9" t="n">
        <v>108.01</v>
      </c>
      <c r="AD26" s="9" t="n">
        <v>107.84</v>
      </c>
      <c r="AE26" s="9" t="n">
        <v>107.88</v>
      </c>
      <c r="AF26" s="9" t="n">
        <v>107.0942</v>
      </c>
      <c r="AG26" s="9" t="n">
        <v>1487900</v>
      </c>
      <c r="AH26" s="9" t="inlineStr"/>
      <c r="AI26" s="9" t="n">
        <v>55.99</v>
      </c>
      <c r="AJ26" s="9" t="n">
        <v>56.34</v>
      </c>
      <c r="AK26" s="9" t="n">
        <v>55.72</v>
      </c>
      <c r="AL26" s="9" t="n">
        <v>56.11</v>
      </c>
      <c r="AM26" s="9" t="n">
        <v>56.11</v>
      </c>
      <c r="AN26" s="9" t="n">
        <v>26399000</v>
      </c>
      <c r="AO26" s="9" t="inlineStr"/>
      <c r="AP26" s="9" t="n">
        <v>56.35</v>
      </c>
      <c r="AQ26" s="9" t="n">
        <v>56.35</v>
      </c>
      <c r="AR26" s="9" t="n">
        <v>56.21</v>
      </c>
      <c r="AS26" s="9" t="n">
        <v>56.22</v>
      </c>
      <c r="AT26" s="9" t="n">
        <v>56.22</v>
      </c>
      <c r="AU26" s="9" t="n">
        <v>218900</v>
      </c>
      <c r="AV26" s="9" t="inlineStr"/>
      <c r="AW26" s="9" t="n">
        <v>72.44</v>
      </c>
      <c r="AX26" s="9" t="n">
        <v>74.23</v>
      </c>
      <c r="AY26" s="9" t="n">
        <v>72.11</v>
      </c>
      <c r="AZ26" s="9" t="n">
        <v>74.19</v>
      </c>
      <c r="BA26" s="9" t="n">
        <v>74.19</v>
      </c>
      <c r="BB26" s="9" t="n">
        <v>18735200</v>
      </c>
      <c r="BC26" s="9" t="inlineStr"/>
      <c r="BD26" s="9" t="n">
        <v>110.53</v>
      </c>
      <c r="BE26" s="9" t="n">
        <v>110.62</v>
      </c>
      <c r="BF26" s="9" t="n">
        <v>109.99</v>
      </c>
      <c r="BG26" s="9" t="n">
        <v>110.03</v>
      </c>
      <c r="BH26" s="9" t="n">
        <v>110.03</v>
      </c>
      <c r="BI26" s="9" t="n">
        <v>3944800</v>
      </c>
      <c r="BJ26" s="9" t="inlineStr"/>
      <c r="BK26" s="10">
        <f>IF(COUNT(K26:K27)=2,ROUND((K26/K27-1)*100,4),"")</f>
        <v/>
      </c>
      <c r="BL26" s="10">
        <f>IF(COUNT(R26:R27)=2,ROUND((R26/R27-1)*100,4),"")</f>
        <v/>
      </c>
      <c r="BM26" s="10">
        <f>IF(COUNT(Y26:Y27)=2,ROUND((Y26/Y27-1)*100,4),"")</f>
        <v/>
      </c>
      <c r="BN26" s="10">
        <f>IF(COUNT(AF26:AF27)=2,ROUND((AF26/AF27-1)*100,4),"")</f>
        <v/>
      </c>
      <c r="BO26" s="10">
        <f>IF(COUNT(AM26:AM27)=2,ROUND((AM26/AM27-1)*100,4),"")</f>
        <v/>
      </c>
      <c r="BP26" s="10">
        <f>IF(COUNT(AT26:AT27)=2,ROUND((AT26/AT27-1)*100,4),"")</f>
        <v/>
      </c>
      <c r="BQ26" s="10">
        <f>IF(COUNT(BA26:BA27)=2,ROUND((BA26/BA27-1)*100,4),"")</f>
        <v/>
      </c>
      <c r="BR26" s="10">
        <f>IF(COUNT(BH26:BH27)=2,ROUND((BH26/BH27-1)*100,4),"")</f>
        <v/>
      </c>
      <c r="BS26" s="9" t="inlineStr"/>
      <c r="BT26" s="9" t="n">
        <v>17.05</v>
      </c>
      <c r="BU26" s="10">
        <f>IF(COUNT(BT26:BT27)=2,ROUND((BT26/BT27-1)*100,4),"")</f>
        <v/>
      </c>
      <c r="BV26" s="10" t="n">
        <v>-8.5791</v>
      </c>
      <c r="BW26" s="9" t="inlineStr"/>
      <c r="BX26" s="10">
        <f>IF(AND(BV26&gt;$BX$12,D26&lt;=$BX$13),D25,"")</f>
        <v/>
      </c>
      <c r="BY26" s="10">
        <f>IF(AND(BM26&lt;$BY$12,BN26&gt;$BY$13),D25,"")</f>
        <v/>
      </c>
      <c r="BZ26" s="10">
        <f>IF(AND(BK26&gt;$BZ$12,BL26&lt;$BZ$13,BM26&gt;$BZ$11),D25,"")</f>
        <v/>
      </c>
      <c r="CA26" s="10">
        <f>IF(BX26&lt;&gt;"",BX26,IF(BY26&lt;&gt;"",BY26,BZ26))</f>
        <v/>
      </c>
      <c r="CB26" s="10">
        <f>IF(AND(BQ26&gt;$CB$12,BR26&lt;$CB$13),E25,"")</f>
        <v/>
      </c>
      <c r="CC26" s="10">
        <f>IF(AND(BO26&lt;=$CC$12,E26&lt;$CC$13),E25,"")</f>
        <v/>
      </c>
      <c r="CD26" s="10">
        <f>IF(AND(BP26&gt;$CD$12,BQ26&gt;$CD$13),E25,"")</f>
        <v/>
      </c>
      <c r="CE26" s="10">
        <f>IF(CB26&lt;&gt;"",CB26,IF(CC26&lt;&gt;"",CC26,CD26))</f>
        <v/>
      </c>
    </row>
    <row r="27">
      <c r="A27" s="9" t="inlineStr">
        <is>
          <t>2026/07/20</t>
        </is>
      </c>
      <c r="B27" s="9" t="n">
        <v>152.76</v>
      </c>
      <c r="C27" s="9" t="n">
        <v>180.23</v>
      </c>
      <c r="D27" s="10">
        <f>IF(COUNT(B27:B28)=2,ROUND((B27/B28-1)*100,4),"")</f>
        <v/>
      </c>
      <c r="E27" s="10">
        <f>IF(COUNT(C27:C28)=2,ROUND((C27/C28-1)*100,4),"")</f>
        <v/>
      </c>
      <c r="F27" s="9" t="inlineStr"/>
      <c r="G27" s="9" t="n">
        <v>64.04000000000001</v>
      </c>
      <c r="H27" s="9" t="n">
        <v>64.17</v>
      </c>
      <c r="I27" s="9" t="n">
        <v>63.48</v>
      </c>
      <c r="J27" s="9" t="n">
        <v>63.56</v>
      </c>
      <c r="K27" s="9" t="n">
        <v>63.56</v>
      </c>
      <c r="L27" s="9" t="n">
        <v>19269600</v>
      </c>
      <c r="M27" s="9" t="inlineStr"/>
      <c r="N27" s="9" t="n">
        <v>367.79</v>
      </c>
      <c r="O27" s="9" t="n">
        <v>368.79</v>
      </c>
      <c r="P27" s="9" t="n">
        <v>366.8</v>
      </c>
      <c r="Q27" s="9" t="n">
        <v>367.6</v>
      </c>
      <c r="R27" s="9" t="n">
        <v>367.6</v>
      </c>
      <c r="S27" s="9" t="n">
        <v>3922500</v>
      </c>
      <c r="T27" s="9" t="inlineStr"/>
      <c r="U27" s="9" t="n">
        <v>79.73999999999999</v>
      </c>
      <c r="V27" s="9" t="n">
        <v>79.77</v>
      </c>
      <c r="W27" s="9" t="n">
        <v>79.67</v>
      </c>
      <c r="X27" s="9" t="n">
        <v>79.68000000000001</v>
      </c>
      <c r="Y27" s="9" t="n">
        <v>79.295</v>
      </c>
      <c r="Z27" s="9" t="n">
        <v>19767900</v>
      </c>
      <c r="AA27" s="9" t="inlineStr"/>
      <c r="AB27" s="9" t="n">
        <v>108.19</v>
      </c>
      <c r="AC27" s="9" t="n">
        <v>108.22</v>
      </c>
      <c r="AD27" s="9" t="n">
        <v>108.01</v>
      </c>
      <c r="AE27" s="9" t="n">
        <v>108.05</v>
      </c>
      <c r="AF27" s="9" t="n">
        <v>107.2629</v>
      </c>
      <c r="AG27" s="9" t="n">
        <v>1010500</v>
      </c>
      <c r="AH27" s="9" t="inlineStr"/>
      <c r="AI27" s="9" t="n">
        <v>56.3</v>
      </c>
      <c r="AJ27" s="9" t="n">
        <v>56.38</v>
      </c>
      <c r="AK27" s="9" t="n">
        <v>55.89</v>
      </c>
      <c r="AL27" s="9" t="n">
        <v>56.04</v>
      </c>
      <c r="AM27" s="9" t="n">
        <v>56.04</v>
      </c>
      <c r="AN27" s="9" t="n">
        <v>38162600</v>
      </c>
      <c r="AO27" s="9" t="inlineStr"/>
      <c r="AP27" s="9" t="n">
        <v>56.47</v>
      </c>
      <c r="AQ27" s="9" t="n">
        <v>56.49</v>
      </c>
      <c r="AR27" s="9" t="n">
        <v>56.41</v>
      </c>
      <c r="AS27" s="9" t="n">
        <v>56.46</v>
      </c>
      <c r="AT27" s="9" t="n">
        <v>56.46</v>
      </c>
      <c r="AU27" s="9" t="n">
        <v>166300</v>
      </c>
      <c r="AV27" s="9" t="inlineStr"/>
      <c r="AW27" s="9" t="n">
        <v>71.14</v>
      </c>
      <c r="AX27" s="9" t="n">
        <v>71.61</v>
      </c>
      <c r="AY27" s="9" t="n">
        <v>70.52</v>
      </c>
      <c r="AZ27" s="9" t="n">
        <v>70.73999999999999</v>
      </c>
      <c r="BA27" s="9" t="n">
        <v>70.73999999999999</v>
      </c>
      <c r="BB27" s="9" t="n">
        <v>12353800</v>
      </c>
      <c r="BC27" s="9" t="inlineStr"/>
      <c r="BD27" s="9" t="n">
        <v>110.815</v>
      </c>
      <c r="BE27" s="9" t="n">
        <v>111.66</v>
      </c>
      <c r="BF27" s="9" t="n">
        <v>110.51</v>
      </c>
      <c r="BG27" s="9" t="n">
        <v>110.8</v>
      </c>
      <c r="BH27" s="9" t="n">
        <v>110.8</v>
      </c>
      <c r="BI27" s="9" t="n">
        <v>4011900</v>
      </c>
      <c r="BJ27" s="9" t="inlineStr"/>
      <c r="BK27" s="10">
        <f>IF(COUNT(K27:K28)=2,ROUND((K27/K28-1)*100,4),"")</f>
        <v/>
      </c>
      <c r="BL27" s="10">
        <f>IF(COUNT(R27:R28)=2,ROUND((R27/R28-1)*100,4),"")</f>
        <v/>
      </c>
      <c r="BM27" s="10">
        <f>IF(COUNT(Y27:Y28)=2,ROUND((Y27/Y28-1)*100,4),"")</f>
        <v/>
      </c>
      <c r="BN27" s="10">
        <f>IF(COUNT(AF27:AF28)=2,ROUND((AF27/AF28-1)*100,4),"")</f>
        <v/>
      </c>
      <c r="BO27" s="10">
        <f>IF(COUNT(AM27:AM28)=2,ROUND((AM27/AM28-1)*100,4),"")</f>
        <v/>
      </c>
      <c r="BP27" s="10">
        <f>IF(COUNT(AT27:AT28)=2,ROUND((AT27/AT28-1)*100,4),"")</f>
        <v/>
      </c>
      <c r="BQ27" s="10">
        <f>IF(COUNT(BA27:BA28)=2,ROUND((BA27/BA28-1)*100,4),"")</f>
        <v/>
      </c>
      <c r="BR27" s="10">
        <f>IF(COUNT(BH27:BH28)=2,ROUND((BH27/BH28-1)*100,4),"")</f>
        <v/>
      </c>
      <c r="BS27" s="9" t="inlineStr"/>
      <c r="BT27" s="9" t="n">
        <v>18.65</v>
      </c>
      <c r="BU27" s="10">
        <f>IF(COUNT(BT27:BT28)=2,ROUND((BT27/BT28-1)*100,4),"")</f>
        <v/>
      </c>
      <c r="BV27" s="10" t="n">
        <v>-0.6393</v>
      </c>
      <c r="BW27" s="9" t="inlineStr"/>
      <c r="BX27" s="10">
        <f>IF(AND(BV27&gt;$BX$12,D27&lt;=$BX$13),D26,"")</f>
        <v/>
      </c>
      <c r="BY27" s="10">
        <f>IF(AND(BM27&lt;$BY$12,BN27&gt;$BY$13),D26,"")</f>
        <v/>
      </c>
      <c r="BZ27" s="10">
        <f>IF(AND(BK27&gt;$BZ$12,BL27&lt;$BZ$13,BM27&gt;$BZ$11),D26,"")</f>
        <v/>
      </c>
      <c r="CA27" s="10">
        <f>IF(BX27&lt;&gt;"",BX27,IF(BY27&lt;&gt;"",BY27,BZ27))</f>
        <v/>
      </c>
      <c r="CB27" s="10">
        <f>IF(AND(BQ27&gt;$CB$12,BR27&lt;$CB$13),E26,"")</f>
        <v/>
      </c>
      <c r="CC27" s="10">
        <f>IF(AND(BO27&lt;=$CC$12,E27&lt;$CC$13),E26,"")</f>
        <v/>
      </c>
      <c r="CD27" s="10">
        <f>IF(AND(BP27&gt;$CD$12,BQ27&gt;$CD$13),E26,"")</f>
        <v/>
      </c>
      <c r="CE27" s="10">
        <f>IF(CB27&lt;&gt;"",CB27,IF(CC27&lt;&gt;"",CC27,CD27))</f>
        <v/>
      </c>
    </row>
    <row r="28">
      <c r="A28" s="9" t="inlineStr">
        <is>
          <t>2026/07/17</t>
        </is>
      </c>
      <c r="B28" s="9" t="n">
        <v>152.68</v>
      </c>
      <c r="C28" s="9" t="n">
        <v>180.98</v>
      </c>
      <c r="D28" s="10">
        <f>IF(COUNT(B28:B29)=2,ROUND((B28/B29-1)*100,4),"")</f>
        <v/>
      </c>
      <c r="E28" s="10">
        <f>IF(COUNT(C28:C29)=2,ROUND((C28/C29-1)*100,4),"")</f>
        <v/>
      </c>
      <c r="F28" s="9" t="inlineStr"/>
      <c r="G28" s="9" t="n">
        <v>62.3</v>
      </c>
      <c r="H28" s="9" t="n">
        <v>63.89</v>
      </c>
      <c r="I28" s="9" t="n">
        <v>62.01</v>
      </c>
      <c r="J28" s="9" t="n">
        <v>63.29</v>
      </c>
      <c r="K28" s="9" t="n">
        <v>63.29</v>
      </c>
      <c r="L28" s="9" t="n">
        <v>35145100</v>
      </c>
      <c r="M28" s="9" t="inlineStr"/>
      <c r="N28" s="9" t="n">
        <v>364.11</v>
      </c>
      <c r="O28" s="9" t="n">
        <v>369.21</v>
      </c>
      <c r="P28" s="9" t="n">
        <v>363.6</v>
      </c>
      <c r="Q28" s="9" t="n">
        <v>368.41</v>
      </c>
      <c r="R28" s="9" t="n">
        <v>368.41</v>
      </c>
      <c r="S28" s="9" t="n">
        <v>6456600</v>
      </c>
      <c r="T28" s="9" t="inlineStr"/>
      <c r="U28" s="9" t="n">
        <v>79.75</v>
      </c>
      <c r="V28" s="9" t="n">
        <v>79.84</v>
      </c>
      <c r="W28" s="9" t="n">
        <v>79.63</v>
      </c>
      <c r="X28" s="9" t="n">
        <v>79.65000000000001</v>
      </c>
      <c r="Y28" s="9" t="n">
        <v>79.26519999999999</v>
      </c>
      <c r="Z28" s="9" t="n">
        <v>42020100</v>
      </c>
      <c r="AA28" s="9" t="inlineStr"/>
      <c r="AB28" s="9" t="n">
        <v>108.27</v>
      </c>
      <c r="AC28" s="9" t="n">
        <v>108.37</v>
      </c>
      <c r="AD28" s="9" t="n">
        <v>108.17</v>
      </c>
      <c r="AE28" s="9" t="n">
        <v>108.27</v>
      </c>
      <c r="AF28" s="9" t="n">
        <v>107.4813</v>
      </c>
      <c r="AG28" s="9" t="n">
        <v>1788800</v>
      </c>
      <c r="AH28" s="9" t="inlineStr"/>
      <c r="AI28" s="9" t="n">
        <v>56.43</v>
      </c>
      <c r="AJ28" s="9" t="n">
        <v>56.94</v>
      </c>
      <c r="AK28" s="9" t="n">
        <v>56.12</v>
      </c>
      <c r="AL28" s="9" t="n">
        <v>56.26</v>
      </c>
      <c r="AM28" s="9" t="n">
        <v>56.26</v>
      </c>
      <c r="AN28" s="9" t="n">
        <v>42881800</v>
      </c>
      <c r="AO28" s="9" t="inlineStr"/>
      <c r="AP28" s="9" t="n">
        <v>56.47</v>
      </c>
      <c r="AQ28" s="9" t="n">
        <v>56.51</v>
      </c>
      <c r="AR28" s="9" t="n">
        <v>56.44</v>
      </c>
      <c r="AS28" s="9" t="n">
        <v>56.51</v>
      </c>
      <c r="AT28" s="9" t="n">
        <v>56.51</v>
      </c>
      <c r="AU28" s="9" t="n">
        <v>262100</v>
      </c>
      <c r="AV28" s="9" t="inlineStr"/>
      <c r="AW28" s="9" t="n">
        <v>70.40000000000001</v>
      </c>
      <c r="AX28" s="9" t="n">
        <v>71.93000000000001</v>
      </c>
      <c r="AY28" s="9" t="n">
        <v>69.73999999999999</v>
      </c>
      <c r="AZ28" s="9" t="n">
        <v>71.31999999999999</v>
      </c>
      <c r="BA28" s="9" t="n">
        <v>71.31999999999999</v>
      </c>
      <c r="BB28" s="9" t="n">
        <v>18182100</v>
      </c>
      <c r="BC28" s="9" t="inlineStr"/>
      <c r="BD28" s="9" t="n">
        <v>111.2</v>
      </c>
      <c r="BE28" s="9" t="n">
        <v>111.51</v>
      </c>
      <c r="BF28" s="9" t="n">
        <v>110.31</v>
      </c>
      <c r="BG28" s="9" t="n">
        <v>110.65</v>
      </c>
      <c r="BH28" s="9" t="n">
        <v>110.65</v>
      </c>
      <c r="BI28" s="9" t="n">
        <v>7677700</v>
      </c>
      <c r="BJ28" s="9" t="inlineStr"/>
      <c r="BK28" s="10">
        <f>IF(COUNT(K28:K29)=2,ROUND((K28/K29-1)*100,4),"")</f>
        <v/>
      </c>
      <c r="BL28" s="10">
        <f>IF(COUNT(R28:R29)=2,ROUND((R28/R29-1)*100,4),"")</f>
        <v/>
      </c>
      <c r="BM28" s="10">
        <f>IF(COUNT(Y28:Y29)=2,ROUND((Y28/Y29-1)*100,4),"")</f>
        <v/>
      </c>
      <c r="BN28" s="10">
        <f>IF(COUNT(AF28:AF29)=2,ROUND((AF28/AF29-1)*100,4),"")</f>
        <v/>
      </c>
      <c r="BO28" s="10">
        <f>IF(COUNT(AM28:AM29)=2,ROUND((AM28/AM29-1)*100,4),"")</f>
        <v/>
      </c>
      <c r="BP28" s="10">
        <f>IF(COUNT(AT28:AT29)=2,ROUND((AT28/AT29-1)*100,4),"")</f>
        <v/>
      </c>
      <c r="BQ28" s="10">
        <f>IF(COUNT(BA28:BA29)=2,ROUND((BA28/BA29-1)*100,4),"")</f>
        <v/>
      </c>
      <c r="BR28" s="10">
        <f>IF(COUNT(BH28:BH29)=2,ROUND((BH28/BH29-1)*100,4),"")</f>
        <v/>
      </c>
      <c r="BS28" s="9" t="inlineStr"/>
      <c r="BT28" s="9" t="n">
        <v>18.77</v>
      </c>
      <c r="BU28" s="10">
        <f>IF(COUNT(BT28:BT29)=2,ROUND((BT28/BT29-1)*100,4),"")</f>
        <v/>
      </c>
      <c r="BV28" s="10" t="n">
        <v>12.1937</v>
      </c>
      <c r="BW28" s="9" t="inlineStr"/>
      <c r="BX28" s="10">
        <f>IF(AND(BV28&gt;$BX$12,D28&lt;=$BX$13),D27,"")</f>
        <v/>
      </c>
      <c r="BY28" s="10">
        <f>IF(AND(BM28&lt;$BY$12,BN28&gt;$BY$13),D27,"")</f>
        <v/>
      </c>
      <c r="BZ28" s="10">
        <f>IF(AND(BK28&gt;$BZ$12,BL28&lt;$BZ$13,BM28&gt;$BZ$11),D27,"")</f>
        <v/>
      </c>
      <c r="CA28" s="10">
        <f>IF(BX28&lt;&gt;"",BX28,IF(BY28&lt;&gt;"",BY28,BZ28))</f>
        <v/>
      </c>
      <c r="CB28" s="10">
        <f>IF(AND(BQ28&gt;$CB$12,BR28&lt;$CB$13),E27,"")</f>
        <v/>
      </c>
      <c r="CC28" s="10">
        <f>IF(AND(BO28&lt;=$CC$12,E28&lt;$CC$13),E27,"")</f>
        <v/>
      </c>
      <c r="CD28" s="10">
        <f>IF(AND(BP28&gt;$CD$12,BQ28&gt;$CD$13),E27,"")</f>
        <v/>
      </c>
      <c r="CE28" s="10">
        <f>IF(CB28&lt;&gt;"",CB28,IF(CC28&lt;&gt;"",CC28,CD28))</f>
        <v/>
      </c>
    </row>
    <row r="29">
      <c r="A29" s="9" t="inlineStr">
        <is>
          <t>2026/07/16</t>
        </is>
      </c>
      <c r="B29" s="9" t="n">
        <v>157.41</v>
      </c>
      <c r="C29" s="9" t="n">
        <v>184.73</v>
      </c>
      <c r="D29" s="10">
        <f>IF(COUNT(B29:B30)=2,ROUND((B29/B30-1)*100,4),"")</f>
        <v/>
      </c>
      <c r="E29" s="10">
        <f>IF(COUNT(C29:C30)=2,ROUND((C29/C30-1)*100,4),"")</f>
        <v/>
      </c>
      <c r="F29" s="9" t="inlineStr"/>
      <c r="G29" s="9" t="n">
        <v>64.43000000000001</v>
      </c>
      <c r="H29" s="9" t="n">
        <v>64.72</v>
      </c>
      <c r="I29" s="9" t="n">
        <v>63.92</v>
      </c>
      <c r="J29" s="9" t="n">
        <v>64.19</v>
      </c>
      <c r="K29" s="9" t="n">
        <v>64.19</v>
      </c>
      <c r="L29" s="9" t="n">
        <v>21565700</v>
      </c>
      <c r="M29" s="9" t="inlineStr"/>
      <c r="N29" s="9" t="n">
        <v>367.45</v>
      </c>
      <c r="O29" s="9" t="n">
        <v>368.43</v>
      </c>
      <c r="P29" s="9" t="n">
        <v>364.05</v>
      </c>
      <c r="Q29" s="9" t="n">
        <v>364.96</v>
      </c>
      <c r="R29" s="9" t="n">
        <v>364.96</v>
      </c>
      <c r="S29" s="9" t="n">
        <v>9048000</v>
      </c>
      <c r="T29" s="9" t="inlineStr"/>
      <c r="U29" s="9" t="n">
        <v>79.76000000000001</v>
      </c>
      <c r="V29" s="9" t="n">
        <v>79.84</v>
      </c>
      <c r="W29" s="9" t="n">
        <v>79.73</v>
      </c>
      <c r="X29" s="9" t="n">
        <v>79.8</v>
      </c>
      <c r="Y29" s="9" t="n">
        <v>79.4145</v>
      </c>
      <c r="Z29" s="9" t="n">
        <v>22780300</v>
      </c>
      <c r="AA29" s="9" t="inlineStr"/>
      <c r="AB29" s="9" t="n">
        <v>107.98</v>
      </c>
      <c r="AC29" s="9" t="n">
        <v>108.05</v>
      </c>
      <c r="AD29" s="9" t="n">
        <v>107.92</v>
      </c>
      <c r="AE29" s="9" t="n">
        <v>107.97</v>
      </c>
      <c r="AF29" s="9" t="n">
        <v>107.1835</v>
      </c>
      <c r="AG29" s="9" t="n">
        <v>863900</v>
      </c>
      <c r="AH29" s="9" t="inlineStr"/>
      <c r="AI29" s="9" t="n">
        <v>56.76</v>
      </c>
      <c r="AJ29" s="9" t="n">
        <v>56.84</v>
      </c>
      <c r="AK29" s="9" t="n">
        <v>56.39</v>
      </c>
      <c r="AL29" s="9" t="n">
        <v>56.75</v>
      </c>
      <c r="AM29" s="9" t="n">
        <v>56.75</v>
      </c>
      <c r="AN29" s="9" t="n">
        <v>27591200</v>
      </c>
      <c r="AO29" s="9" t="inlineStr"/>
      <c r="AP29" s="9" t="n">
        <v>56.51</v>
      </c>
      <c r="AQ29" s="9" t="n">
        <v>56.52</v>
      </c>
      <c r="AR29" s="9" t="n">
        <v>56.41</v>
      </c>
      <c r="AS29" s="9" t="n">
        <v>56.45</v>
      </c>
      <c r="AT29" s="9" t="n">
        <v>56.45</v>
      </c>
      <c r="AU29" s="9" t="n">
        <v>110900</v>
      </c>
      <c r="AV29" s="9" t="inlineStr"/>
      <c r="AW29" s="9" t="n">
        <v>72.88</v>
      </c>
      <c r="AX29" s="9" t="n">
        <v>72.90000000000001</v>
      </c>
      <c r="AY29" s="9" t="n">
        <v>71.04000000000001</v>
      </c>
      <c r="AZ29" s="9" t="n">
        <v>71.40000000000001</v>
      </c>
      <c r="BA29" s="9" t="n">
        <v>71.40000000000001</v>
      </c>
      <c r="BB29" s="9" t="n">
        <v>23823100</v>
      </c>
      <c r="BC29" s="9" t="inlineStr"/>
      <c r="BD29" s="9" t="n">
        <v>113.6</v>
      </c>
      <c r="BE29" s="9" t="n">
        <v>114.03</v>
      </c>
      <c r="BF29" s="9" t="n">
        <v>112.27</v>
      </c>
      <c r="BG29" s="9" t="n">
        <v>112.65</v>
      </c>
      <c r="BH29" s="9" t="n">
        <v>112.65</v>
      </c>
      <c r="BI29" s="9" t="n">
        <v>5648300</v>
      </c>
      <c r="BJ29" s="9" t="inlineStr"/>
      <c r="BK29" s="10">
        <f>IF(COUNT(K29:K30)=2,ROUND((K29/K30-1)*100,4),"")</f>
        <v/>
      </c>
      <c r="BL29" s="10">
        <f>IF(COUNT(R29:R30)=2,ROUND((R29/R30-1)*100,4),"")</f>
        <v/>
      </c>
      <c r="BM29" s="10">
        <f>IF(COUNT(Y29:Y30)=2,ROUND((Y29/Y30-1)*100,4),"")</f>
        <v/>
      </c>
      <c r="BN29" s="10">
        <f>IF(COUNT(AF29:AF30)=2,ROUND((AF29/AF30-1)*100,4),"")</f>
        <v/>
      </c>
      <c r="BO29" s="10">
        <f>IF(COUNT(AM29:AM30)=2,ROUND((AM29/AM30-1)*100,4),"")</f>
        <v/>
      </c>
      <c r="BP29" s="10">
        <f>IF(COUNT(AT29:AT30)=2,ROUND((AT29/AT30-1)*100,4),"")</f>
        <v/>
      </c>
      <c r="BQ29" s="10">
        <f>IF(COUNT(BA29:BA30)=2,ROUND((BA29/BA30-1)*100,4),"")</f>
        <v/>
      </c>
      <c r="BR29" s="10">
        <f>IF(COUNT(BH29:BH30)=2,ROUND((BH29/BH30-1)*100,4),"")</f>
        <v/>
      </c>
      <c r="BS29" s="9" t="inlineStr"/>
      <c r="BT29" s="9" t="n">
        <v>16.73</v>
      </c>
      <c r="BU29" s="10">
        <f>IF(COUNT(BT29:BT30)=2,ROUND((BT29/BT30-1)*100,4),"")</f>
        <v/>
      </c>
      <c r="BV29" s="10" t="n">
        <v>6.7645</v>
      </c>
      <c r="BW29" s="9" t="inlineStr"/>
      <c r="BX29" s="10">
        <f>IF(AND(BV29&gt;$BX$12,D29&lt;=$BX$13),D28,"")</f>
        <v/>
      </c>
      <c r="BY29" s="10">
        <f>IF(AND(BM29&lt;$BY$12,BN29&gt;$BY$13),D28,"")</f>
        <v/>
      </c>
      <c r="BZ29" s="10">
        <f>IF(AND(BK29&gt;$BZ$12,BL29&lt;$BZ$13,BM29&gt;$BZ$11),D28,"")</f>
        <v/>
      </c>
      <c r="CA29" s="10">
        <f>IF(BX29&lt;&gt;"",BX29,IF(BY29&lt;&gt;"",BY29,BZ29))</f>
        <v/>
      </c>
      <c r="CB29" s="10">
        <f>IF(AND(BQ29&gt;$CB$12,BR29&lt;$CB$13),E28,"")</f>
        <v/>
      </c>
      <c r="CC29" s="10">
        <f>IF(AND(BO29&lt;=$CC$12,E29&lt;$CC$13),E28,"")</f>
        <v/>
      </c>
      <c r="CD29" s="10">
        <f>IF(AND(BP29&gt;$CD$12,BQ29&gt;$CD$13),E28,"")</f>
        <v/>
      </c>
      <c r="CE29" s="10">
        <f>IF(CB29&lt;&gt;"",CB29,IF(CC29&lt;&gt;"",CC29,CD29))</f>
        <v/>
      </c>
    </row>
    <row r="30">
      <c r="A30" s="9" t="inlineStr">
        <is>
          <t>2026/07/15</t>
        </is>
      </c>
      <c r="B30" s="9" t="n">
        <v>162.7</v>
      </c>
      <c r="C30" s="9" t="n">
        <v>186.67</v>
      </c>
      <c r="D30" s="10">
        <f>IF(COUNT(B30:B31)=2,ROUND((B30/B31-1)*100,4),"")</f>
        <v/>
      </c>
      <c r="E30" s="10">
        <f>IF(COUNT(C30:C31)=2,ROUND((C30/C31-1)*100,4),"")</f>
        <v/>
      </c>
      <c r="F30" s="9" t="inlineStr"/>
      <c r="G30" s="9" t="n">
        <v>65.87</v>
      </c>
      <c r="H30" s="9" t="n">
        <v>66.04000000000001</v>
      </c>
      <c r="I30" s="9" t="n">
        <v>64.66</v>
      </c>
      <c r="J30" s="9" t="n">
        <v>65.56999999999999</v>
      </c>
      <c r="K30" s="9" t="n">
        <v>65.56999999999999</v>
      </c>
      <c r="L30" s="9" t="n">
        <v>30073900</v>
      </c>
      <c r="M30" s="9" t="inlineStr"/>
      <c r="N30" s="9" t="n">
        <v>372.11</v>
      </c>
      <c r="O30" s="9" t="n">
        <v>374.49</v>
      </c>
      <c r="P30" s="9" t="n">
        <v>369.5</v>
      </c>
      <c r="Q30" s="9" t="n">
        <v>372.35</v>
      </c>
      <c r="R30" s="9" t="n">
        <v>372.35</v>
      </c>
      <c r="S30" s="9" t="n">
        <v>7683700</v>
      </c>
      <c r="T30" s="9" t="inlineStr"/>
      <c r="U30" s="9" t="n">
        <v>79.70999999999999</v>
      </c>
      <c r="V30" s="9" t="n">
        <v>79.84</v>
      </c>
      <c r="W30" s="9" t="n">
        <v>79.70999999999999</v>
      </c>
      <c r="X30" s="9" t="n">
        <v>79.81</v>
      </c>
      <c r="Y30" s="9" t="n">
        <v>79.42440000000001</v>
      </c>
      <c r="Z30" s="9" t="n">
        <v>26948800</v>
      </c>
      <c r="AA30" s="9" t="inlineStr"/>
      <c r="AB30" s="9" t="n">
        <v>107.99</v>
      </c>
      <c r="AC30" s="9" t="n">
        <v>108.16</v>
      </c>
      <c r="AD30" s="9" t="n">
        <v>107.99</v>
      </c>
      <c r="AE30" s="9" t="n">
        <v>108.07</v>
      </c>
      <c r="AF30" s="9" t="n">
        <v>107.2828</v>
      </c>
      <c r="AG30" s="9" t="n">
        <v>1900400</v>
      </c>
      <c r="AH30" s="9" t="inlineStr"/>
      <c r="AI30" s="9" t="n">
        <v>56.3</v>
      </c>
      <c r="AJ30" s="9" t="n">
        <v>56.82</v>
      </c>
      <c r="AK30" s="9" t="n">
        <v>56.18</v>
      </c>
      <c r="AL30" s="9" t="n">
        <v>56.56</v>
      </c>
      <c r="AM30" s="9" t="n">
        <v>56.56</v>
      </c>
      <c r="AN30" s="9" t="n">
        <v>49425400</v>
      </c>
      <c r="AO30" s="9" t="inlineStr"/>
      <c r="AP30" s="9" t="n">
        <v>56.51</v>
      </c>
      <c r="AQ30" s="9" t="n">
        <v>56.66</v>
      </c>
      <c r="AR30" s="9" t="n">
        <v>56.51</v>
      </c>
      <c r="AS30" s="9" t="n">
        <v>56.53</v>
      </c>
      <c r="AT30" s="9" t="n">
        <v>56.53</v>
      </c>
      <c r="AU30" s="9" t="n">
        <v>154300</v>
      </c>
      <c r="AV30" s="9" t="inlineStr"/>
      <c r="AW30" s="9" t="n">
        <v>74.44</v>
      </c>
      <c r="AX30" s="9" t="n">
        <v>75.29000000000001</v>
      </c>
      <c r="AY30" s="9" t="n">
        <v>72.64</v>
      </c>
      <c r="AZ30" s="9" t="n">
        <v>74</v>
      </c>
      <c r="BA30" s="9" t="n">
        <v>74</v>
      </c>
      <c r="BB30" s="9" t="n">
        <v>14705400</v>
      </c>
      <c r="BC30" s="9" t="inlineStr"/>
      <c r="BD30" s="9" t="n">
        <v>111.7</v>
      </c>
      <c r="BE30" s="9" t="n">
        <v>113.86</v>
      </c>
      <c r="BF30" s="9" t="n">
        <v>111.53</v>
      </c>
      <c r="BG30" s="9" t="n">
        <v>113.38</v>
      </c>
      <c r="BH30" s="9" t="n">
        <v>113.38</v>
      </c>
      <c r="BI30" s="9" t="n">
        <v>6245600</v>
      </c>
      <c r="BJ30" s="9" t="inlineStr"/>
      <c r="BK30" s="10">
        <f>IF(COUNT(K30:K31)=2,ROUND((K30/K31-1)*100,4),"")</f>
        <v/>
      </c>
      <c r="BL30" s="10">
        <f>IF(COUNT(R30:R31)=2,ROUND((R30/R31-1)*100,4),"")</f>
        <v/>
      </c>
      <c r="BM30" s="10">
        <f>IF(COUNT(Y30:Y31)=2,ROUND((Y30/Y31-1)*100,4),"")</f>
        <v/>
      </c>
      <c r="BN30" s="10">
        <f>IF(COUNT(AF30:AF31)=2,ROUND((AF30/AF31-1)*100,4),"")</f>
        <v/>
      </c>
      <c r="BO30" s="10">
        <f>IF(COUNT(AM30:AM31)=2,ROUND((AM30/AM31-1)*100,4),"")</f>
        <v/>
      </c>
      <c r="BP30" s="10">
        <f>IF(COUNT(AT30:AT31)=2,ROUND((AT30/AT31-1)*100,4),"")</f>
        <v/>
      </c>
      <c r="BQ30" s="10">
        <f>IF(COUNT(BA30:BA31)=2,ROUND((BA30/BA31-1)*100,4),"")</f>
        <v/>
      </c>
      <c r="BR30" s="10">
        <f>IF(COUNT(BH30:BH31)=2,ROUND((BH30/BH31-1)*100,4),"")</f>
        <v/>
      </c>
      <c r="BS30" s="9" t="inlineStr"/>
      <c r="BT30" s="9" t="n">
        <v>15.67</v>
      </c>
      <c r="BU30" s="10">
        <f>IF(COUNT(BT30:BT31)=2,ROUND((BT30/BT31-1)*100,4),"")</f>
        <v/>
      </c>
      <c r="BV30" s="10" t="n">
        <v>-5.0303</v>
      </c>
      <c r="BW30" s="9" t="inlineStr"/>
      <c r="BX30" s="10">
        <f>IF(AND(BV30&gt;$BX$12,D30&lt;=$BX$13),D29,"")</f>
        <v/>
      </c>
      <c r="BY30" s="10">
        <f>IF(AND(BM30&lt;$BY$12,BN30&gt;$BY$13),D29,"")</f>
        <v/>
      </c>
      <c r="BZ30" s="10">
        <f>IF(AND(BK30&gt;$BZ$12,BL30&lt;$BZ$13,BM30&gt;$BZ$11),D29,"")</f>
        <v/>
      </c>
      <c r="CA30" s="10">
        <f>IF(BX30&lt;&gt;"",BX30,IF(BY30&lt;&gt;"",BY30,BZ30))</f>
        <v/>
      </c>
      <c r="CB30" s="10">
        <f>IF(AND(BQ30&gt;$CB$12,BR30&lt;$CB$13),E29,"")</f>
        <v/>
      </c>
      <c r="CC30" s="10">
        <f>IF(AND(BO30&lt;=$CC$12,E30&lt;$CC$13),E29,"")</f>
        <v/>
      </c>
      <c r="CD30" s="10">
        <f>IF(AND(BP30&gt;$CD$12,BQ30&gt;$CD$13),E29,"")</f>
        <v/>
      </c>
      <c r="CE30" s="10">
        <f>IF(CB30&lt;&gt;"",CB30,IF(CC30&lt;&gt;"",CC30,CD30))</f>
        <v/>
      </c>
    </row>
    <row r="31">
      <c r="A31" s="9" t="inlineStr">
        <is>
          <t>2026/07/14</t>
        </is>
      </c>
      <c r="B31" s="9" t="n">
        <v>163.66</v>
      </c>
      <c r="C31" s="9" t="n">
        <v>185.27</v>
      </c>
      <c r="D31" s="10">
        <f>IF(COUNT(B31:B32)=2,ROUND((B31/B32-1)*100,4),"")</f>
        <v/>
      </c>
      <c r="E31" s="10">
        <f>IF(COUNT(C31:C32)=2,ROUND((C31/C32-1)*100,4),"")</f>
        <v/>
      </c>
      <c r="F31" s="9" t="inlineStr"/>
      <c r="G31" s="9" t="n">
        <v>65.53</v>
      </c>
      <c r="H31" s="9" t="n">
        <v>65.8</v>
      </c>
      <c r="I31" s="9" t="n">
        <v>65.11</v>
      </c>
      <c r="J31" s="9" t="n">
        <v>65.67</v>
      </c>
      <c r="K31" s="9" t="n">
        <v>65.67</v>
      </c>
      <c r="L31" s="9" t="n">
        <v>18557800</v>
      </c>
      <c r="M31" s="9" t="inlineStr"/>
      <c r="N31" s="9" t="n">
        <v>374.53</v>
      </c>
      <c r="O31" s="9" t="n">
        <v>376.28</v>
      </c>
      <c r="P31" s="9" t="n">
        <v>370.92</v>
      </c>
      <c r="Q31" s="9" t="n">
        <v>372.15</v>
      </c>
      <c r="R31" s="9" t="n">
        <v>372.15</v>
      </c>
      <c r="S31" s="9" t="n">
        <v>6303400</v>
      </c>
      <c r="T31" s="9" t="inlineStr"/>
      <c r="U31" s="9" t="n">
        <v>79.68000000000001</v>
      </c>
      <c r="V31" s="9" t="n">
        <v>79.69</v>
      </c>
      <c r="W31" s="9" t="n">
        <v>79.56999999999999</v>
      </c>
      <c r="X31" s="9" t="n">
        <v>79.68000000000001</v>
      </c>
      <c r="Y31" s="9" t="n">
        <v>79.295</v>
      </c>
      <c r="Z31" s="9" t="n">
        <v>28248700</v>
      </c>
      <c r="AA31" s="9" t="inlineStr"/>
      <c r="AB31" s="9" t="n">
        <v>107.95</v>
      </c>
      <c r="AC31" s="9" t="n">
        <v>108.13</v>
      </c>
      <c r="AD31" s="9" t="n">
        <v>107.91</v>
      </c>
      <c r="AE31" s="9" t="n">
        <v>108.01</v>
      </c>
      <c r="AF31" s="9" t="n">
        <v>107.2232</v>
      </c>
      <c r="AG31" s="9" t="n">
        <v>1451500</v>
      </c>
      <c r="AH31" s="9" t="inlineStr"/>
      <c r="AI31" s="9" t="n">
        <v>55.6</v>
      </c>
      <c r="AJ31" s="9" t="n">
        <v>56.8</v>
      </c>
      <c r="AK31" s="9" t="n">
        <v>55.59</v>
      </c>
      <c r="AL31" s="9" t="n">
        <v>56.18</v>
      </c>
      <c r="AM31" s="9" t="n">
        <v>56.18</v>
      </c>
      <c r="AN31" s="9" t="n">
        <v>43208800</v>
      </c>
      <c r="AO31" s="9" t="inlineStr"/>
      <c r="AP31" s="9" t="n">
        <v>56.65</v>
      </c>
      <c r="AQ31" s="9" t="n">
        <v>56.68</v>
      </c>
      <c r="AR31" s="9" t="n">
        <v>56.53</v>
      </c>
      <c r="AS31" s="9" t="n">
        <v>56.57</v>
      </c>
      <c r="AT31" s="9" t="n">
        <v>56.57</v>
      </c>
      <c r="AU31" s="9" t="n">
        <v>206400</v>
      </c>
      <c r="AV31" s="9" t="inlineStr"/>
      <c r="AW31" s="9" t="n">
        <v>76.09999999999999</v>
      </c>
      <c r="AX31" s="9" t="n">
        <v>76.86</v>
      </c>
      <c r="AY31" s="9" t="n">
        <v>74.48</v>
      </c>
      <c r="AZ31" s="9" t="n">
        <v>74.88</v>
      </c>
      <c r="BA31" s="9" t="n">
        <v>74.88</v>
      </c>
      <c r="BB31" s="9" t="n">
        <v>18329100</v>
      </c>
      <c r="BC31" s="9" t="inlineStr"/>
      <c r="BD31" s="9" t="n">
        <v>110.83</v>
      </c>
      <c r="BE31" s="9" t="n">
        <v>111.83</v>
      </c>
      <c r="BF31" s="9" t="n">
        <v>110.83</v>
      </c>
      <c r="BG31" s="9" t="n">
        <v>111.45</v>
      </c>
      <c r="BH31" s="9" t="n">
        <v>111.45</v>
      </c>
      <c r="BI31" s="9" t="n">
        <v>5061500</v>
      </c>
      <c r="BJ31" s="9" t="inlineStr"/>
      <c r="BK31" s="10">
        <f>IF(COUNT(K31:K32)=2,ROUND((K31/K32-1)*100,4),"")</f>
        <v/>
      </c>
      <c r="BL31" s="10">
        <f>IF(COUNT(R31:R32)=2,ROUND((R31/R32-1)*100,4),"")</f>
        <v/>
      </c>
      <c r="BM31" s="10">
        <f>IF(COUNT(Y31:Y32)=2,ROUND((Y31/Y32-1)*100,4),"")</f>
        <v/>
      </c>
      <c r="BN31" s="10">
        <f>IF(COUNT(AF31:AF32)=2,ROUND((AF31/AF32-1)*100,4),"")</f>
        <v/>
      </c>
      <c r="BO31" s="10">
        <f>IF(COUNT(AM31:AM32)=2,ROUND((AM31/AM32-1)*100,4),"")</f>
        <v/>
      </c>
      <c r="BP31" s="10">
        <f>IF(COUNT(AT31:AT32)=2,ROUND((AT31/AT32-1)*100,4),"")</f>
        <v/>
      </c>
      <c r="BQ31" s="10">
        <f>IF(COUNT(BA31:BA32)=2,ROUND((BA31/BA32-1)*100,4),"")</f>
        <v/>
      </c>
      <c r="BR31" s="10">
        <f>IF(COUNT(BH31:BH32)=2,ROUND((BH31/BH32-1)*100,4),"")</f>
        <v/>
      </c>
      <c r="BS31" s="9" t="inlineStr"/>
      <c r="BT31" s="9" t="n">
        <v>16.5</v>
      </c>
      <c r="BU31" s="10">
        <f>IF(COUNT(BT31:BT32)=2,ROUND((BT31/BT32-1)*100,4),"")</f>
        <v/>
      </c>
      <c r="BV31" s="10" t="n">
        <v>-3.8462</v>
      </c>
      <c r="BW31" s="9" t="inlineStr"/>
      <c r="BX31" s="10">
        <f>IF(AND(BV31&gt;$BX$12,D31&lt;=$BX$13),D30,"")</f>
        <v/>
      </c>
      <c r="BY31" s="10">
        <f>IF(AND(BM31&lt;$BY$12,BN31&gt;$BY$13),D30,"")</f>
        <v/>
      </c>
      <c r="BZ31" s="10">
        <f>IF(AND(BK31&gt;$BZ$12,BL31&lt;$BZ$13,BM31&gt;$BZ$11),D30,"")</f>
        <v/>
      </c>
      <c r="CA31" s="10">
        <f>IF(BX31&lt;&gt;"",BX31,IF(BY31&lt;&gt;"",BY31,BZ31))</f>
        <v/>
      </c>
      <c r="CB31" s="10">
        <f>IF(AND(BQ31&gt;$CB$12,BR31&lt;$CB$13),E30,"")</f>
        <v/>
      </c>
      <c r="CC31" s="10">
        <f>IF(AND(BO31&lt;=$CC$12,E31&lt;$CC$13),E30,"")</f>
        <v/>
      </c>
      <c r="CD31" s="10">
        <f>IF(AND(BP31&gt;$CD$12,BQ31&gt;$CD$13),E30,"")</f>
        <v/>
      </c>
      <c r="CE31" s="10">
        <f>IF(CB31&lt;&gt;"",CB31,IF(CC31&lt;&gt;"",CC31,CD31))</f>
        <v/>
      </c>
    </row>
    <row r="32">
      <c r="A32" s="9" t="inlineStr">
        <is>
          <t>2026/07/13</t>
        </is>
      </c>
      <c r="B32" s="9" t="n">
        <v>160.15</v>
      </c>
      <c r="C32" s="9" t="n">
        <v>183.93</v>
      </c>
      <c r="D32" s="10">
        <f>IF(COUNT(B32:B33)=2,ROUND((B32/B33-1)*100,4),"")</f>
        <v/>
      </c>
      <c r="E32" s="10">
        <f>IF(COUNT(C32:C33)=2,ROUND((C32/C33-1)*100,4),"")</f>
        <v/>
      </c>
      <c r="F32" s="9" t="inlineStr"/>
      <c r="G32" s="9" t="n">
        <v>65.19</v>
      </c>
      <c r="H32" s="9" t="n">
        <v>65.29000000000001</v>
      </c>
      <c r="I32" s="9" t="n">
        <v>64.39</v>
      </c>
      <c r="J32" s="9" t="n">
        <v>64.5</v>
      </c>
      <c r="K32" s="9" t="n">
        <v>64.5</v>
      </c>
      <c r="L32" s="9" t="n">
        <v>25474800</v>
      </c>
      <c r="M32" s="9" t="inlineStr"/>
      <c r="N32" s="9" t="n">
        <v>372.77</v>
      </c>
      <c r="O32" s="9" t="n">
        <v>372.89</v>
      </c>
      <c r="P32" s="9" t="n">
        <v>365.77</v>
      </c>
      <c r="Q32" s="9" t="n">
        <v>367.13</v>
      </c>
      <c r="R32" s="9" t="n">
        <v>367.13</v>
      </c>
      <c r="S32" s="9" t="n">
        <v>7161700</v>
      </c>
      <c r="T32" s="9" t="inlineStr"/>
      <c r="U32" s="9" t="n">
        <v>79.67</v>
      </c>
      <c r="V32" s="9" t="n">
        <v>79.69</v>
      </c>
      <c r="W32" s="9" t="n">
        <v>79.45999999999999</v>
      </c>
      <c r="X32" s="9" t="n">
        <v>79.52</v>
      </c>
      <c r="Y32" s="9" t="n">
        <v>79.1358</v>
      </c>
      <c r="Z32" s="9" t="n">
        <v>32133300</v>
      </c>
      <c r="AA32" s="9" t="inlineStr"/>
      <c r="AB32" s="9" t="n">
        <v>108.05</v>
      </c>
      <c r="AC32" s="9" t="n">
        <v>108.05</v>
      </c>
      <c r="AD32" s="9" t="n">
        <v>107.82</v>
      </c>
      <c r="AE32" s="9" t="n">
        <v>107.91</v>
      </c>
      <c r="AF32" s="9" t="n">
        <v>107.124</v>
      </c>
      <c r="AG32" s="9" t="n">
        <v>1153800</v>
      </c>
      <c r="AH32" s="9" t="inlineStr"/>
      <c r="AI32" s="9" t="n">
        <v>55.98</v>
      </c>
      <c r="AJ32" s="9" t="n">
        <v>56.16</v>
      </c>
      <c r="AK32" s="9" t="n">
        <v>55.61</v>
      </c>
      <c r="AL32" s="9" t="n">
        <v>56.07</v>
      </c>
      <c r="AM32" s="9" t="n">
        <v>56.07</v>
      </c>
      <c r="AN32" s="9" t="n">
        <v>33391000</v>
      </c>
      <c r="AO32" s="9" t="inlineStr"/>
      <c r="AP32" s="9" t="n">
        <v>56.59</v>
      </c>
      <c r="AQ32" s="9" t="n">
        <v>56.59</v>
      </c>
      <c r="AR32" s="9" t="n">
        <v>56.45</v>
      </c>
      <c r="AS32" s="9" t="n">
        <v>56.46</v>
      </c>
      <c r="AT32" s="9" t="n">
        <v>56.46</v>
      </c>
      <c r="AU32" s="9" t="n">
        <v>141800</v>
      </c>
      <c r="AV32" s="9" t="inlineStr"/>
      <c r="AW32" s="9" t="n">
        <v>74.09999999999999</v>
      </c>
      <c r="AX32" s="9" t="n">
        <v>74.64</v>
      </c>
      <c r="AY32" s="9" t="n">
        <v>72.84</v>
      </c>
      <c r="AZ32" s="9" t="n">
        <v>73.37</v>
      </c>
      <c r="BA32" s="9" t="n">
        <v>73.37</v>
      </c>
      <c r="BB32" s="9" t="n">
        <v>20251200</v>
      </c>
      <c r="BC32" s="9" t="inlineStr"/>
      <c r="BD32" s="9" t="n">
        <v>111.78</v>
      </c>
      <c r="BE32" s="9" t="n">
        <v>112.76</v>
      </c>
      <c r="BF32" s="9" t="n">
        <v>111.465</v>
      </c>
      <c r="BG32" s="9" t="n">
        <v>111.59</v>
      </c>
      <c r="BH32" s="9" t="n">
        <v>111.59</v>
      </c>
      <c r="BI32" s="9" t="n">
        <v>5851900</v>
      </c>
      <c r="BJ32" s="9" t="inlineStr"/>
      <c r="BK32" s="10">
        <f>IF(COUNT(K32:K33)=2,ROUND((K32/K33-1)*100,4),"")</f>
        <v/>
      </c>
      <c r="BL32" s="10">
        <f>IF(COUNT(R32:R33)=2,ROUND((R32/R33-1)*100,4),"")</f>
        <v/>
      </c>
      <c r="BM32" s="10">
        <f>IF(COUNT(Y32:Y33)=2,ROUND((Y32/Y33-1)*100,4),"")</f>
        <v/>
      </c>
      <c r="BN32" s="10">
        <f>IF(COUNT(AF32:AF33)=2,ROUND((AF32/AF33-1)*100,4),"")</f>
        <v/>
      </c>
      <c r="BO32" s="10">
        <f>IF(COUNT(AM32:AM33)=2,ROUND((AM32/AM33-1)*100,4),"")</f>
        <v/>
      </c>
      <c r="BP32" s="10">
        <f>IF(COUNT(AT32:AT33)=2,ROUND((AT32/AT33-1)*100,4),"")</f>
        <v/>
      </c>
      <c r="BQ32" s="10">
        <f>IF(COUNT(BA32:BA33)=2,ROUND((BA32/BA33-1)*100,4),"")</f>
        <v/>
      </c>
      <c r="BR32" s="10">
        <f>IF(COUNT(BH32:BH33)=2,ROUND((BH32/BH33-1)*100,4),"")</f>
        <v/>
      </c>
      <c r="BS32" s="9" t="inlineStr"/>
      <c r="BT32" s="9" t="n">
        <v>17.16</v>
      </c>
      <c r="BU32" s="10">
        <f>IF(COUNT(BT32:BT33)=2,ROUND((BT32/BT33-1)*100,4),"")</f>
        <v/>
      </c>
      <c r="BV32" s="10" t="n">
        <v>14.1717</v>
      </c>
      <c r="BW32" s="9" t="inlineStr"/>
      <c r="BX32" s="10">
        <f>IF(AND(BV32&gt;$BX$12,D32&lt;=$BX$13),D31,"")</f>
        <v/>
      </c>
      <c r="BY32" s="10">
        <f>IF(AND(BM32&lt;$BY$12,BN32&gt;$BY$13),D31,"")</f>
        <v/>
      </c>
      <c r="BZ32" s="10">
        <f>IF(AND(BK32&gt;$BZ$12,BL32&lt;$BZ$13,BM32&gt;$BZ$11),D31,"")</f>
        <v/>
      </c>
      <c r="CA32" s="10">
        <f>IF(BX32&lt;&gt;"",BX32,IF(BY32&lt;&gt;"",BY32,BZ32))</f>
        <v/>
      </c>
      <c r="CB32" s="10">
        <f>IF(AND(BQ32&gt;$CB$12,BR32&lt;$CB$13),E31,"")</f>
        <v/>
      </c>
      <c r="CC32" s="10">
        <f>IF(AND(BO32&lt;=$CC$12,E32&lt;$CC$13),E31,"")</f>
        <v/>
      </c>
      <c r="CD32" s="10">
        <f>IF(AND(BP32&gt;$CD$12,BQ32&gt;$CD$13),E31,"")</f>
        <v/>
      </c>
      <c r="CE32" s="10">
        <f>IF(CB32&lt;&gt;"",CB32,IF(CC32&lt;&gt;"",CC32,CD32))</f>
        <v/>
      </c>
    </row>
    <row r="33">
      <c r="A33" s="9" t="inlineStr">
        <is>
          <t>2026/07/10</t>
        </is>
      </c>
      <c r="B33" s="9" t="n">
        <v>166.49</v>
      </c>
      <c r="C33" s="9" t="n">
        <v>186.95</v>
      </c>
      <c r="D33" s="10">
        <f>IF(COUNT(B33:B34)=2,ROUND((B33/B34-1)*100,4),"")</f>
        <v/>
      </c>
      <c r="E33" s="10">
        <f>IF(COUNT(C33:C34)=2,ROUND((C33/C34-1)*100,4),"")</f>
        <v/>
      </c>
      <c r="F33" s="9" t="inlineStr"/>
      <c r="G33" s="9" t="n">
        <v>66.54000000000001</v>
      </c>
      <c r="H33" s="9" t="n">
        <v>67.02</v>
      </c>
      <c r="I33" s="9" t="n">
        <v>66.19</v>
      </c>
      <c r="J33" s="9" t="n">
        <v>66.90000000000001</v>
      </c>
      <c r="K33" s="9" t="n">
        <v>66.90000000000001</v>
      </c>
      <c r="L33" s="9" t="n">
        <v>18694800</v>
      </c>
      <c r="M33" s="9" t="inlineStr"/>
      <c r="N33" s="9" t="n">
        <v>375</v>
      </c>
      <c r="O33" s="9" t="n">
        <v>377.55</v>
      </c>
      <c r="P33" s="9" t="n">
        <v>373.7</v>
      </c>
      <c r="Q33" s="9" t="n">
        <v>377.01</v>
      </c>
      <c r="R33" s="9" t="n">
        <v>377.01</v>
      </c>
      <c r="S33" s="9" t="n">
        <v>5455400</v>
      </c>
      <c r="T33" s="9" t="inlineStr"/>
      <c r="U33" s="9" t="n">
        <v>79.78</v>
      </c>
      <c r="V33" s="9" t="n">
        <v>79.83</v>
      </c>
      <c r="W33" s="9" t="n">
        <v>79.62</v>
      </c>
      <c r="X33" s="9" t="n">
        <v>79.70999999999999</v>
      </c>
      <c r="Y33" s="9" t="n">
        <v>79.3249</v>
      </c>
      <c r="Z33" s="9" t="n">
        <v>24550300</v>
      </c>
      <c r="AA33" s="9" t="inlineStr"/>
      <c r="AB33" s="9" t="n">
        <v>108.08</v>
      </c>
      <c r="AC33" s="9" t="n">
        <v>108.15</v>
      </c>
      <c r="AD33" s="9" t="n">
        <v>107.98</v>
      </c>
      <c r="AE33" s="9" t="n">
        <v>108.13</v>
      </c>
      <c r="AF33" s="9" t="n">
        <v>107.3424</v>
      </c>
      <c r="AG33" s="9" t="n">
        <v>1162700</v>
      </c>
      <c r="AH33" s="9" t="inlineStr"/>
      <c r="AI33" s="9" t="n">
        <v>55.99</v>
      </c>
      <c r="AJ33" s="9" t="n">
        <v>56.03</v>
      </c>
      <c r="AK33" s="9" t="n">
        <v>55.36</v>
      </c>
      <c r="AL33" s="9" t="n">
        <v>55.71</v>
      </c>
      <c r="AM33" s="9" t="n">
        <v>55.71</v>
      </c>
      <c r="AN33" s="9" t="n">
        <v>24046300</v>
      </c>
      <c r="AO33" s="9" t="inlineStr"/>
      <c r="AP33" s="9" t="n">
        <v>56.7</v>
      </c>
      <c r="AQ33" s="9" t="n">
        <v>56.87</v>
      </c>
      <c r="AR33" s="9" t="n">
        <v>56.68</v>
      </c>
      <c r="AS33" s="9" t="n">
        <v>56.74</v>
      </c>
      <c r="AT33" s="9" t="n">
        <v>56.74</v>
      </c>
      <c r="AU33" s="9" t="n">
        <v>197200</v>
      </c>
      <c r="AV33" s="9" t="inlineStr"/>
      <c r="AW33" s="9" t="n">
        <v>75.09</v>
      </c>
      <c r="AX33" s="9" t="n">
        <v>76.04000000000001</v>
      </c>
      <c r="AY33" s="9" t="n">
        <v>74.51000000000001</v>
      </c>
      <c r="AZ33" s="9" t="n">
        <v>75.53</v>
      </c>
      <c r="BA33" s="9" t="n">
        <v>75.53</v>
      </c>
      <c r="BB33" s="9" t="n">
        <v>8140100</v>
      </c>
      <c r="BC33" s="9" t="inlineStr"/>
      <c r="BD33" s="9" t="n">
        <v>111.72</v>
      </c>
      <c r="BE33" s="9" t="n">
        <v>112.16</v>
      </c>
      <c r="BF33" s="9" t="n">
        <v>111.025</v>
      </c>
      <c r="BG33" s="9" t="n">
        <v>111.64</v>
      </c>
      <c r="BH33" s="9" t="n">
        <v>111.64</v>
      </c>
      <c r="BI33" s="9" t="n">
        <v>6465600</v>
      </c>
      <c r="BJ33" s="9" t="inlineStr"/>
      <c r="BK33" s="10">
        <f>IF(COUNT(K33:K34)=2,ROUND((K33/K34-1)*100,4),"")</f>
        <v/>
      </c>
      <c r="BL33" s="10">
        <f>IF(COUNT(R33:R34)=2,ROUND((R33/R34-1)*100,4),"")</f>
        <v/>
      </c>
      <c r="BM33" s="10">
        <f>IF(COUNT(Y33:Y34)=2,ROUND((Y33/Y34-1)*100,4),"")</f>
        <v/>
      </c>
      <c r="BN33" s="10">
        <f>IF(COUNT(AF33:AF34)=2,ROUND((AF33/AF34-1)*100,4),"")</f>
        <v/>
      </c>
      <c r="BO33" s="10">
        <f>IF(COUNT(AM33:AM34)=2,ROUND((AM33/AM34-1)*100,4),"")</f>
        <v/>
      </c>
      <c r="BP33" s="10">
        <f>IF(COUNT(AT33:AT34)=2,ROUND((AT33/AT34-1)*100,4),"")</f>
        <v/>
      </c>
      <c r="BQ33" s="10">
        <f>IF(COUNT(BA33:BA34)=2,ROUND((BA33/BA34-1)*100,4),"")</f>
        <v/>
      </c>
      <c r="BR33" s="10">
        <f>IF(COUNT(BH33:BH34)=2,ROUND((BH33/BH34-1)*100,4),"")</f>
        <v/>
      </c>
      <c r="BS33" s="9" t="inlineStr"/>
      <c r="BT33" s="9" t="n">
        <v>15.03</v>
      </c>
      <c r="BU33" s="10">
        <f>IF(COUNT(BT33:BT34)=2,ROUND((BT33/BT34-1)*100,4),"")</f>
        <v/>
      </c>
      <c r="BV33" s="10" t="n">
        <v>-5.1136</v>
      </c>
      <c r="BW33" s="9" t="inlineStr"/>
      <c r="BX33" s="10">
        <f>IF(AND(BV33&gt;$BX$12,D33&lt;=$BX$13),D32,"")</f>
        <v/>
      </c>
      <c r="BY33" s="10">
        <f>IF(AND(BM33&lt;$BY$12,BN33&gt;$BY$13),D32,"")</f>
        <v/>
      </c>
      <c r="BZ33" s="10">
        <f>IF(AND(BK33&gt;$BZ$12,BL33&lt;$BZ$13,BM33&gt;$BZ$11),D32,"")</f>
        <v/>
      </c>
      <c r="CA33" s="10">
        <f>IF(BX33&lt;&gt;"",BX33,IF(BY33&lt;&gt;"",BY33,BZ33))</f>
        <v/>
      </c>
      <c r="CB33" s="10">
        <f>IF(AND(BQ33&gt;$CB$12,BR33&lt;$CB$13),E32,"")</f>
        <v/>
      </c>
      <c r="CC33" s="10">
        <f>IF(AND(BO33&lt;=$CC$12,E33&lt;$CC$13),E32,"")</f>
        <v/>
      </c>
      <c r="CD33" s="10">
        <f>IF(AND(BP33&gt;$CD$12,BQ33&gt;$CD$13),E32,"")</f>
        <v/>
      </c>
      <c r="CE33" s="10">
        <f>IF(CB33&lt;&gt;"",CB33,IF(CC33&lt;&gt;"",CC33,CD33))</f>
        <v/>
      </c>
    </row>
    <row r="34">
      <c r="A34" s="9" t="inlineStr">
        <is>
          <t>2026/07/09</t>
        </is>
      </c>
      <c r="B34" s="9" t="n">
        <v>165.43</v>
      </c>
      <c r="C34" s="9" t="n">
        <v>185.38</v>
      </c>
      <c r="D34" s="10">
        <f>IF(COUNT(B34:B35)=2,ROUND((B34/B35-1)*100,4),"")</f>
        <v/>
      </c>
      <c r="E34" s="10">
        <f>IF(COUNT(C34:C35)=2,ROUND((C34/C35-1)*100,4),"")</f>
        <v/>
      </c>
      <c r="F34" s="9" t="inlineStr"/>
      <c r="G34" s="9" t="n">
        <v>66.56999999999999</v>
      </c>
      <c r="H34" s="9" t="n">
        <v>66.95999999999999</v>
      </c>
      <c r="I34" s="9" t="n">
        <v>66.37</v>
      </c>
      <c r="J34" s="9" t="n">
        <v>66.78</v>
      </c>
      <c r="K34" s="9" t="n">
        <v>66.78</v>
      </c>
      <c r="L34" s="9" t="n">
        <v>19566800</v>
      </c>
      <c r="M34" s="9" t="inlineStr"/>
      <c r="N34" s="9" t="n">
        <v>378.51</v>
      </c>
      <c r="O34" s="9" t="n">
        <v>379.65</v>
      </c>
      <c r="P34" s="9" t="n">
        <v>377.41</v>
      </c>
      <c r="Q34" s="9" t="n">
        <v>378.18</v>
      </c>
      <c r="R34" s="9" t="n">
        <v>378.18</v>
      </c>
      <c r="S34" s="9" t="n">
        <v>4754600</v>
      </c>
      <c r="T34" s="9" t="inlineStr"/>
      <c r="U34" s="9" t="n">
        <v>79.73</v>
      </c>
      <c r="V34" s="9" t="n">
        <v>79.86</v>
      </c>
      <c r="W34" s="9" t="n">
        <v>79.67</v>
      </c>
      <c r="X34" s="9" t="n">
        <v>79.75</v>
      </c>
      <c r="Y34" s="9" t="n">
        <v>79.3647</v>
      </c>
      <c r="Z34" s="9" t="n">
        <v>21882200</v>
      </c>
      <c r="AA34" s="9" t="inlineStr"/>
      <c r="AB34" s="9" t="n">
        <v>108.14</v>
      </c>
      <c r="AC34" s="9" t="n">
        <v>108.22</v>
      </c>
      <c r="AD34" s="9" t="n">
        <v>108.09</v>
      </c>
      <c r="AE34" s="9" t="n">
        <v>108.12</v>
      </c>
      <c r="AF34" s="9" t="n">
        <v>107.3324</v>
      </c>
      <c r="AG34" s="9" t="n">
        <v>1170800</v>
      </c>
      <c r="AH34" s="9" t="inlineStr"/>
      <c r="AI34" s="9" t="n">
        <v>55.07</v>
      </c>
      <c r="AJ34" s="9" t="n">
        <v>55.69</v>
      </c>
      <c r="AK34" s="9" t="n">
        <v>54.97</v>
      </c>
      <c r="AL34" s="9" t="n">
        <v>55.54</v>
      </c>
      <c r="AM34" s="9" t="n">
        <v>55.54</v>
      </c>
      <c r="AN34" s="9" t="n">
        <v>26542000</v>
      </c>
      <c r="AO34" s="9" t="inlineStr"/>
      <c r="AP34" s="9" t="n">
        <v>56.47</v>
      </c>
      <c r="AQ34" s="9" t="n">
        <v>56.53</v>
      </c>
      <c r="AR34" s="9" t="n">
        <v>56.47</v>
      </c>
      <c r="AS34" s="9" t="n">
        <v>56.48</v>
      </c>
      <c r="AT34" s="9" t="n">
        <v>56.48</v>
      </c>
      <c r="AU34" s="9" t="n">
        <v>53200</v>
      </c>
      <c r="AV34" s="9" t="inlineStr"/>
      <c r="AW34" s="9" t="n">
        <v>75.15000000000001</v>
      </c>
      <c r="AX34" s="9" t="n">
        <v>76.05</v>
      </c>
      <c r="AY34" s="9" t="n">
        <v>74.31999999999999</v>
      </c>
      <c r="AZ34" s="9" t="n">
        <v>75.78</v>
      </c>
      <c r="BA34" s="9" t="n">
        <v>75.78</v>
      </c>
      <c r="BB34" s="9" t="n">
        <v>16240900</v>
      </c>
      <c r="BC34" s="9" t="inlineStr"/>
      <c r="BD34" s="9" t="n">
        <v>108.08</v>
      </c>
      <c r="BE34" s="9" t="n">
        <v>110.595</v>
      </c>
      <c r="BF34" s="9" t="n">
        <v>107.82</v>
      </c>
      <c r="BG34" s="9" t="n">
        <v>110.51</v>
      </c>
      <c r="BH34" s="9" t="n">
        <v>110.51</v>
      </c>
      <c r="BI34" s="9" t="n">
        <v>6444300</v>
      </c>
      <c r="BJ34" s="9" t="inlineStr"/>
      <c r="BK34" s="10">
        <f>IF(COUNT(K34:K35)=2,ROUND((K34/K35-1)*100,4),"")</f>
        <v/>
      </c>
      <c r="BL34" s="10">
        <f>IF(COUNT(R34:R35)=2,ROUND((R34/R35-1)*100,4),"")</f>
        <v/>
      </c>
      <c r="BM34" s="10">
        <f>IF(COUNT(Y34:Y35)=2,ROUND((Y34/Y35-1)*100,4),"")</f>
        <v/>
      </c>
      <c r="BN34" s="10">
        <f>IF(COUNT(AF34:AF35)=2,ROUND((AF34/AF35-1)*100,4),"")</f>
        <v/>
      </c>
      <c r="BO34" s="10">
        <f>IF(COUNT(AM34:AM35)=2,ROUND((AM34/AM35-1)*100,4),"")</f>
        <v/>
      </c>
      <c r="BP34" s="10">
        <f>IF(COUNT(AT34:AT35)=2,ROUND((AT34/AT35-1)*100,4),"")</f>
        <v/>
      </c>
      <c r="BQ34" s="10">
        <f>IF(COUNT(BA34:BA35)=2,ROUND((BA34/BA35-1)*100,4),"")</f>
        <v/>
      </c>
      <c r="BR34" s="10">
        <f>IF(COUNT(BH34:BH35)=2,ROUND((BH34/BH35-1)*100,4),"")</f>
        <v/>
      </c>
      <c r="BS34" s="9" t="inlineStr"/>
      <c r="BT34" s="9" t="n">
        <v>15.84</v>
      </c>
      <c r="BU34" s="10">
        <f>IF(COUNT(BT34:BT35)=2,ROUND((BT34/BT35-1)*100,4),"")</f>
        <v/>
      </c>
      <c r="BV34" s="10" t="n">
        <v>-6.2722</v>
      </c>
      <c r="BW34" s="9" t="inlineStr"/>
      <c r="BX34" s="10">
        <f>IF(AND(BV34&gt;$BX$12,D34&lt;=$BX$13),D33,"")</f>
        <v/>
      </c>
      <c r="BY34" s="10">
        <f>IF(AND(BM34&lt;$BY$12,BN34&gt;$BY$13),D33,"")</f>
        <v/>
      </c>
      <c r="BZ34" s="10">
        <f>IF(AND(BK34&gt;$BZ$12,BL34&lt;$BZ$13,BM34&gt;$BZ$11),D33,"")</f>
        <v/>
      </c>
      <c r="CA34" s="10">
        <f>IF(BX34&lt;&gt;"",BX34,IF(BY34&lt;&gt;"",BY34,BZ34))</f>
        <v/>
      </c>
      <c r="CB34" s="10">
        <f>IF(AND(BQ34&gt;$CB$12,BR34&lt;$CB$13),E33,"")</f>
        <v/>
      </c>
      <c r="CC34" s="10">
        <f>IF(AND(BO34&lt;=$CC$12,E34&lt;$CC$13),E33,"")</f>
        <v/>
      </c>
      <c r="CD34" s="10">
        <f>IF(AND(BP34&gt;$CD$12,BQ34&gt;$CD$13),E33,"")</f>
        <v/>
      </c>
      <c r="CE34" s="10">
        <f>IF(CB34&lt;&gt;"",CB34,IF(CC34&lt;&gt;"",CC34,CD34))</f>
        <v/>
      </c>
    </row>
    <row r="35">
      <c r="A35" s="9" t="inlineStr">
        <is>
          <t>2026/07/08</t>
        </is>
      </c>
      <c r="B35" s="9" t="n">
        <v>160.25</v>
      </c>
      <c r="C35" s="9" t="n">
        <v>182.42</v>
      </c>
      <c r="D35" s="10">
        <f>IF(COUNT(B35:B36)=2,ROUND((B35/B36-1)*100,4),"")</f>
        <v/>
      </c>
      <c r="E35" s="10">
        <f>IF(COUNT(C35:C36)=2,ROUND((C35/C36-1)*100,4),"")</f>
        <v/>
      </c>
      <c r="F35" s="9" t="inlineStr"/>
      <c r="G35" s="9" t="n">
        <v>65.16</v>
      </c>
      <c r="H35" s="9" t="n">
        <v>66.25</v>
      </c>
      <c r="I35" s="9" t="n">
        <v>64.97</v>
      </c>
      <c r="J35" s="9" t="n">
        <v>66.23</v>
      </c>
      <c r="K35" s="9" t="n">
        <v>66.23</v>
      </c>
      <c r="L35" s="9" t="n">
        <v>20723500</v>
      </c>
      <c r="M35" s="9" t="inlineStr"/>
      <c r="N35" s="9" t="n">
        <v>373.17</v>
      </c>
      <c r="O35" s="9" t="n">
        <v>375.47</v>
      </c>
      <c r="P35" s="9" t="n">
        <v>368.95</v>
      </c>
      <c r="Q35" s="9" t="n">
        <v>374.45</v>
      </c>
      <c r="R35" s="9" t="n">
        <v>374.45</v>
      </c>
      <c r="S35" s="9" t="n">
        <v>7728500</v>
      </c>
      <c r="T35" s="9" t="inlineStr"/>
      <c r="U35" s="9" t="n">
        <v>79.61</v>
      </c>
      <c r="V35" s="9" t="n">
        <v>79.68000000000001</v>
      </c>
      <c r="W35" s="9" t="n">
        <v>79.54000000000001</v>
      </c>
      <c r="X35" s="9" t="n">
        <v>79.66</v>
      </c>
      <c r="Y35" s="9" t="n">
        <v>79.27509999999999</v>
      </c>
      <c r="Z35" s="9" t="n">
        <v>30771300</v>
      </c>
      <c r="AA35" s="9" t="inlineStr"/>
      <c r="AB35" s="9" t="n">
        <v>108.09</v>
      </c>
      <c r="AC35" s="9" t="n">
        <v>108.12</v>
      </c>
      <c r="AD35" s="9" t="n">
        <v>107.98</v>
      </c>
      <c r="AE35" s="9" t="n">
        <v>108.05</v>
      </c>
      <c r="AF35" s="9" t="n">
        <v>107.2629</v>
      </c>
      <c r="AG35" s="9" t="n">
        <v>941700</v>
      </c>
      <c r="AH35" s="9" t="inlineStr"/>
      <c r="AI35" s="9" t="n">
        <v>55.79</v>
      </c>
      <c r="AJ35" s="9" t="n">
        <v>55.8</v>
      </c>
      <c r="AK35" s="9" t="n">
        <v>54.95</v>
      </c>
      <c r="AL35" s="9" t="n">
        <v>54.97</v>
      </c>
      <c r="AM35" s="9" t="n">
        <v>54.97</v>
      </c>
      <c r="AN35" s="9" t="n">
        <v>41648100</v>
      </c>
      <c r="AO35" s="9" t="inlineStr"/>
      <c r="AP35" s="9" t="n">
        <v>56.45</v>
      </c>
      <c r="AQ35" s="9" t="n">
        <v>56.48</v>
      </c>
      <c r="AR35" s="9" t="n">
        <v>56.39</v>
      </c>
      <c r="AS35" s="9" t="n">
        <v>56.46</v>
      </c>
      <c r="AT35" s="9" t="n">
        <v>56.46</v>
      </c>
      <c r="AU35" s="9" t="n">
        <v>82300</v>
      </c>
      <c r="AV35" s="9" t="inlineStr"/>
      <c r="AW35" s="9" t="n">
        <v>74.09</v>
      </c>
      <c r="AX35" s="9" t="n">
        <v>74.81</v>
      </c>
      <c r="AY35" s="9" t="n">
        <v>71.89</v>
      </c>
      <c r="AZ35" s="9" t="n">
        <v>73.53</v>
      </c>
      <c r="BA35" s="9" t="n">
        <v>73.53</v>
      </c>
      <c r="BB35" s="9" t="n">
        <v>25642300</v>
      </c>
      <c r="BC35" s="9" t="inlineStr"/>
      <c r="BD35" s="9" t="n">
        <v>110.92</v>
      </c>
      <c r="BE35" s="9" t="n">
        <v>110.985</v>
      </c>
      <c r="BF35" s="9" t="n">
        <v>109.28</v>
      </c>
      <c r="BG35" s="9" t="n">
        <v>109.46</v>
      </c>
      <c r="BH35" s="9" t="n">
        <v>109.46</v>
      </c>
      <c r="BI35" s="9" t="n">
        <v>5527900</v>
      </c>
      <c r="BJ35" s="9" t="inlineStr"/>
      <c r="BK35" s="10">
        <f>IF(COUNT(K35:K36)=2,ROUND((K35/K36-1)*100,4),"")</f>
        <v/>
      </c>
      <c r="BL35" s="10">
        <f>IF(COUNT(R35:R36)=2,ROUND((R35/R36-1)*100,4),"")</f>
        <v/>
      </c>
      <c r="BM35" s="10">
        <f>IF(COUNT(Y35:Y36)=2,ROUND((Y35/Y36-1)*100,4),"")</f>
        <v/>
      </c>
      <c r="BN35" s="10">
        <f>IF(COUNT(AF35:AF36)=2,ROUND((AF35/AF36-1)*100,4),"")</f>
        <v/>
      </c>
      <c r="BO35" s="10">
        <f>IF(COUNT(AM35:AM36)=2,ROUND((AM35/AM36-1)*100,4),"")</f>
        <v/>
      </c>
      <c r="BP35" s="10">
        <f>IF(COUNT(AT35:AT36)=2,ROUND((AT35/AT36-1)*100,4),"")</f>
        <v/>
      </c>
      <c r="BQ35" s="10">
        <f>IF(COUNT(BA35:BA36)=2,ROUND((BA35/BA36-1)*100,4),"")</f>
        <v/>
      </c>
      <c r="BR35" s="10">
        <f>IF(COUNT(BH35:BH36)=2,ROUND((BH35/BH36-1)*100,4),"")</f>
        <v/>
      </c>
      <c r="BS35" s="9" t="inlineStr"/>
      <c r="BT35" s="9" t="n">
        <v>16.9</v>
      </c>
      <c r="BU35" s="10">
        <f>IF(COUNT(BT35:BT36)=2,ROUND((BT35/BT36-1)*100,4),"")</f>
        <v/>
      </c>
      <c r="BV35" s="10" t="n">
        <v>4.7737</v>
      </c>
      <c r="BW35" s="9" t="inlineStr"/>
      <c r="BX35" s="10">
        <f>IF(AND(BV35&gt;$BX$12,D35&lt;=$BX$13),D34,"")</f>
        <v/>
      </c>
      <c r="BY35" s="10">
        <f>IF(AND(BM35&lt;$BY$12,BN35&gt;$BY$13),D34,"")</f>
        <v/>
      </c>
      <c r="BZ35" s="10">
        <f>IF(AND(BK35&gt;$BZ$12,BL35&lt;$BZ$13,BM35&gt;$BZ$11),D34,"")</f>
        <v/>
      </c>
      <c r="CA35" s="10">
        <f>IF(BX35&lt;&gt;"",BX35,IF(BY35&lt;&gt;"",BY35,BZ35))</f>
        <v/>
      </c>
      <c r="CB35" s="10">
        <f>IF(AND(BQ35&gt;$CB$12,BR35&lt;$CB$13),E34,"")</f>
        <v/>
      </c>
      <c r="CC35" s="10">
        <f>IF(AND(BO35&lt;=$CC$12,E35&lt;$CC$13),E34,"")</f>
        <v/>
      </c>
      <c r="CD35" s="10">
        <f>IF(AND(BP35&gt;$CD$12,BQ35&gt;$CD$13),E34,"")</f>
        <v/>
      </c>
      <c r="CE35" s="10">
        <f>IF(CB35&lt;&gt;"",CB35,IF(CC35&lt;&gt;"",CC35,CD35))</f>
        <v/>
      </c>
    </row>
    <row r="36">
      <c r="A36" s="9" t="inlineStr">
        <is>
          <t>2026/07/07</t>
        </is>
      </c>
      <c r="B36" s="9" t="n">
        <v>159.4</v>
      </c>
      <c r="C36" s="9" t="n">
        <v>183.5</v>
      </c>
      <c r="D36" s="10">
        <f>IF(COUNT(B36:B37)=2,ROUND((B36/B37-1)*100,4),"")</f>
        <v/>
      </c>
      <c r="E36" s="10">
        <f>IF(COUNT(C36:C37)=2,ROUND((C36/C37-1)*100,4),"")</f>
        <v/>
      </c>
      <c r="F36" s="9" t="inlineStr"/>
      <c r="G36" s="9" t="n">
        <v>65.98999999999999</v>
      </c>
      <c r="H36" s="9" t="n">
        <v>66.33</v>
      </c>
      <c r="I36" s="9" t="n">
        <v>65.26000000000001</v>
      </c>
      <c r="J36" s="9" t="n">
        <v>65.72</v>
      </c>
      <c r="K36" s="9" t="n">
        <v>65.72</v>
      </c>
      <c r="L36" s="9" t="n">
        <v>26285100</v>
      </c>
      <c r="M36" s="9" t="inlineStr"/>
      <c r="N36" s="9" t="n">
        <v>382.39</v>
      </c>
      <c r="O36" s="9" t="n">
        <v>383.6</v>
      </c>
      <c r="P36" s="9" t="n">
        <v>375.52</v>
      </c>
      <c r="Q36" s="9" t="n">
        <v>377.49</v>
      </c>
      <c r="R36" s="9" t="n">
        <v>377.49</v>
      </c>
      <c r="S36" s="9" t="n">
        <v>4815400</v>
      </c>
      <c r="T36" s="9" t="inlineStr"/>
      <c r="U36" s="9" t="n">
        <v>79.84999999999999</v>
      </c>
      <c r="V36" s="9" t="n">
        <v>79.88</v>
      </c>
      <c r="W36" s="9" t="n">
        <v>79.72</v>
      </c>
      <c r="X36" s="9" t="n">
        <v>79.76000000000001</v>
      </c>
      <c r="Y36" s="9" t="n">
        <v>79.3746</v>
      </c>
      <c r="Z36" s="9" t="n">
        <v>28558300</v>
      </c>
      <c r="AA36" s="9" t="inlineStr"/>
      <c r="AB36" s="9" t="n">
        <v>108.36</v>
      </c>
      <c r="AC36" s="9" t="n">
        <v>108.36</v>
      </c>
      <c r="AD36" s="9" t="n">
        <v>108.11</v>
      </c>
      <c r="AE36" s="9" t="n">
        <v>108.17</v>
      </c>
      <c r="AF36" s="9" t="n">
        <v>107.3821</v>
      </c>
      <c r="AG36" s="9" t="n">
        <v>1755100</v>
      </c>
      <c r="AH36" s="9" t="inlineStr"/>
      <c r="AI36" s="9" t="n">
        <v>56.31</v>
      </c>
      <c r="AJ36" s="9" t="n">
        <v>56.59</v>
      </c>
      <c r="AK36" s="9" t="n">
        <v>56.01</v>
      </c>
      <c r="AL36" s="9" t="n">
        <v>56.05</v>
      </c>
      <c r="AM36" s="9" t="n">
        <v>56.05</v>
      </c>
      <c r="AN36" s="9" t="n">
        <v>27116500</v>
      </c>
      <c r="AO36" s="9" t="inlineStr"/>
      <c r="AP36" s="9" t="n">
        <v>56.64</v>
      </c>
      <c r="AQ36" s="9" t="n">
        <v>56.68</v>
      </c>
      <c r="AR36" s="9" t="n">
        <v>56.58</v>
      </c>
      <c r="AS36" s="9" t="n">
        <v>56.63</v>
      </c>
      <c r="AT36" s="9" t="n">
        <v>56.63</v>
      </c>
      <c r="AU36" s="9" t="n">
        <v>93700</v>
      </c>
      <c r="AV36" s="9" t="inlineStr"/>
      <c r="AW36" s="9" t="n">
        <v>78.34999999999999</v>
      </c>
      <c r="AX36" s="9" t="n">
        <v>78.79000000000001</v>
      </c>
      <c r="AY36" s="9" t="n">
        <v>75.13</v>
      </c>
      <c r="AZ36" s="9" t="n">
        <v>75.76000000000001</v>
      </c>
      <c r="BA36" s="9" t="n">
        <v>75.76000000000001</v>
      </c>
      <c r="BB36" s="9" t="n">
        <v>20562000</v>
      </c>
      <c r="BC36" s="9" t="inlineStr"/>
      <c r="BD36" s="9" t="n">
        <v>111.67</v>
      </c>
      <c r="BE36" s="9" t="n">
        <v>112.27</v>
      </c>
      <c r="BF36" s="9" t="n">
        <v>110.95</v>
      </c>
      <c r="BG36" s="9" t="n">
        <v>111.02</v>
      </c>
      <c r="BH36" s="9" t="n">
        <v>111.02</v>
      </c>
      <c r="BI36" s="9" t="n">
        <v>7882400</v>
      </c>
      <c r="BJ36" s="9" t="inlineStr"/>
      <c r="BK36" s="10">
        <f>IF(COUNT(K36:K37)=2,ROUND((K36/K37-1)*100,4),"")</f>
        <v/>
      </c>
      <c r="BL36" s="10">
        <f>IF(COUNT(R36:R37)=2,ROUND((R36/R37-1)*100,4),"")</f>
        <v/>
      </c>
      <c r="BM36" s="10">
        <f>IF(COUNT(Y36:Y37)=2,ROUND((Y36/Y37-1)*100,4),"")</f>
        <v/>
      </c>
      <c r="BN36" s="10">
        <f>IF(COUNT(AF36:AF37)=2,ROUND((AF36/AF37-1)*100,4),"")</f>
        <v/>
      </c>
      <c r="BO36" s="10">
        <f>IF(COUNT(AM36:AM37)=2,ROUND((AM36/AM37-1)*100,4),"")</f>
        <v/>
      </c>
      <c r="BP36" s="10">
        <f>IF(COUNT(AT36:AT37)=2,ROUND((AT36/AT37-1)*100,4),"")</f>
        <v/>
      </c>
      <c r="BQ36" s="10">
        <f>IF(COUNT(BA36:BA37)=2,ROUND((BA36/BA37-1)*100,4),"")</f>
        <v/>
      </c>
      <c r="BR36" s="10">
        <f>IF(COUNT(BH36:BH37)=2,ROUND((BH36/BH37-1)*100,4),"")</f>
        <v/>
      </c>
      <c r="BS36" s="9" t="inlineStr"/>
      <c r="BT36" s="9" t="n">
        <v>16.13</v>
      </c>
      <c r="BU36" s="10">
        <f>IF(COUNT(BT36:BT37)=2,ROUND((BT36/BT37-1)*100,4),"")</f>
        <v/>
      </c>
      <c r="BV36" s="10" t="n">
        <v>3.5967</v>
      </c>
      <c r="BW36" s="9" t="inlineStr"/>
      <c r="BX36" s="10">
        <f>IF(AND(BV36&gt;$BX$12,D36&lt;=$BX$13),D35,"")</f>
        <v/>
      </c>
      <c r="BY36" s="10">
        <f>IF(AND(BM36&lt;$BY$12,BN36&gt;$BY$13),D35,"")</f>
        <v/>
      </c>
      <c r="BZ36" s="10">
        <f>IF(AND(BK36&gt;$BZ$12,BL36&lt;$BZ$13,BM36&gt;$BZ$11),D35,"")</f>
        <v/>
      </c>
      <c r="CA36" s="10">
        <f>IF(BX36&lt;&gt;"",BX36,IF(BY36&lt;&gt;"",BY36,BZ36))</f>
        <v/>
      </c>
      <c r="CB36" s="10">
        <f>IF(AND(BQ36&gt;$CB$12,BR36&lt;$CB$13),E35,"")</f>
        <v/>
      </c>
      <c r="CC36" s="10">
        <f>IF(AND(BO36&lt;=$CC$12,E36&lt;$CC$13),E35,"")</f>
        <v/>
      </c>
      <c r="CD36" s="10">
        <f>IF(AND(BP36&gt;$CD$12,BQ36&gt;$CD$13),E35,"")</f>
        <v/>
      </c>
      <c r="CE36" s="10">
        <f>IF(CB36&lt;&gt;"",CB36,IF(CC36&lt;&gt;"",CC36,CD36))</f>
        <v/>
      </c>
    </row>
    <row r="37">
      <c r="A37" s="9" t="inlineStr">
        <is>
          <t>2026/07/06</t>
        </is>
      </c>
      <c r="B37" s="9" t="n">
        <v>165.32</v>
      </c>
      <c r="C37" s="9" t="n">
        <v>185.21</v>
      </c>
      <c r="D37" s="10">
        <f>IF(COUNT(B37:B38)=2,ROUND((B37/B38-1)*100,4),"")</f>
        <v/>
      </c>
      <c r="E37" s="10">
        <f>IF(COUNT(C37:C38)=2,ROUND((C37/C38-1)*100,4),"")</f>
        <v/>
      </c>
      <c r="F37" s="9" t="inlineStr"/>
      <c r="G37" s="9" t="n">
        <v>67.25</v>
      </c>
      <c r="H37" s="9" t="n">
        <v>67.79000000000001</v>
      </c>
      <c r="I37" s="9" t="n">
        <v>67.20999999999999</v>
      </c>
      <c r="J37" s="9" t="n">
        <v>67.56999999999999</v>
      </c>
      <c r="K37" s="9" t="n">
        <v>67.56999999999999</v>
      </c>
      <c r="L37" s="9" t="n">
        <v>24039300</v>
      </c>
      <c r="M37" s="9" t="inlineStr"/>
      <c r="N37" s="9" t="n">
        <v>380.21</v>
      </c>
      <c r="O37" s="9" t="n">
        <v>382.43</v>
      </c>
      <c r="P37" s="9" t="n">
        <v>378.83</v>
      </c>
      <c r="Q37" s="9" t="n">
        <v>382.13</v>
      </c>
      <c r="R37" s="9" t="n">
        <v>382.13</v>
      </c>
      <c r="S37" s="9" t="n">
        <v>3906500</v>
      </c>
      <c r="T37" s="9" t="inlineStr"/>
      <c r="U37" s="9" t="n">
        <v>79.73</v>
      </c>
      <c r="V37" s="9" t="n">
        <v>79.91</v>
      </c>
      <c r="W37" s="9" t="n">
        <v>79.73</v>
      </c>
      <c r="X37" s="9" t="n">
        <v>79.87</v>
      </c>
      <c r="Y37" s="9" t="n">
        <v>79.4841</v>
      </c>
      <c r="Z37" s="9" t="n">
        <v>25159400</v>
      </c>
      <c r="AA37" s="9" t="inlineStr"/>
      <c r="AB37" s="9" t="n">
        <v>108.43</v>
      </c>
      <c r="AC37" s="9" t="n">
        <v>108.49</v>
      </c>
      <c r="AD37" s="9" t="n">
        <v>108.3</v>
      </c>
      <c r="AE37" s="9" t="n">
        <v>108.49</v>
      </c>
      <c r="AF37" s="9" t="n">
        <v>107.6997</v>
      </c>
      <c r="AG37" s="9" t="n">
        <v>1346000</v>
      </c>
      <c r="AH37" s="9" t="inlineStr"/>
      <c r="AI37" s="9" t="n">
        <v>55.85</v>
      </c>
      <c r="AJ37" s="9" t="n">
        <v>56.16</v>
      </c>
      <c r="AK37" s="9" t="n">
        <v>55.58</v>
      </c>
      <c r="AL37" s="9" t="n">
        <v>56.14</v>
      </c>
      <c r="AM37" s="9" t="n">
        <v>56.14</v>
      </c>
      <c r="AN37" s="9" t="n">
        <v>32043700</v>
      </c>
      <c r="AO37" s="9" t="inlineStr"/>
      <c r="AP37" s="9" t="n">
        <v>56.5</v>
      </c>
      <c r="AQ37" s="9" t="n">
        <v>56.61</v>
      </c>
      <c r="AR37" s="9" t="n">
        <v>56.48</v>
      </c>
      <c r="AS37" s="9" t="n">
        <v>56.59</v>
      </c>
      <c r="AT37" s="9" t="n">
        <v>56.59</v>
      </c>
      <c r="AU37" s="9" t="n">
        <v>154400</v>
      </c>
      <c r="AV37" s="9" t="inlineStr"/>
      <c r="AW37" s="9" t="n">
        <v>79.52</v>
      </c>
      <c r="AX37" s="9" t="n">
        <v>80.18000000000001</v>
      </c>
      <c r="AY37" s="9" t="n">
        <v>77.5</v>
      </c>
      <c r="AZ37" s="9" t="n">
        <v>78.73999999999999</v>
      </c>
      <c r="BA37" s="9" t="n">
        <v>78.73999999999999</v>
      </c>
      <c r="BB37" s="9" t="n">
        <v>13977300</v>
      </c>
      <c r="BC37" s="9" t="inlineStr"/>
      <c r="BD37" s="9" t="n">
        <v>110.075</v>
      </c>
      <c r="BE37" s="9" t="n">
        <v>110.375</v>
      </c>
      <c r="BF37" s="9" t="n">
        <v>108.98</v>
      </c>
      <c r="BG37" s="9" t="n">
        <v>110.21</v>
      </c>
      <c r="BH37" s="9" t="n">
        <v>110.21</v>
      </c>
      <c r="BI37" s="9" t="n">
        <v>8938800</v>
      </c>
      <c r="BJ37" s="9" t="inlineStr"/>
      <c r="BK37" s="10">
        <f>IF(COUNT(K37:K38)=2,ROUND((K37/K38-1)*100,4),"")</f>
        <v/>
      </c>
      <c r="BL37" s="10">
        <f>IF(COUNT(R37:R38)=2,ROUND((R37/R38-1)*100,4),"")</f>
        <v/>
      </c>
      <c r="BM37" s="10">
        <f>IF(COUNT(Y37:Y38)=2,ROUND((Y37/Y38-1)*100,4),"")</f>
        <v/>
      </c>
      <c r="BN37" s="10">
        <f>IF(COUNT(AF37:AF38)=2,ROUND((AF37/AF38-1)*100,4),"")</f>
        <v/>
      </c>
      <c r="BO37" s="10">
        <f>IF(COUNT(AM37:AM38)=2,ROUND((AM37/AM38-1)*100,4),"")</f>
        <v/>
      </c>
      <c r="BP37" s="10">
        <f>IF(COUNT(AT37:AT38)=2,ROUND((AT37/AT38-1)*100,4),"")</f>
        <v/>
      </c>
      <c r="BQ37" s="10">
        <f>IF(COUNT(BA37:BA38)=2,ROUND((BA37/BA38-1)*100,4),"")</f>
        <v/>
      </c>
      <c r="BR37" s="10">
        <f>IF(COUNT(BH37:BH38)=2,ROUND((BH37/BH38-1)*100,4),"")</f>
        <v/>
      </c>
      <c r="BS37" s="9" t="inlineStr"/>
      <c r="BT37" s="9" t="n">
        <v>15.57</v>
      </c>
      <c r="BU37" s="10">
        <f>IF(COUNT(BT37:BT38)=2,ROUND((BT37/BT38-1)*100,4),"")</f>
        <v/>
      </c>
      <c r="BV37" s="10" t="n">
        <v>-3.5913</v>
      </c>
      <c r="BW37" s="9" t="inlineStr"/>
      <c r="BX37" s="10">
        <f>IF(AND(BV37&gt;$BX$12,D37&lt;=$BX$13),D36,"")</f>
        <v/>
      </c>
      <c r="BY37" s="10">
        <f>IF(AND(BM37&lt;$BY$12,BN37&gt;$BY$13),D36,"")</f>
        <v/>
      </c>
      <c r="BZ37" s="10">
        <f>IF(AND(BK37&gt;$BZ$12,BL37&lt;$BZ$13,BM37&gt;$BZ$11),D36,"")</f>
        <v/>
      </c>
      <c r="CA37" s="10">
        <f>IF(BX37&lt;&gt;"",BX37,IF(BY37&lt;&gt;"",BY37,BZ37))</f>
        <v/>
      </c>
      <c r="CB37" s="10">
        <f>IF(AND(BQ37&gt;$CB$12,BR37&lt;$CB$13),E36,"")</f>
        <v/>
      </c>
      <c r="CC37" s="10">
        <f>IF(AND(BO37&lt;=$CC$12,E37&lt;$CC$13),E36,"")</f>
        <v/>
      </c>
      <c r="CD37" s="10">
        <f>IF(AND(BP37&gt;$CD$12,BQ37&gt;$CD$13),E36,"")</f>
        <v/>
      </c>
      <c r="CE37" s="10">
        <f>IF(CB37&lt;&gt;"",CB37,IF(CC37&lt;&gt;"",CC37,CD37))</f>
        <v/>
      </c>
    </row>
    <row r="38">
      <c r="A38" s="9" t="inlineStr">
        <is>
          <t>2026/07/02</t>
        </is>
      </c>
      <c r="B38" s="9" t="n">
        <v>161.26</v>
      </c>
      <c r="C38" s="9" t="n">
        <v>182.53</v>
      </c>
      <c r="D38" s="10">
        <f>IF(COUNT(B38:B39)=2,ROUND((B38/B39-1)*100,4),"")</f>
        <v/>
      </c>
      <c r="E38" s="10">
        <f>IF(COUNT(C38:C39)=2,ROUND((C38/C39-1)*100,4),"")</f>
        <v/>
      </c>
      <c r="F38" s="9" t="inlineStr"/>
      <c r="G38" s="9" t="n">
        <v>66.53</v>
      </c>
      <c r="H38" s="9" t="n">
        <v>67.19</v>
      </c>
      <c r="I38" s="9" t="n">
        <v>64.8</v>
      </c>
      <c r="J38" s="9" t="n">
        <v>65.7</v>
      </c>
      <c r="K38" s="9" t="n">
        <v>65.7</v>
      </c>
      <c r="L38" s="9" t="n">
        <v>34258700</v>
      </c>
      <c r="M38" s="9" t="inlineStr"/>
      <c r="N38" s="9" t="n">
        <v>377.44</v>
      </c>
      <c r="O38" s="9" t="n">
        <v>380.27</v>
      </c>
      <c r="P38" s="9" t="n">
        <v>376.29</v>
      </c>
      <c r="Q38" s="9" t="n">
        <v>378.13</v>
      </c>
      <c r="R38" s="9" t="n">
        <v>378.13</v>
      </c>
      <c r="S38" s="9" t="n">
        <v>7592900</v>
      </c>
      <c r="T38" s="9" t="inlineStr"/>
      <c r="U38" s="9" t="n">
        <v>79.73</v>
      </c>
      <c r="V38" s="9" t="n">
        <v>79.79000000000001</v>
      </c>
      <c r="W38" s="9" t="n">
        <v>79.67</v>
      </c>
      <c r="X38" s="9" t="n">
        <v>79.70999999999999</v>
      </c>
      <c r="Y38" s="9" t="n">
        <v>79.3249</v>
      </c>
      <c r="Z38" s="9" t="n">
        <v>26111800</v>
      </c>
      <c r="AA38" s="9" t="inlineStr"/>
      <c r="AB38" s="9" t="n">
        <v>108.31</v>
      </c>
      <c r="AC38" s="9" t="n">
        <v>108.43</v>
      </c>
      <c r="AD38" s="9" t="n">
        <v>108.24</v>
      </c>
      <c r="AE38" s="9" t="n">
        <v>108.33</v>
      </c>
      <c r="AF38" s="9" t="n">
        <v>107.5409</v>
      </c>
      <c r="AG38" s="9" t="n">
        <v>2011700</v>
      </c>
      <c r="AH38" s="9" t="inlineStr"/>
      <c r="AI38" s="9" t="n">
        <v>55.28</v>
      </c>
      <c r="AJ38" s="9" t="n">
        <v>55.64</v>
      </c>
      <c r="AK38" s="9" t="n">
        <v>55.01</v>
      </c>
      <c r="AL38" s="9" t="n">
        <v>55.62</v>
      </c>
      <c r="AM38" s="9" t="n">
        <v>55.62</v>
      </c>
      <c r="AN38" s="9" t="n">
        <v>46246100</v>
      </c>
      <c r="AO38" s="9" t="inlineStr"/>
      <c r="AP38" s="9" t="n">
        <v>56.94</v>
      </c>
      <c r="AQ38" s="9" t="n">
        <v>57.06</v>
      </c>
      <c r="AR38" s="9" t="n">
        <v>56.92</v>
      </c>
      <c r="AS38" s="9" t="n">
        <v>56.95</v>
      </c>
      <c r="AT38" s="9" t="n">
        <v>56.95</v>
      </c>
      <c r="AU38" s="9" t="n">
        <v>222400</v>
      </c>
      <c r="AV38" s="9" t="inlineStr"/>
      <c r="AW38" s="9" t="n">
        <v>77.70999999999999</v>
      </c>
      <c r="AX38" s="9" t="n">
        <v>79.2</v>
      </c>
      <c r="AY38" s="9" t="n">
        <v>76.78</v>
      </c>
      <c r="AZ38" s="9" t="n">
        <v>78.43000000000001</v>
      </c>
      <c r="BA38" s="9" t="n">
        <v>78.43000000000001</v>
      </c>
      <c r="BB38" s="9" t="n">
        <v>29963500</v>
      </c>
      <c r="BC38" s="9" t="inlineStr"/>
      <c r="BD38" s="9" t="n">
        <v>109.61</v>
      </c>
      <c r="BE38" s="9" t="n">
        <v>110.01</v>
      </c>
      <c r="BF38" s="9" t="n">
        <v>108.55</v>
      </c>
      <c r="BG38" s="9" t="n">
        <v>109.6</v>
      </c>
      <c r="BH38" s="9" t="n">
        <v>109.6</v>
      </c>
      <c r="BI38" s="9" t="n">
        <v>8388900</v>
      </c>
      <c r="BJ38" s="9" t="inlineStr"/>
      <c r="BK38" s="10">
        <f>IF(COUNT(K38:K39)=2,ROUND((K38/K39-1)*100,4),"")</f>
        <v/>
      </c>
      <c r="BL38" s="10">
        <f>IF(COUNT(R38:R39)=2,ROUND((R38/R39-1)*100,4),"")</f>
        <v/>
      </c>
      <c r="BM38" s="10">
        <f>IF(COUNT(Y38:Y39)=2,ROUND((Y38/Y39-1)*100,4),"")</f>
        <v/>
      </c>
      <c r="BN38" s="10">
        <f>IF(COUNT(AF38:AF39)=2,ROUND((AF38/AF39-1)*100,4),"")</f>
        <v/>
      </c>
      <c r="BO38" s="10">
        <f>IF(COUNT(AM38:AM39)=2,ROUND((AM38/AM39-1)*100,4),"")</f>
        <v/>
      </c>
      <c r="BP38" s="10">
        <f>IF(COUNT(AT38:AT39)=2,ROUND((AT38/AT39-1)*100,4),"")</f>
        <v/>
      </c>
      <c r="BQ38" s="10">
        <f>IF(COUNT(BA38:BA39)=2,ROUND((BA38/BA39-1)*100,4),"")</f>
        <v/>
      </c>
      <c r="BR38" s="10">
        <f>IF(COUNT(BH38:BH39)=2,ROUND((BH38/BH39-1)*100,4),"")</f>
        <v/>
      </c>
      <c r="BS38" s="9" t="inlineStr"/>
      <c r="BT38" s="9" t="n">
        <v>16.15</v>
      </c>
      <c r="BU38" s="10">
        <f>IF(COUNT(BT38:BT39)=2,ROUND((BT38/BT39-1)*100,4),"")</f>
        <v/>
      </c>
      <c r="BV38" s="10" t="n">
        <v>-2.6522</v>
      </c>
      <c r="BW38" s="9" t="inlineStr"/>
      <c r="BX38" s="10">
        <f>IF(AND(BV38&gt;$BX$12,D38&lt;=$BX$13),D37,"")</f>
        <v/>
      </c>
      <c r="BY38" s="10">
        <f>IF(AND(BM38&lt;$BY$12,BN38&gt;$BY$13),D37,"")</f>
        <v/>
      </c>
      <c r="BZ38" s="10">
        <f>IF(AND(BK38&gt;$BZ$12,BL38&lt;$BZ$13,BM38&gt;$BZ$11),D37,"")</f>
        <v/>
      </c>
      <c r="CA38" s="10">
        <f>IF(BX38&lt;&gt;"",BX38,IF(BY38&lt;&gt;"",BY38,BZ38))</f>
        <v/>
      </c>
      <c r="CB38" s="10">
        <f>IF(AND(BQ38&gt;$CB$12,BR38&lt;$CB$13),E37,"")</f>
        <v/>
      </c>
      <c r="CC38" s="10">
        <f>IF(AND(BO38&lt;=$CC$12,E38&lt;$CC$13),E37,"")</f>
        <v/>
      </c>
      <c r="CD38" s="10">
        <f>IF(AND(BP38&gt;$CD$12,BQ38&gt;$CD$13),E37,"")</f>
        <v/>
      </c>
      <c r="CE38" s="10">
        <f>IF(CB38&lt;&gt;"",CB38,IF(CC38&lt;&gt;"",CC38,CD38))</f>
        <v/>
      </c>
    </row>
    <row r="39">
      <c r="A39" s="9" t="inlineStr">
        <is>
          <t>2026/07/01</t>
        </is>
      </c>
      <c r="B39" s="9" t="n">
        <v>166.74</v>
      </c>
      <c r="C39" s="9" t="n">
        <v>182.68</v>
      </c>
      <c r="D39" s="10">
        <f>IF(COUNT(B39:B40)=2,ROUND((B39/B40-1)*100,4),"")</f>
        <v/>
      </c>
      <c r="E39" s="10">
        <f>IF(COUNT(C39:C40)=2,ROUND((C39/C40-1)*100,4),"")</f>
        <v/>
      </c>
      <c r="F39" s="9" t="inlineStr"/>
      <c r="G39" s="9" t="n">
        <v>66.91</v>
      </c>
      <c r="H39" s="9" t="n">
        <v>67.45999999999999</v>
      </c>
      <c r="I39" s="9" t="n">
        <v>66.48</v>
      </c>
      <c r="J39" s="9" t="n">
        <v>66.48</v>
      </c>
      <c r="K39" s="9" t="n">
        <v>66.48</v>
      </c>
      <c r="L39" s="9" t="n">
        <v>28146700</v>
      </c>
      <c r="M39" s="9" t="inlineStr"/>
      <c r="N39" s="9" t="n">
        <v>371.21</v>
      </c>
      <c r="O39" s="9" t="n">
        <v>377.78</v>
      </c>
      <c r="P39" s="9" t="n">
        <v>370.21</v>
      </c>
      <c r="Q39" s="9" t="n">
        <v>370.6</v>
      </c>
      <c r="R39" s="9" t="n">
        <v>370.6</v>
      </c>
      <c r="S39" s="9" t="n">
        <v>9058300</v>
      </c>
      <c r="T39" s="9" t="inlineStr"/>
      <c r="U39" s="9" t="n">
        <v>79.56</v>
      </c>
      <c r="V39" s="9" t="n">
        <v>79.66</v>
      </c>
      <c r="W39" s="9" t="n">
        <v>79.51000000000001</v>
      </c>
      <c r="X39" s="9" t="n">
        <v>79.59</v>
      </c>
      <c r="Y39" s="9" t="n">
        <v>79.2055</v>
      </c>
      <c r="Z39" s="9" t="n">
        <v>38152300</v>
      </c>
      <c r="AA39" s="9" t="inlineStr"/>
      <c r="AB39" s="9" t="n">
        <v>108.29</v>
      </c>
      <c r="AC39" s="9" t="n">
        <v>108.46</v>
      </c>
      <c r="AD39" s="9" t="n">
        <v>108.16</v>
      </c>
      <c r="AE39" s="9" t="n">
        <v>108.17</v>
      </c>
      <c r="AF39" s="9" t="n">
        <v>107.3821</v>
      </c>
      <c r="AG39" s="9" t="n">
        <v>1690900</v>
      </c>
      <c r="AH39" s="9" t="inlineStr"/>
      <c r="AI39" s="9" t="n">
        <v>53.83</v>
      </c>
      <c r="AJ39" s="9" t="n">
        <v>55.08</v>
      </c>
      <c r="AK39" s="9" t="n">
        <v>53.75</v>
      </c>
      <c r="AL39" s="9" t="n">
        <v>54.78</v>
      </c>
      <c r="AM39" s="9" t="n">
        <v>54.78</v>
      </c>
      <c r="AN39" s="9" t="n">
        <v>47809800</v>
      </c>
      <c r="AO39" s="9" t="inlineStr"/>
      <c r="AP39" s="9" t="n">
        <v>56.41</v>
      </c>
      <c r="AQ39" s="9" t="n">
        <v>56.53</v>
      </c>
      <c r="AR39" s="9" t="n">
        <v>56.41</v>
      </c>
      <c r="AS39" s="9" t="n">
        <v>56.43</v>
      </c>
      <c r="AT39" s="9" t="n">
        <v>56.43</v>
      </c>
      <c r="AU39" s="9" t="n">
        <v>178000</v>
      </c>
      <c r="AV39" s="9" t="inlineStr"/>
      <c r="AW39" s="9" t="n">
        <v>75.43000000000001</v>
      </c>
      <c r="AX39" s="9" t="n">
        <v>78.16</v>
      </c>
      <c r="AY39" s="9" t="n">
        <v>74.98</v>
      </c>
      <c r="AZ39" s="9" t="n">
        <v>75.06999999999999</v>
      </c>
      <c r="BA39" s="9" t="n">
        <v>75.06999999999999</v>
      </c>
      <c r="BB39" s="9" t="n">
        <v>22382800</v>
      </c>
      <c r="BC39" s="9" t="inlineStr"/>
      <c r="BD39" s="9" t="n">
        <v>109.03</v>
      </c>
      <c r="BE39" s="9" t="n">
        <v>110.84</v>
      </c>
      <c r="BF39" s="9" t="n">
        <v>108.635</v>
      </c>
      <c r="BG39" s="9" t="n">
        <v>109.74</v>
      </c>
      <c r="BH39" s="9" t="n">
        <v>109.74</v>
      </c>
      <c r="BI39" s="9" t="n">
        <v>14529400</v>
      </c>
      <c r="BJ39" s="9" t="inlineStr"/>
      <c r="BK39" s="10">
        <f>IF(COUNT(K39:K40)=2,ROUND((K39/K40-1)*100,4),"")</f>
        <v/>
      </c>
      <c r="BL39" s="10">
        <f>IF(COUNT(R39:R40)=2,ROUND((R39/R40-1)*100,4),"")</f>
        <v/>
      </c>
      <c r="BM39" s="10">
        <f>IF(COUNT(Y39:Y40)=2,ROUND((Y39/Y40-1)*100,4),"")</f>
        <v/>
      </c>
      <c r="BN39" s="10">
        <f>IF(COUNT(AF39:AF40)=2,ROUND((AF39/AF40-1)*100,4),"")</f>
        <v/>
      </c>
      <c r="BO39" s="10">
        <f>IF(COUNT(AM39:AM40)=2,ROUND((AM39/AM40-1)*100,4),"")</f>
        <v/>
      </c>
      <c r="BP39" s="10">
        <f>IF(COUNT(AT39:AT40)=2,ROUND((AT39/AT40-1)*100,4),"")</f>
        <v/>
      </c>
      <c r="BQ39" s="10">
        <f>IF(COUNT(BA39:BA40)=2,ROUND((BA39/BA40-1)*100,4),"")</f>
        <v/>
      </c>
      <c r="BR39" s="10">
        <f>IF(COUNT(BH39:BH40)=2,ROUND((BH39/BH40-1)*100,4),"")</f>
        <v/>
      </c>
      <c r="BS39" s="9" t="inlineStr"/>
      <c r="BT39" s="9" t="n">
        <v>16.59</v>
      </c>
      <c r="BU39" s="10">
        <f>IF(COUNT(BT39:BT40)=2,ROUND((BT39/BT40-1)*100,4),"")</f>
        <v/>
      </c>
      <c r="BV39" s="10" t="n">
        <v>0.8511</v>
      </c>
      <c r="BW39" s="9" t="inlineStr"/>
      <c r="BX39" s="10">
        <f>IF(AND(BV39&gt;$BX$12,D39&lt;=$BX$13),D38,"")</f>
        <v/>
      </c>
      <c r="BY39" s="10">
        <f>IF(AND(BM39&lt;$BY$12,BN39&gt;$BY$13),D38,"")</f>
        <v/>
      </c>
      <c r="BZ39" s="10">
        <f>IF(AND(BK39&gt;$BZ$12,BL39&lt;$BZ$13,BM39&gt;$BZ$11),D38,"")</f>
        <v/>
      </c>
      <c r="CA39" s="10">
        <f>IF(BX39&lt;&gt;"",BX39,IF(BY39&lt;&gt;"",BY39,BZ39))</f>
        <v/>
      </c>
      <c r="CB39" s="10">
        <f>IF(AND(BQ39&gt;$CB$12,BR39&lt;$CB$13),E38,"")</f>
        <v/>
      </c>
      <c r="CC39" s="10">
        <f>IF(AND(BO39&lt;=$CC$12,E39&lt;$CC$13),E38,"")</f>
        <v/>
      </c>
      <c r="CD39" s="10">
        <f>IF(AND(BP39&gt;$CD$12,BQ39&gt;$CD$13),E38,"")</f>
        <v/>
      </c>
      <c r="CE39" s="10">
        <f>IF(CB39&lt;&gt;"",CB39,IF(CC39&lt;&gt;"",CC39,CD39))</f>
        <v/>
      </c>
    </row>
    <row r="40">
      <c r="A40" s="9" t="inlineStr">
        <is>
          <t>2026/06/30</t>
        </is>
      </c>
      <c r="B40" s="9" t="n">
        <v>172.04</v>
      </c>
      <c r="C40" s="9" t="n">
        <v>183.4</v>
      </c>
      <c r="D40" s="10">
        <f>IF(COUNT(B40:B41)=2,ROUND((B40/B41-1)*100,4),"")</f>
        <v/>
      </c>
      <c r="E40" s="10">
        <f>IF(COUNT(C40:C41)=2,ROUND((C40/C41-1)*100,4),"")</f>
        <v/>
      </c>
      <c r="F40" s="9" t="inlineStr"/>
      <c r="G40" s="9" t="n">
        <v>67.59</v>
      </c>
      <c r="H40" s="9" t="n">
        <v>68.5</v>
      </c>
      <c r="I40" s="9" t="n">
        <v>67.48</v>
      </c>
      <c r="J40" s="9" t="n">
        <v>68.41</v>
      </c>
      <c r="K40" s="9" t="n">
        <v>68.41</v>
      </c>
      <c r="L40" s="9" t="n">
        <v>20384300</v>
      </c>
      <c r="M40" s="9" t="inlineStr"/>
      <c r="N40" s="9" t="n">
        <v>369.22</v>
      </c>
      <c r="O40" s="9" t="n">
        <v>372.83</v>
      </c>
      <c r="P40" s="9" t="n">
        <v>368.26</v>
      </c>
      <c r="Q40" s="9" t="n">
        <v>368.38</v>
      </c>
      <c r="R40" s="9" t="n">
        <v>368.38</v>
      </c>
      <c r="S40" s="9" t="n">
        <v>5302100</v>
      </c>
      <c r="T40" s="9" t="inlineStr"/>
      <c r="U40" s="9" t="n">
        <v>80</v>
      </c>
      <c r="V40" s="9" t="n">
        <v>80.05</v>
      </c>
      <c r="W40" s="9" t="n">
        <v>79.92</v>
      </c>
      <c r="X40" s="9" t="n">
        <v>79.97</v>
      </c>
      <c r="Y40" s="9" t="n">
        <v>79.21639999999999</v>
      </c>
      <c r="Z40" s="9" t="n">
        <v>38103900</v>
      </c>
      <c r="AA40" s="9" t="inlineStr"/>
      <c r="AB40" s="9" t="n">
        <v>109.84</v>
      </c>
      <c r="AC40" s="9" t="n">
        <v>109.86</v>
      </c>
      <c r="AD40" s="9" t="n">
        <v>109.43</v>
      </c>
      <c r="AE40" s="9" t="n">
        <v>109.43</v>
      </c>
      <c r="AF40" s="9" t="n">
        <v>107.5826</v>
      </c>
      <c r="AG40" s="9" t="n">
        <v>4145000</v>
      </c>
      <c r="AH40" s="9" t="inlineStr"/>
      <c r="AI40" s="9" t="n">
        <v>53.66</v>
      </c>
      <c r="AJ40" s="9" t="n">
        <v>53.85</v>
      </c>
      <c r="AK40" s="9" t="n">
        <v>53.4</v>
      </c>
      <c r="AL40" s="9" t="n">
        <v>53.61</v>
      </c>
      <c r="AM40" s="9" t="n">
        <v>53.61</v>
      </c>
      <c r="AN40" s="9" t="n">
        <v>27725300</v>
      </c>
      <c r="AO40" s="9" t="inlineStr"/>
      <c r="AP40" s="9" t="n">
        <v>56.52</v>
      </c>
      <c r="AQ40" s="9" t="n">
        <v>56.53</v>
      </c>
      <c r="AR40" s="9" t="n">
        <v>56.4</v>
      </c>
      <c r="AS40" s="9" t="n">
        <v>56.44</v>
      </c>
      <c r="AT40" s="9" t="n">
        <v>56.44</v>
      </c>
      <c r="AU40" s="9" t="n">
        <v>175700</v>
      </c>
      <c r="AV40" s="9" t="inlineStr"/>
      <c r="AW40" s="9" t="n">
        <v>75.39</v>
      </c>
      <c r="AX40" s="9" t="n">
        <v>75.93000000000001</v>
      </c>
      <c r="AY40" s="9" t="n">
        <v>73.89</v>
      </c>
      <c r="AZ40" s="9" t="n">
        <v>75.45</v>
      </c>
      <c r="BA40" s="9" t="n">
        <v>75.45</v>
      </c>
      <c r="BB40" s="9" t="n">
        <v>16874800</v>
      </c>
      <c r="BC40" s="9" t="inlineStr"/>
      <c r="BD40" s="9" t="n">
        <v>107.525</v>
      </c>
      <c r="BE40" s="9" t="n">
        <v>107.68</v>
      </c>
      <c r="BF40" s="9" t="n">
        <v>106.38</v>
      </c>
      <c r="BG40" s="9" t="n">
        <v>107.13</v>
      </c>
      <c r="BH40" s="9" t="n">
        <v>107.13</v>
      </c>
      <c r="BI40" s="9" t="n">
        <v>4760200</v>
      </c>
      <c r="BJ40" s="9" t="inlineStr"/>
      <c r="BK40" s="10">
        <f>IF(COUNT(K40:K41)=2,ROUND((K40/K41-1)*100,4),"")</f>
        <v/>
      </c>
      <c r="BL40" s="10">
        <f>IF(COUNT(R40:R41)=2,ROUND((R40/R41-1)*100,4),"")</f>
        <v/>
      </c>
      <c r="BM40" s="10">
        <f>IF(COUNT(Y40:Y41)=2,ROUND((Y40/Y41-1)*100,4),"")</f>
        <v/>
      </c>
      <c r="BN40" s="10">
        <f>IF(COUNT(AF40:AF41)=2,ROUND((AF40/AF41-1)*100,4),"")</f>
        <v/>
      </c>
      <c r="BO40" s="10">
        <f>IF(COUNT(AM40:AM41)=2,ROUND((AM40/AM41-1)*100,4),"")</f>
        <v/>
      </c>
      <c r="BP40" s="10">
        <f>IF(COUNT(AT40:AT41)=2,ROUND((AT40/AT41-1)*100,4),"")</f>
        <v/>
      </c>
      <c r="BQ40" s="10">
        <f>IF(COUNT(BA40:BA41)=2,ROUND((BA40/BA41-1)*100,4),"")</f>
        <v/>
      </c>
      <c r="BR40" s="10">
        <f>IF(COUNT(BH40:BH41)=2,ROUND((BH40/BH41-1)*100,4),"")</f>
        <v/>
      </c>
      <c r="BS40" s="9" t="inlineStr"/>
      <c r="BT40" s="9" t="n">
        <v>16.45</v>
      </c>
      <c r="BU40" s="10">
        <f>IF(COUNT(BT40:BT41)=2,ROUND((BT40/BT41-1)*100,4),"")</f>
        <v/>
      </c>
      <c r="BV40" s="10" t="n">
        <v>-6.7989</v>
      </c>
      <c r="BW40" s="9" t="inlineStr"/>
      <c r="BX40" s="10">
        <f>IF(AND(BV40&gt;$BX$12,D40&lt;=$BX$13),D39,"")</f>
        <v/>
      </c>
      <c r="BY40" s="10">
        <f>IF(AND(BM40&lt;$BY$12,BN40&gt;$BY$13),D39,"")</f>
        <v/>
      </c>
      <c r="BZ40" s="10">
        <f>IF(AND(BK40&gt;$BZ$12,BL40&lt;$BZ$13,BM40&gt;$BZ$11),D39,"")</f>
        <v/>
      </c>
      <c r="CA40" s="10">
        <f>IF(BX40&lt;&gt;"",BX40,IF(BY40&lt;&gt;"",BY40,BZ40))</f>
        <v/>
      </c>
      <c r="CB40" s="10">
        <f>IF(AND(BQ40&gt;$CB$12,BR40&lt;$CB$13),E39,"")</f>
        <v/>
      </c>
      <c r="CC40" s="10">
        <f>IF(AND(BO40&lt;=$CC$12,E40&lt;$CC$13),E39,"")</f>
        <v/>
      </c>
      <c r="CD40" s="10">
        <f>IF(AND(BP40&gt;$CD$12,BQ40&gt;$CD$13),E39,"")</f>
        <v/>
      </c>
      <c r="CE40" s="10">
        <f>IF(CB40&lt;&gt;"",CB40,IF(CC40&lt;&gt;"",CC40,CD40))</f>
        <v/>
      </c>
    </row>
    <row r="41">
      <c r="A41" s="9" t="inlineStr">
        <is>
          <t>2026/06/29</t>
        </is>
      </c>
      <c r="B41" s="9" t="n">
        <v>166.43</v>
      </c>
      <c r="C41" s="9" t="n">
        <v>180.59</v>
      </c>
      <c r="D41" s="10">
        <f>IF(COUNT(B41:B42)=2,ROUND((B41/B42-1)*100,4),"")</f>
        <v/>
      </c>
      <c r="E41" s="10">
        <f>IF(COUNT(C41:C42)=2,ROUND((C41/C42-1)*100,4),"")</f>
        <v/>
      </c>
      <c r="F41" s="9" t="inlineStr"/>
      <c r="G41" s="9" t="n">
        <v>66.98999999999999</v>
      </c>
      <c r="H41" s="9" t="n">
        <v>67.45999999999999</v>
      </c>
      <c r="I41" s="9" t="n">
        <v>66</v>
      </c>
      <c r="J41" s="9" t="n">
        <v>67.43000000000001</v>
      </c>
      <c r="K41" s="9" t="n">
        <v>67.43000000000001</v>
      </c>
      <c r="L41" s="9" t="n">
        <v>18609700</v>
      </c>
      <c r="M41" s="9" t="inlineStr"/>
      <c r="N41" s="9" t="n">
        <v>370.58</v>
      </c>
      <c r="O41" s="9" t="n">
        <v>371.19</v>
      </c>
      <c r="P41" s="9" t="n">
        <v>366.97</v>
      </c>
      <c r="Q41" s="9" t="n">
        <v>368.58</v>
      </c>
      <c r="R41" s="9" t="n">
        <v>368.58</v>
      </c>
      <c r="S41" s="9" t="n">
        <v>5006300</v>
      </c>
      <c r="T41" s="9" t="inlineStr"/>
      <c r="U41" s="9" t="n">
        <v>79.95</v>
      </c>
      <c r="V41" s="9" t="n">
        <v>80.03</v>
      </c>
      <c r="W41" s="9" t="n">
        <v>79.84999999999999</v>
      </c>
      <c r="X41" s="9" t="n">
        <v>80.01000000000001</v>
      </c>
      <c r="Y41" s="9" t="n">
        <v>79.256</v>
      </c>
      <c r="Z41" s="9" t="n">
        <v>37325700</v>
      </c>
      <c r="AA41" s="9" t="inlineStr"/>
      <c r="AB41" s="9" t="n">
        <v>109.78</v>
      </c>
      <c r="AC41" s="9" t="n">
        <v>109.91</v>
      </c>
      <c r="AD41" s="9" t="n">
        <v>109.78</v>
      </c>
      <c r="AE41" s="9" t="n">
        <v>109.9</v>
      </c>
      <c r="AF41" s="9" t="n">
        <v>108.0447</v>
      </c>
      <c r="AG41" s="9" t="n">
        <v>2428700</v>
      </c>
      <c r="AH41" s="9" t="inlineStr"/>
      <c r="AI41" s="9" t="n">
        <v>53.7</v>
      </c>
      <c r="AJ41" s="9" t="n">
        <v>54.03</v>
      </c>
      <c r="AK41" s="9" t="n">
        <v>53.68</v>
      </c>
      <c r="AL41" s="9" t="n">
        <v>53.72</v>
      </c>
      <c r="AM41" s="9" t="n">
        <v>53.72</v>
      </c>
      <c r="AN41" s="9" t="n">
        <v>31628000</v>
      </c>
      <c r="AO41" s="9" t="inlineStr"/>
      <c r="AP41" s="9" t="n">
        <v>56.67</v>
      </c>
      <c r="AQ41" s="9" t="n">
        <v>56.68</v>
      </c>
      <c r="AR41" s="9" t="n">
        <v>56.64</v>
      </c>
      <c r="AS41" s="9" t="n">
        <v>56.66</v>
      </c>
      <c r="AT41" s="9" t="n">
        <v>56.66</v>
      </c>
      <c r="AU41" s="9" t="n">
        <v>124400</v>
      </c>
      <c r="AV41" s="9" t="inlineStr"/>
      <c r="AW41" s="9" t="n">
        <v>76.13</v>
      </c>
      <c r="AX41" s="9" t="n">
        <v>76.2</v>
      </c>
      <c r="AY41" s="9" t="n">
        <v>74.59</v>
      </c>
      <c r="AZ41" s="9" t="n">
        <v>75.68000000000001</v>
      </c>
      <c r="BA41" s="9" t="n">
        <v>75.68000000000001</v>
      </c>
      <c r="BB41" s="9" t="n">
        <v>18075700</v>
      </c>
      <c r="BC41" s="9" t="inlineStr"/>
      <c r="BD41" s="9" t="n">
        <v>108.3</v>
      </c>
      <c r="BE41" s="9" t="n">
        <v>108.51</v>
      </c>
      <c r="BF41" s="9" t="n">
        <v>107.67</v>
      </c>
      <c r="BG41" s="9" t="n">
        <v>107.88</v>
      </c>
      <c r="BH41" s="9" t="n">
        <v>107.88</v>
      </c>
      <c r="BI41" s="9" t="n">
        <v>6573200</v>
      </c>
      <c r="BJ41" s="9" t="inlineStr"/>
      <c r="BK41" s="10">
        <f>IF(COUNT(K41:K42)=2,ROUND((K41/K42-1)*100,4),"")</f>
        <v/>
      </c>
      <c r="BL41" s="10">
        <f>IF(COUNT(R41:R42)=2,ROUND((R41/R42-1)*100,4),"")</f>
        <v/>
      </c>
      <c r="BM41" s="10">
        <f>IF(COUNT(Y41:Y42)=2,ROUND((Y41/Y42-1)*100,4),"")</f>
        <v/>
      </c>
      <c r="BN41" s="10">
        <f>IF(COUNT(AF41:AF42)=2,ROUND((AF41/AF42-1)*100,4),"")</f>
        <v/>
      </c>
      <c r="BO41" s="10">
        <f>IF(COUNT(AM41:AM42)=2,ROUND((AM41/AM42-1)*100,4),"")</f>
        <v/>
      </c>
      <c r="BP41" s="10">
        <f>IF(COUNT(AT41:AT42)=2,ROUND((AT41/AT42-1)*100,4),"")</f>
        <v/>
      </c>
      <c r="BQ41" s="10">
        <f>IF(COUNT(BA41:BA42)=2,ROUND((BA41/BA42-1)*100,4),"")</f>
        <v/>
      </c>
      <c r="BR41" s="10">
        <f>IF(COUNT(BH41:BH42)=2,ROUND((BH41/BH42-1)*100,4),"")</f>
        <v/>
      </c>
      <c r="BS41" s="9" t="inlineStr"/>
      <c r="BT41" s="9" t="n">
        <v>17.65</v>
      </c>
      <c r="BU41" s="10">
        <f>IF(COUNT(BT41:BT42)=2,ROUND((BT41/BT42-1)*100,4),"")</f>
        <v/>
      </c>
      <c r="BV41" s="10" t="n">
        <v>-4.1282</v>
      </c>
      <c r="BW41" s="9" t="inlineStr"/>
      <c r="BX41" s="10">
        <f>IF(AND(BV41&gt;$BX$12,D41&lt;=$BX$13),D40,"")</f>
        <v/>
      </c>
      <c r="BY41" s="10">
        <f>IF(AND(BM41&lt;$BY$12,BN41&gt;$BY$13),D40,"")</f>
        <v/>
      </c>
      <c r="BZ41" s="10">
        <f>IF(AND(BK41&gt;$BZ$12,BL41&lt;$BZ$13,BM41&gt;$BZ$11),D40,"")</f>
        <v/>
      </c>
      <c r="CA41" s="10">
        <f>IF(BX41&lt;&gt;"",BX41,IF(BY41&lt;&gt;"",BY41,BZ41))</f>
        <v/>
      </c>
      <c r="CB41" s="10">
        <f>IF(AND(BQ41&gt;$CB$12,BR41&lt;$CB$13),E40,"")</f>
        <v/>
      </c>
      <c r="CC41" s="10">
        <f>IF(AND(BO41&lt;=$CC$12,E41&lt;$CC$13),E40,"")</f>
        <v/>
      </c>
      <c r="CD41" s="10">
        <f>IF(AND(BP41&gt;$CD$12,BQ41&gt;$CD$13),E40,"")</f>
        <v/>
      </c>
      <c r="CE41" s="10">
        <f>IF(CB41&lt;&gt;"",CB41,IF(CC41&lt;&gt;"",CC41,CD41))</f>
        <v/>
      </c>
    </row>
    <row r="42">
      <c r="A42" s="9" t="inlineStr">
        <is>
          <t>2026/06/26</t>
        </is>
      </c>
      <c r="B42" s="9" t="n">
        <v>159.19</v>
      </c>
      <c r="C42" s="9" t="n">
        <v>176.27</v>
      </c>
      <c r="D42" s="10">
        <f>IF(COUNT(B42:B43)=2,ROUND((B42/B43-1)*100,4),"")</f>
        <v/>
      </c>
      <c r="E42" s="10">
        <f>IF(COUNT(C42:C43)=2,ROUND((C42/C43-1)*100,4),"")</f>
        <v/>
      </c>
      <c r="F42" s="9" t="inlineStr"/>
      <c r="G42" s="9" t="n">
        <v>66.34</v>
      </c>
      <c r="H42" s="9" t="n">
        <v>67.72</v>
      </c>
      <c r="I42" s="9" t="n">
        <v>66.27</v>
      </c>
      <c r="J42" s="9" t="n">
        <v>67.19</v>
      </c>
      <c r="K42" s="9" t="n">
        <v>67.19</v>
      </c>
      <c r="L42" s="9" t="n">
        <v>24158700</v>
      </c>
      <c r="M42" s="9" t="inlineStr"/>
      <c r="N42" s="9" t="n">
        <v>372.27</v>
      </c>
      <c r="O42" s="9" t="n">
        <v>375.85</v>
      </c>
      <c r="P42" s="9" t="n">
        <v>371.18</v>
      </c>
      <c r="Q42" s="9" t="n">
        <v>373.63</v>
      </c>
      <c r="R42" s="9" t="n">
        <v>373.63</v>
      </c>
      <c r="S42" s="9" t="n">
        <v>5603300</v>
      </c>
      <c r="T42" s="9" t="inlineStr"/>
      <c r="U42" s="9" t="n">
        <v>79.81999999999999</v>
      </c>
      <c r="V42" s="9" t="n">
        <v>79.95</v>
      </c>
      <c r="W42" s="9" t="n">
        <v>79.81</v>
      </c>
      <c r="X42" s="9" t="n">
        <v>79.83</v>
      </c>
      <c r="Y42" s="9" t="n">
        <v>79.07769999999999</v>
      </c>
      <c r="Z42" s="9" t="n">
        <v>27647500</v>
      </c>
      <c r="AA42" s="9" t="inlineStr"/>
      <c r="AB42" s="9" t="n">
        <v>109.55</v>
      </c>
      <c r="AC42" s="9" t="n">
        <v>109.75</v>
      </c>
      <c r="AD42" s="9" t="n">
        <v>109.53</v>
      </c>
      <c r="AE42" s="9" t="n">
        <v>109.7</v>
      </c>
      <c r="AF42" s="9" t="n">
        <v>107.848</v>
      </c>
      <c r="AG42" s="9" t="n">
        <v>2678900</v>
      </c>
      <c r="AH42" s="9" t="inlineStr"/>
      <c r="AI42" s="9" t="n">
        <v>53.56</v>
      </c>
      <c r="AJ42" s="9" t="n">
        <v>53.94</v>
      </c>
      <c r="AK42" s="9" t="n">
        <v>53.2</v>
      </c>
      <c r="AL42" s="9" t="n">
        <v>53.57</v>
      </c>
      <c r="AM42" s="9" t="n">
        <v>53.57</v>
      </c>
      <c r="AN42" s="9" t="n">
        <v>26643000</v>
      </c>
      <c r="AO42" s="9" t="inlineStr"/>
      <c r="AP42" s="9" t="n">
        <v>56.76</v>
      </c>
      <c r="AQ42" s="9" t="n">
        <v>56.78</v>
      </c>
      <c r="AR42" s="9" t="n">
        <v>56.7</v>
      </c>
      <c r="AS42" s="9" t="n">
        <v>56.71</v>
      </c>
      <c r="AT42" s="9" t="n">
        <v>56.71</v>
      </c>
      <c r="AU42" s="9" t="n">
        <v>94600</v>
      </c>
      <c r="AV42" s="9" t="inlineStr"/>
      <c r="AW42" s="9" t="n">
        <v>76.66</v>
      </c>
      <c r="AX42" s="9" t="n">
        <v>78.48999999999999</v>
      </c>
      <c r="AY42" s="9" t="n">
        <v>76.19</v>
      </c>
      <c r="AZ42" s="9" t="n">
        <v>77</v>
      </c>
      <c r="BA42" s="9" t="n">
        <v>77</v>
      </c>
      <c r="BB42" s="9" t="n">
        <v>22781600</v>
      </c>
      <c r="BC42" s="9" t="inlineStr"/>
      <c r="BD42" s="9" t="n">
        <v>105.66</v>
      </c>
      <c r="BE42" s="9" t="n">
        <v>107.25</v>
      </c>
      <c r="BF42" s="9" t="n">
        <v>105.36</v>
      </c>
      <c r="BG42" s="9" t="n">
        <v>106.18</v>
      </c>
      <c r="BH42" s="9" t="n">
        <v>106.18</v>
      </c>
      <c r="BI42" s="9" t="n">
        <v>9352100</v>
      </c>
      <c r="BJ42" s="9" t="inlineStr"/>
      <c r="BK42" s="10">
        <f>IF(COUNT(K42:K43)=2,ROUND((K42/K43-1)*100,4),"")</f>
        <v/>
      </c>
      <c r="BL42" s="10">
        <f>IF(COUNT(R42:R43)=2,ROUND((R42/R43-1)*100,4),"")</f>
        <v/>
      </c>
      <c r="BM42" s="10">
        <f>IF(COUNT(Y42:Y43)=2,ROUND((Y42/Y43-1)*100,4),"")</f>
        <v/>
      </c>
      <c r="BN42" s="10">
        <f>IF(COUNT(AF42:AF43)=2,ROUND((AF42/AF43-1)*100,4),"")</f>
        <v/>
      </c>
      <c r="BO42" s="10">
        <f>IF(COUNT(AM42:AM43)=2,ROUND((AM42/AM43-1)*100,4),"")</f>
        <v/>
      </c>
      <c r="BP42" s="10">
        <f>IF(COUNT(AT42:AT43)=2,ROUND((AT42/AT43-1)*100,4),"")</f>
        <v/>
      </c>
      <c r="BQ42" s="10">
        <f>IF(COUNT(BA42:BA43)=2,ROUND((BA42/BA43-1)*100,4),"")</f>
        <v/>
      </c>
      <c r="BR42" s="10">
        <f>IF(COUNT(BH42:BH43)=2,ROUND((BH42/BH43-1)*100,4),"")</f>
        <v/>
      </c>
      <c r="BS42" s="9" t="inlineStr"/>
      <c r="BT42" s="9" t="n">
        <v>18.41</v>
      </c>
      <c r="BU42" s="10">
        <f>IF(COUNT(BT42:BT43)=2,ROUND((BT42/BT43-1)*100,4),"")</f>
        <v/>
      </c>
      <c r="BV42" s="10" t="n">
        <v>-2.541</v>
      </c>
      <c r="BW42" s="9" t="inlineStr"/>
      <c r="BX42" s="10">
        <f>IF(AND(BV42&gt;$BX$12,D42&lt;=$BX$13),D41,"")</f>
        <v/>
      </c>
      <c r="BY42" s="10">
        <f>IF(AND(BM42&lt;$BY$12,BN42&gt;$BY$13),D41,"")</f>
        <v/>
      </c>
      <c r="BZ42" s="10">
        <f>IF(AND(BK42&gt;$BZ$12,BL42&lt;$BZ$13,BM42&gt;$BZ$11),D41,"")</f>
        <v/>
      </c>
      <c r="CA42" s="10">
        <f>IF(BX42&lt;&gt;"",BX42,IF(BY42&lt;&gt;"",BY42,BZ42))</f>
        <v/>
      </c>
      <c r="CB42" s="10">
        <f>IF(AND(BQ42&gt;$CB$12,BR42&lt;$CB$13),E41,"")</f>
        <v/>
      </c>
      <c r="CC42" s="10">
        <f>IF(AND(BO42&lt;=$CC$12,E42&lt;$CC$13),E41,"")</f>
        <v/>
      </c>
      <c r="CD42" s="10">
        <f>IF(AND(BP42&gt;$CD$12,BQ42&gt;$CD$13),E41,"")</f>
        <v/>
      </c>
      <c r="CE42" s="10">
        <f>IF(CB42&lt;&gt;"",CB42,IF(CC42&lt;&gt;"",CC42,CD42))</f>
        <v/>
      </c>
    </row>
    <row r="43">
      <c r="A43" s="9" t="inlineStr">
        <is>
          <t>2026/06/25</t>
        </is>
      </c>
      <c r="B43" s="9" t="n">
        <v>162.93</v>
      </c>
      <c r="C43" s="9" t="n">
        <v>176.82</v>
      </c>
      <c r="D43" s="10">
        <f>IF(COUNT(B43:B44)=2,ROUND((B43/B44-1)*100,4),"")</f>
        <v/>
      </c>
      <c r="E43" s="10">
        <f>IF(COUNT(C43:C44)=2,ROUND((C43/C44-1)*100,4),"")</f>
        <v/>
      </c>
      <c r="F43" s="9" t="inlineStr"/>
      <c r="G43" s="9" t="n">
        <v>68.91</v>
      </c>
      <c r="H43" s="9" t="n">
        <v>68.98999999999999</v>
      </c>
      <c r="I43" s="9" t="n">
        <v>67.27</v>
      </c>
      <c r="J43" s="9" t="n">
        <v>67.95999999999999</v>
      </c>
      <c r="K43" s="9" t="n">
        <v>67.95999999999999</v>
      </c>
      <c r="L43" s="9" t="n">
        <v>24474400</v>
      </c>
      <c r="M43" s="9" t="inlineStr"/>
      <c r="N43" s="9" t="n">
        <v>368.99</v>
      </c>
      <c r="O43" s="9" t="n">
        <v>371.04</v>
      </c>
      <c r="P43" s="9" t="n">
        <v>366.8</v>
      </c>
      <c r="Q43" s="9" t="n">
        <v>369.46</v>
      </c>
      <c r="R43" s="9" t="n">
        <v>369.46</v>
      </c>
      <c r="S43" s="9" t="n">
        <v>9137100</v>
      </c>
      <c r="T43" s="9" t="inlineStr"/>
      <c r="U43" s="9" t="n">
        <v>79.92</v>
      </c>
      <c r="V43" s="9" t="n">
        <v>79.98</v>
      </c>
      <c r="W43" s="9" t="n">
        <v>79.81999999999999</v>
      </c>
      <c r="X43" s="9" t="n">
        <v>79.88</v>
      </c>
      <c r="Y43" s="9" t="n">
        <v>79.12730000000001</v>
      </c>
      <c r="Z43" s="9" t="n">
        <v>29322400</v>
      </c>
      <c r="AA43" s="9" t="inlineStr"/>
      <c r="AB43" s="9" t="n">
        <v>109.57</v>
      </c>
      <c r="AC43" s="9" t="n">
        <v>109.76</v>
      </c>
      <c r="AD43" s="9" t="n">
        <v>109.49</v>
      </c>
      <c r="AE43" s="9" t="n">
        <v>109.5</v>
      </c>
      <c r="AF43" s="9" t="n">
        <v>107.6514</v>
      </c>
      <c r="AG43" s="9" t="n">
        <v>2946700</v>
      </c>
      <c r="AH43" s="9" t="inlineStr"/>
      <c r="AI43" s="9" t="n">
        <v>53.92</v>
      </c>
      <c r="AJ43" s="9" t="n">
        <v>54.68</v>
      </c>
      <c r="AK43" s="9" t="n">
        <v>53.4</v>
      </c>
      <c r="AL43" s="9" t="n">
        <v>53.45</v>
      </c>
      <c r="AM43" s="9" t="n">
        <v>53.45</v>
      </c>
      <c r="AN43" s="9" t="n">
        <v>31634800</v>
      </c>
      <c r="AO43" s="9" t="inlineStr"/>
      <c r="AP43" s="9" t="n">
        <v>56.71</v>
      </c>
      <c r="AQ43" s="9" t="n">
        <v>56.76</v>
      </c>
      <c r="AR43" s="9" t="n">
        <v>56.68</v>
      </c>
      <c r="AS43" s="9" t="n">
        <v>56.69</v>
      </c>
      <c r="AT43" s="9" t="n">
        <v>56.69</v>
      </c>
      <c r="AU43" s="9" t="n">
        <v>78000</v>
      </c>
      <c r="AV43" s="9" t="inlineStr"/>
      <c r="AW43" s="9" t="n">
        <v>76.48999999999999</v>
      </c>
      <c r="AX43" s="9" t="n">
        <v>76.93000000000001</v>
      </c>
      <c r="AY43" s="9" t="n">
        <v>74.53</v>
      </c>
      <c r="AZ43" s="9" t="n">
        <v>75.67</v>
      </c>
      <c r="BA43" s="9" t="n">
        <v>75.67</v>
      </c>
      <c r="BB43" s="9" t="n">
        <v>30958700</v>
      </c>
      <c r="BC43" s="9" t="inlineStr"/>
      <c r="BD43" s="9" t="n">
        <v>105.68</v>
      </c>
      <c r="BE43" s="9" t="n">
        <v>106.63</v>
      </c>
      <c r="BF43" s="9" t="n">
        <v>105.03</v>
      </c>
      <c r="BG43" s="9" t="n">
        <v>105.58</v>
      </c>
      <c r="BH43" s="9" t="n">
        <v>105.58</v>
      </c>
      <c r="BI43" s="9" t="n">
        <v>5323100</v>
      </c>
      <c r="BJ43" s="9" t="inlineStr"/>
      <c r="BK43" s="10">
        <f>IF(COUNT(K43:K44)=2,ROUND((K43/K44-1)*100,4),"")</f>
        <v/>
      </c>
      <c r="BL43" s="10">
        <f>IF(COUNT(R43:R44)=2,ROUND((R43/R44-1)*100,4),"")</f>
        <v/>
      </c>
      <c r="BM43" s="10">
        <f>IF(COUNT(Y43:Y44)=2,ROUND((Y43/Y44-1)*100,4),"")</f>
        <v/>
      </c>
      <c r="BN43" s="10">
        <f>IF(COUNT(AF43:AF44)=2,ROUND((AF43/AF44-1)*100,4),"")</f>
        <v/>
      </c>
      <c r="BO43" s="10">
        <f>IF(COUNT(AM43:AM44)=2,ROUND((AM43/AM44-1)*100,4),"")</f>
        <v/>
      </c>
      <c r="BP43" s="10">
        <f>IF(COUNT(AT43:AT44)=2,ROUND((AT43/AT44-1)*100,4),"")</f>
        <v/>
      </c>
      <c r="BQ43" s="10">
        <f>IF(COUNT(BA43:BA44)=2,ROUND((BA43/BA44-1)*100,4),"")</f>
        <v/>
      </c>
      <c r="BR43" s="10">
        <f>IF(COUNT(BH43:BH44)=2,ROUND((BH43/BH44-1)*100,4),"")</f>
        <v/>
      </c>
      <c r="BS43" s="9" t="inlineStr"/>
      <c r="BT43" s="9" t="n">
        <v>18.89</v>
      </c>
      <c r="BU43" s="10">
        <f>IF(COUNT(BT43:BT44)=2,ROUND((BT43/BT44-1)*100,4),"")</f>
        <v/>
      </c>
      <c r="BV43" s="10" t="n">
        <v>1.3956</v>
      </c>
      <c r="BW43" s="9" t="inlineStr"/>
      <c r="BX43" s="10">
        <f>IF(AND(BV43&gt;$BX$12,D43&lt;=$BX$13),D42,"")</f>
        <v/>
      </c>
      <c r="BY43" s="10">
        <f>IF(AND(BM43&lt;$BY$12,BN43&gt;$BY$13),D42,"")</f>
        <v/>
      </c>
      <c r="BZ43" s="10">
        <f>IF(AND(BK43&gt;$BZ$12,BL43&lt;$BZ$13,BM43&gt;$BZ$11),D42,"")</f>
        <v/>
      </c>
      <c r="CA43" s="10">
        <f>IF(BX43&lt;&gt;"",BX43,IF(BY43&lt;&gt;"",BY43,BZ43))</f>
        <v/>
      </c>
      <c r="CB43" s="10">
        <f>IF(AND(BQ43&gt;$CB$12,BR43&lt;$CB$13),E42,"")</f>
        <v/>
      </c>
      <c r="CC43" s="10">
        <f>IF(AND(BO43&lt;=$CC$12,E43&lt;$CC$13),E42,"")</f>
        <v/>
      </c>
      <c r="CD43" s="10">
        <f>IF(AND(BP43&gt;$CD$12,BQ43&gt;$CD$13),E42,"")</f>
        <v/>
      </c>
      <c r="CE43" s="10">
        <f>IF(CB43&lt;&gt;"",CB43,IF(CC43&lt;&gt;"",CC43,CD43))</f>
        <v/>
      </c>
    </row>
    <row r="44">
      <c r="A44" s="9" t="inlineStr">
        <is>
          <t>2026/06/24</t>
        </is>
      </c>
      <c r="B44" s="9" t="n">
        <v>160.52</v>
      </c>
      <c r="C44" s="9" t="n">
        <v>176.82</v>
      </c>
      <c r="D44" s="10">
        <f>IF(COUNT(B44:B45)=2,ROUND((B44/B45-1)*100,4),"")</f>
        <v/>
      </c>
      <c r="E44" s="10">
        <f>IF(COUNT(C44:C45)=2,ROUND((C44/C45-1)*100,4),"")</f>
        <v/>
      </c>
      <c r="F44" s="9" t="inlineStr"/>
      <c r="G44" s="9" t="n">
        <v>67.38</v>
      </c>
      <c r="H44" s="9" t="n">
        <v>67.61</v>
      </c>
      <c r="I44" s="9" t="n">
        <v>66.59999999999999</v>
      </c>
      <c r="J44" s="9" t="n">
        <v>67.25</v>
      </c>
      <c r="K44" s="9" t="n">
        <v>67.25</v>
      </c>
      <c r="L44" s="9" t="n">
        <v>22973300</v>
      </c>
      <c r="M44" s="9" t="inlineStr"/>
      <c r="N44" s="9" t="n">
        <v>364.81</v>
      </c>
      <c r="O44" s="9" t="n">
        <v>370.9</v>
      </c>
      <c r="P44" s="9" t="n">
        <v>363.32</v>
      </c>
      <c r="Q44" s="9" t="n">
        <v>365.92</v>
      </c>
      <c r="R44" s="9" t="n">
        <v>365.92</v>
      </c>
      <c r="S44" s="9" t="n">
        <v>12741700</v>
      </c>
      <c r="T44" s="9" t="inlineStr"/>
      <c r="U44" s="9" t="n">
        <v>79.94</v>
      </c>
      <c r="V44" s="9" t="n">
        <v>79.98999999999999</v>
      </c>
      <c r="W44" s="9" t="n">
        <v>79.84</v>
      </c>
      <c r="X44" s="9" t="n">
        <v>79.84999999999999</v>
      </c>
      <c r="Y44" s="9" t="n">
        <v>79.0975</v>
      </c>
      <c r="Z44" s="9" t="n">
        <v>38841000</v>
      </c>
      <c r="AA44" s="9" t="inlineStr"/>
      <c r="AB44" s="9" t="n">
        <v>109.12</v>
      </c>
      <c r="AC44" s="9" t="n">
        <v>109.34</v>
      </c>
      <c r="AD44" s="9" t="n">
        <v>109.05</v>
      </c>
      <c r="AE44" s="9" t="n">
        <v>109.32</v>
      </c>
      <c r="AF44" s="9" t="n">
        <v>107.4744</v>
      </c>
      <c r="AG44" s="9" t="n">
        <v>1243900</v>
      </c>
      <c r="AH44" s="9" t="inlineStr"/>
      <c r="AI44" s="9" t="n">
        <v>53.86</v>
      </c>
      <c r="AJ44" s="9" t="n">
        <v>54.1</v>
      </c>
      <c r="AK44" s="9" t="n">
        <v>53.54</v>
      </c>
      <c r="AL44" s="9" t="n">
        <v>53.72</v>
      </c>
      <c r="AM44" s="9" t="n">
        <v>53.72</v>
      </c>
      <c r="AN44" s="9" t="n">
        <v>30809600</v>
      </c>
      <c r="AO44" s="9" t="inlineStr"/>
      <c r="AP44" s="9" t="n">
        <v>56.74</v>
      </c>
      <c r="AQ44" s="9" t="n">
        <v>56.74</v>
      </c>
      <c r="AR44" s="9" t="n">
        <v>56.69</v>
      </c>
      <c r="AS44" s="9" t="n">
        <v>56.7</v>
      </c>
      <c r="AT44" s="9" t="n">
        <v>56.7</v>
      </c>
      <c r="AU44" s="9" t="n">
        <v>108700</v>
      </c>
      <c r="AV44" s="9" t="inlineStr"/>
      <c r="AW44" s="9" t="n">
        <v>74.19</v>
      </c>
      <c r="AX44" s="9" t="n">
        <v>76.40000000000001</v>
      </c>
      <c r="AY44" s="9" t="n">
        <v>73.7</v>
      </c>
      <c r="AZ44" s="9" t="n">
        <v>74.59</v>
      </c>
      <c r="BA44" s="9" t="n">
        <v>74.59</v>
      </c>
      <c r="BB44" s="9" t="n">
        <v>30515800</v>
      </c>
      <c r="BC44" s="9" t="inlineStr"/>
      <c r="BD44" s="9" t="n">
        <v>107.525</v>
      </c>
      <c r="BE44" s="9" t="n">
        <v>108.085</v>
      </c>
      <c r="BF44" s="9" t="n">
        <v>106.45</v>
      </c>
      <c r="BG44" s="9" t="n">
        <v>106.54</v>
      </c>
      <c r="BH44" s="9" t="n">
        <v>106.54</v>
      </c>
      <c r="BI44" s="9" t="n">
        <v>9075500</v>
      </c>
      <c r="BJ44" s="9" t="inlineStr"/>
      <c r="BK44" s="10">
        <f>IF(COUNT(K44:K45)=2,ROUND((K44/K45-1)*100,4),"")</f>
        <v/>
      </c>
      <c r="BL44" s="10">
        <f>IF(COUNT(R44:R45)=2,ROUND((R44/R45-1)*100,4),"")</f>
        <v/>
      </c>
      <c r="BM44" s="10">
        <f>IF(COUNT(Y44:Y45)=2,ROUND((Y44/Y45-1)*100,4),"")</f>
        <v/>
      </c>
      <c r="BN44" s="10">
        <f>IF(COUNT(AF44:AF45)=2,ROUND((AF44/AF45-1)*100,4),"")</f>
        <v/>
      </c>
      <c r="BO44" s="10">
        <f>IF(COUNT(AM44:AM45)=2,ROUND((AM44/AM45-1)*100,4),"")</f>
        <v/>
      </c>
      <c r="BP44" s="10">
        <f>IF(COUNT(AT44:AT45)=2,ROUND((AT44/AT45-1)*100,4),"")</f>
        <v/>
      </c>
      <c r="BQ44" s="10">
        <f>IF(COUNT(BA44:BA45)=2,ROUND((BA44/BA45-1)*100,4),"")</f>
        <v/>
      </c>
      <c r="BR44" s="10">
        <f>IF(COUNT(BH44:BH45)=2,ROUND((BH44/BH45-1)*100,4),"")</f>
        <v/>
      </c>
      <c r="BS44" s="9" t="inlineStr"/>
      <c r="BT44" s="9" t="n">
        <v>18.63</v>
      </c>
      <c r="BU44" s="10">
        <f>IF(COUNT(BT44:BT45)=2,ROUND((BT44/BT45-1)*100,4),"")</f>
        <v/>
      </c>
      <c r="BV44" s="10" t="n">
        <v>-4.4125</v>
      </c>
      <c r="BW44" s="9" t="inlineStr"/>
      <c r="BX44" s="10">
        <f>IF(AND(BV44&gt;$BX$12,D44&lt;=$BX$13),D43,"")</f>
        <v/>
      </c>
      <c r="BY44" s="10">
        <f>IF(AND(BM44&lt;$BY$12,BN44&gt;$BY$13),D43,"")</f>
        <v/>
      </c>
      <c r="BZ44" s="10">
        <f>IF(AND(BK44&gt;$BZ$12,BL44&lt;$BZ$13,BM44&gt;$BZ$11),D43,"")</f>
        <v/>
      </c>
      <c r="CA44" s="10">
        <f>IF(BX44&lt;&gt;"",BX44,IF(BY44&lt;&gt;"",BY44,BZ44))</f>
        <v/>
      </c>
      <c r="CB44" s="10">
        <f>IF(AND(BQ44&gt;$CB$12,BR44&lt;$CB$13),E43,"")</f>
        <v/>
      </c>
      <c r="CC44" s="10">
        <f>IF(AND(BO44&lt;=$CC$12,E44&lt;$CC$13),E43,"")</f>
        <v/>
      </c>
      <c r="CD44" s="10">
        <f>IF(AND(BP44&gt;$CD$12,BQ44&gt;$CD$13),E43,"")</f>
        <v/>
      </c>
      <c r="CE44" s="10">
        <f>IF(CB44&lt;&gt;"",CB44,IF(CC44&lt;&gt;"",CC44,CD44))</f>
        <v/>
      </c>
    </row>
    <row r="45">
      <c r="A45" s="9" t="inlineStr">
        <is>
          <t>2026/06/23</t>
        </is>
      </c>
      <c r="B45" s="9" t="n">
        <v>161.96</v>
      </c>
      <c r="C45" s="9" t="n">
        <v>177.18</v>
      </c>
      <c r="D45" s="10">
        <f>IF(COUNT(B45:B46)=2,ROUND((B45/B46-1)*100,4),"")</f>
        <v/>
      </c>
      <c r="E45" s="10">
        <f>IF(COUNT(C45:C46)=2,ROUND((C45/C46-1)*100,4),"")</f>
        <v/>
      </c>
      <c r="F45" s="9" t="inlineStr"/>
      <c r="G45" s="9" t="n">
        <v>67.25</v>
      </c>
      <c r="H45" s="9" t="n">
        <v>68.23</v>
      </c>
      <c r="I45" s="9" t="n">
        <v>67.06999999999999</v>
      </c>
      <c r="J45" s="9" t="n">
        <v>67.17</v>
      </c>
      <c r="K45" s="9" t="n">
        <v>67.17</v>
      </c>
      <c r="L45" s="9" t="n">
        <v>39069000</v>
      </c>
      <c r="M45" s="9" t="inlineStr"/>
      <c r="N45" s="9" t="n">
        <v>377.72</v>
      </c>
      <c r="O45" s="9" t="n">
        <v>380.35</v>
      </c>
      <c r="P45" s="9" t="n">
        <v>377.17</v>
      </c>
      <c r="Q45" s="9" t="n">
        <v>377.32</v>
      </c>
      <c r="R45" s="9" t="n">
        <v>377.32</v>
      </c>
      <c r="S45" s="9" t="n">
        <v>7389600</v>
      </c>
      <c r="T45" s="9" t="inlineStr"/>
      <c r="U45" s="9" t="n">
        <v>79.83</v>
      </c>
      <c r="V45" s="9" t="n">
        <v>79.97</v>
      </c>
      <c r="W45" s="9" t="n">
        <v>79.81999999999999</v>
      </c>
      <c r="X45" s="9" t="n">
        <v>79.87</v>
      </c>
      <c r="Y45" s="9" t="n">
        <v>79.1174</v>
      </c>
      <c r="Z45" s="9" t="n">
        <v>29811300</v>
      </c>
      <c r="AA45" s="9" t="inlineStr"/>
      <c r="AB45" s="9" t="n">
        <v>108.94</v>
      </c>
      <c r="AC45" s="9" t="n">
        <v>109.05</v>
      </c>
      <c r="AD45" s="9" t="n">
        <v>108.88</v>
      </c>
      <c r="AE45" s="9" t="n">
        <v>108.9</v>
      </c>
      <c r="AF45" s="9" t="n">
        <v>107.0615</v>
      </c>
      <c r="AG45" s="9" t="n">
        <v>2626000</v>
      </c>
      <c r="AH45" s="9" t="inlineStr"/>
      <c r="AI45" s="9" t="n">
        <v>53.63</v>
      </c>
      <c r="AJ45" s="9" t="n">
        <v>54.03</v>
      </c>
      <c r="AK45" s="9" t="n">
        <v>53.49</v>
      </c>
      <c r="AL45" s="9" t="n">
        <v>53.88</v>
      </c>
      <c r="AM45" s="9" t="n">
        <v>53.88</v>
      </c>
      <c r="AN45" s="9" t="n">
        <v>33375300</v>
      </c>
      <c r="AO45" s="9" t="inlineStr"/>
      <c r="AP45" s="9" t="n">
        <v>56.8</v>
      </c>
      <c r="AQ45" s="9" t="n">
        <v>56.82</v>
      </c>
      <c r="AR45" s="9" t="n">
        <v>56.77</v>
      </c>
      <c r="AS45" s="9" t="n">
        <v>56.8</v>
      </c>
      <c r="AT45" s="9" t="n">
        <v>56.8</v>
      </c>
      <c r="AU45" s="9" t="n">
        <v>168100</v>
      </c>
      <c r="AV45" s="9" t="inlineStr"/>
      <c r="AW45" s="9" t="n">
        <v>77.78</v>
      </c>
      <c r="AX45" s="9" t="n">
        <v>79.22</v>
      </c>
      <c r="AY45" s="9" t="n">
        <v>77.25</v>
      </c>
      <c r="AZ45" s="9" t="n">
        <v>77.66</v>
      </c>
      <c r="BA45" s="9" t="n">
        <v>77.66</v>
      </c>
      <c r="BB45" s="9" t="n">
        <v>26808400</v>
      </c>
      <c r="BC45" s="9" t="inlineStr"/>
      <c r="BD45" s="9" t="n">
        <v>106.52</v>
      </c>
      <c r="BE45" s="9" t="n">
        <v>107.645</v>
      </c>
      <c r="BF45" s="9" t="n">
        <v>106.39</v>
      </c>
      <c r="BG45" s="9" t="n">
        <v>107.27</v>
      </c>
      <c r="BH45" s="9" t="n">
        <v>107.27</v>
      </c>
      <c r="BI45" s="9" t="n">
        <v>7949700</v>
      </c>
      <c r="BJ45" s="9" t="inlineStr"/>
      <c r="BK45" s="10">
        <f>IF(COUNT(K45:K46)=2,ROUND((K45/K46-1)*100,4),"")</f>
        <v/>
      </c>
      <c r="BL45" s="10">
        <f>IF(COUNT(R45:R46)=2,ROUND((R45/R46-1)*100,4),"")</f>
        <v/>
      </c>
      <c r="BM45" s="10">
        <f>IF(COUNT(Y45:Y46)=2,ROUND((Y45/Y46-1)*100,4),"")</f>
        <v/>
      </c>
      <c r="BN45" s="10">
        <f>IF(COUNT(AF45:AF46)=2,ROUND((AF45/AF46-1)*100,4),"")</f>
        <v/>
      </c>
      <c r="BO45" s="10">
        <f>IF(COUNT(AM45:AM46)=2,ROUND((AM45/AM46-1)*100,4),"")</f>
        <v/>
      </c>
      <c r="BP45" s="10">
        <f>IF(COUNT(AT45:AT46)=2,ROUND((AT45/AT46-1)*100,4),"")</f>
        <v/>
      </c>
      <c r="BQ45" s="10">
        <f>IF(COUNT(BA45:BA46)=2,ROUND((BA45/BA46-1)*100,4),"")</f>
        <v/>
      </c>
      <c r="BR45" s="10">
        <f>IF(COUNT(BH45:BH46)=2,ROUND((BH45/BH46-1)*100,4),"")</f>
        <v/>
      </c>
      <c r="BS45" s="9" t="inlineStr"/>
      <c r="BT45" s="9" t="n">
        <v>19.49</v>
      </c>
      <c r="BU45" s="10">
        <f>IF(COUNT(BT45:BT46)=2,ROUND((BT45/BT46-1)*100,4),"")</f>
        <v/>
      </c>
      <c r="BV45" s="10" t="n">
        <v>12.7894</v>
      </c>
      <c r="BW45" s="9" t="inlineStr"/>
      <c r="BX45" s="10">
        <f>IF(AND(BV45&gt;$BX$12,D45&lt;=$BX$13),D44,"")</f>
        <v/>
      </c>
      <c r="BY45" s="10">
        <f>IF(AND(BM45&lt;$BY$12,BN45&gt;$BY$13),D44,"")</f>
        <v/>
      </c>
      <c r="BZ45" s="10">
        <f>IF(AND(BK45&gt;$BZ$12,BL45&lt;$BZ$13,BM45&gt;$BZ$11),D44,"")</f>
        <v/>
      </c>
      <c r="CA45" s="10">
        <f>IF(BX45&lt;&gt;"",BX45,IF(BY45&lt;&gt;"",BY45,BZ45))</f>
        <v/>
      </c>
      <c r="CB45" s="10">
        <f>IF(AND(BQ45&gt;$CB$12,BR45&lt;$CB$13),E44,"")</f>
        <v/>
      </c>
      <c r="CC45" s="10">
        <f>IF(AND(BO45&lt;=$CC$12,E45&lt;$CC$13),E44,"")</f>
        <v/>
      </c>
      <c r="CD45" s="10">
        <f>IF(AND(BP45&gt;$CD$12,BQ45&gt;$CD$13),E44,"")</f>
        <v/>
      </c>
      <c r="CE45" s="10">
        <f>IF(CB45&lt;&gt;"",CB45,IF(CC45&lt;&gt;"",CC45,CD45))</f>
        <v/>
      </c>
    </row>
    <row r="46">
      <c r="A46" s="9" t="inlineStr">
        <is>
          <t>2026/06/22</t>
        </is>
      </c>
      <c r="B46" s="9" t="n">
        <v>173.38</v>
      </c>
      <c r="C46" s="9" t="n">
        <v>182.43</v>
      </c>
      <c r="D46" s="10">
        <f>IF(COUNT(B46:B47)=2,ROUND((B46/B47-1)*100,4),"")</f>
        <v/>
      </c>
      <c r="E46" s="10">
        <f>IF(COUNT(C46:C47)=2,ROUND((C46/C47-1)*100,4),"")</f>
        <v/>
      </c>
      <c r="F46" s="9" t="inlineStr"/>
      <c r="G46" s="9" t="n">
        <v>71.29000000000001</v>
      </c>
      <c r="H46" s="9" t="n">
        <v>71.56999999999999</v>
      </c>
      <c r="I46" s="9" t="n">
        <v>70.98999999999999</v>
      </c>
      <c r="J46" s="9" t="n">
        <v>71.20999999999999</v>
      </c>
      <c r="K46" s="9" t="n">
        <v>71.20999999999999</v>
      </c>
      <c r="L46" s="9" t="n">
        <v>25302200</v>
      </c>
      <c r="M46" s="9" t="inlineStr"/>
      <c r="N46" s="9" t="n">
        <v>384.25</v>
      </c>
      <c r="O46" s="9" t="n">
        <v>386.41</v>
      </c>
      <c r="P46" s="9" t="n">
        <v>382.64</v>
      </c>
      <c r="Q46" s="9" t="n">
        <v>384.59</v>
      </c>
      <c r="R46" s="9" t="n">
        <v>384.59</v>
      </c>
      <c r="S46" s="9" t="n">
        <v>7835100</v>
      </c>
      <c r="T46" s="9" t="inlineStr"/>
      <c r="U46" s="9" t="n">
        <v>79.94</v>
      </c>
      <c r="V46" s="9" t="n">
        <v>79.98</v>
      </c>
      <c r="W46" s="9" t="n">
        <v>79.87</v>
      </c>
      <c r="X46" s="9" t="n">
        <v>79.94</v>
      </c>
      <c r="Y46" s="9" t="n">
        <v>79.1867</v>
      </c>
      <c r="Z46" s="9" t="n">
        <v>26479500</v>
      </c>
      <c r="AA46" s="9" t="inlineStr"/>
      <c r="AB46" s="9" t="n">
        <v>109.25</v>
      </c>
      <c r="AC46" s="9" t="n">
        <v>109.26</v>
      </c>
      <c r="AD46" s="9" t="n">
        <v>108.93</v>
      </c>
      <c r="AE46" s="9" t="n">
        <v>108.94</v>
      </c>
      <c r="AF46" s="9" t="n">
        <v>107.1009</v>
      </c>
      <c r="AG46" s="9" t="n">
        <v>1156400</v>
      </c>
      <c r="AH46" s="9" t="inlineStr"/>
      <c r="AI46" s="9" t="n">
        <v>53.62</v>
      </c>
      <c r="AJ46" s="9" t="n">
        <v>54.02</v>
      </c>
      <c r="AK46" s="9" t="n">
        <v>53.57</v>
      </c>
      <c r="AL46" s="9" t="n">
        <v>53.7</v>
      </c>
      <c r="AM46" s="9" t="n">
        <v>53.7</v>
      </c>
      <c r="AN46" s="9" t="n">
        <v>27962800</v>
      </c>
      <c r="AO46" s="9" t="inlineStr"/>
      <c r="AP46" s="9" t="n">
        <v>56.71</v>
      </c>
      <c r="AQ46" s="9" t="n">
        <v>56.94</v>
      </c>
      <c r="AR46" s="9" t="n">
        <v>56.66</v>
      </c>
      <c r="AS46" s="9" t="n">
        <v>56.79</v>
      </c>
      <c r="AT46" s="9" t="n">
        <v>56.79</v>
      </c>
      <c r="AU46" s="9" t="n">
        <v>244400</v>
      </c>
      <c r="AV46" s="9" t="inlineStr"/>
      <c r="AW46" s="9" t="n">
        <v>80.42</v>
      </c>
      <c r="AX46" s="9" t="n">
        <v>81.67</v>
      </c>
      <c r="AY46" s="9" t="n">
        <v>80.14</v>
      </c>
      <c r="AZ46" s="9" t="n">
        <v>81.44</v>
      </c>
      <c r="BA46" s="9" t="n">
        <v>81.44</v>
      </c>
      <c r="BB46" s="9" t="n">
        <v>17354800</v>
      </c>
      <c r="BC46" s="9" t="inlineStr"/>
      <c r="BD46" s="9" t="n">
        <v>108.125</v>
      </c>
      <c r="BE46" s="9" t="n">
        <v>108.535</v>
      </c>
      <c r="BF46" s="9" t="n">
        <v>106.32</v>
      </c>
      <c r="BG46" s="9" t="n">
        <v>106.86</v>
      </c>
      <c r="BH46" s="9" t="n">
        <v>106.86</v>
      </c>
      <c r="BI46" s="9" t="n">
        <v>7382300</v>
      </c>
      <c r="BJ46" s="9" t="inlineStr"/>
      <c r="BK46" s="10">
        <f>IF(COUNT(K46:K47)=2,ROUND((K46/K47-1)*100,4),"")</f>
        <v/>
      </c>
      <c r="BL46" s="10">
        <f>IF(COUNT(R46:R47)=2,ROUND((R46/R47-1)*100,4),"")</f>
        <v/>
      </c>
      <c r="BM46" s="10">
        <f>IF(COUNT(Y46:Y47)=2,ROUND((Y46/Y47-1)*100,4),"")</f>
        <v/>
      </c>
      <c r="BN46" s="10">
        <f>IF(COUNT(AF46:AF47)=2,ROUND((AF46/AF47-1)*100,4),"")</f>
        <v/>
      </c>
      <c r="BO46" s="10">
        <f>IF(COUNT(AM46:AM47)=2,ROUND((AM46/AM47-1)*100,4),"")</f>
        <v/>
      </c>
      <c r="BP46" s="10">
        <f>IF(COUNT(AT46:AT47)=2,ROUND((AT46/AT47-1)*100,4),"")</f>
        <v/>
      </c>
      <c r="BQ46" s="10">
        <f>IF(COUNT(BA46:BA47)=2,ROUND((BA46/BA47-1)*100,4),"")</f>
        <v/>
      </c>
      <c r="BR46" s="10">
        <f>IF(COUNT(BH46:BH47)=2,ROUND((BH46/BH47-1)*100,4),"")</f>
        <v/>
      </c>
      <c r="BS46" s="9" t="inlineStr"/>
      <c r="BT46" s="9" t="n">
        <v>17.28</v>
      </c>
      <c r="BU46" s="10">
        <f>IF(COUNT(BT46:BT47)=2,ROUND((BT46/BT47-1)*100,4),"")</f>
        <v/>
      </c>
      <c r="BV46" s="10" t="n">
        <v>5.3659</v>
      </c>
      <c r="BW46" s="9" t="inlineStr"/>
      <c r="BX46" s="10">
        <f>IF(AND(BV46&gt;$BX$12,D46&lt;=$BX$13),D45,"")</f>
        <v/>
      </c>
      <c r="BY46" s="10">
        <f>IF(AND(BM46&lt;$BY$12,BN46&gt;$BY$13),D45,"")</f>
        <v/>
      </c>
      <c r="BZ46" s="10">
        <f>IF(AND(BK46&gt;$BZ$12,BL46&lt;$BZ$13,BM46&gt;$BZ$11),D45,"")</f>
        <v/>
      </c>
      <c r="CA46" s="10">
        <f>IF(BX46&lt;&gt;"",BX46,IF(BY46&lt;&gt;"",BY46,BZ46))</f>
        <v/>
      </c>
      <c r="CB46" s="10">
        <f>IF(AND(BQ46&gt;$CB$12,BR46&lt;$CB$13),E45,"")</f>
        <v/>
      </c>
      <c r="CC46" s="10">
        <f>IF(AND(BO46&lt;=$CC$12,E46&lt;$CC$13),E45,"")</f>
        <v/>
      </c>
      <c r="CD46" s="10">
        <f>IF(AND(BP46&gt;$CD$12,BQ46&gt;$CD$13),E45,"")</f>
        <v/>
      </c>
      <c r="CE46" s="10">
        <f>IF(CB46&lt;&gt;"",CB46,IF(CC46&lt;&gt;"",CC46,CD46))</f>
        <v/>
      </c>
    </row>
    <row r="47">
      <c r="A47" s="9" t="inlineStr">
        <is>
          <t>2026/06/18</t>
        </is>
      </c>
      <c r="B47" s="9" t="n">
        <v>174.19</v>
      </c>
      <c r="C47" s="9" t="n">
        <v>183.86</v>
      </c>
      <c r="D47" s="10">
        <f>IF(COUNT(B47:B48)=2,ROUND((B47/B48-1)*100,4),"")</f>
        <v/>
      </c>
      <c r="E47" s="10">
        <f>IF(COUNT(C47:C48)=2,ROUND((C47/C48-1)*100,4),"")</f>
        <v/>
      </c>
      <c r="F47" s="9" t="inlineStr"/>
      <c r="G47" s="9" t="n">
        <v>70.18000000000001</v>
      </c>
      <c r="H47" s="9" t="n">
        <v>70.92</v>
      </c>
      <c r="I47" s="9" t="n">
        <v>70.15000000000001</v>
      </c>
      <c r="J47" s="9" t="n">
        <v>70.79000000000001</v>
      </c>
      <c r="K47" s="9" t="n">
        <v>70.79000000000001</v>
      </c>
      <c r="L47" s="9" t="n">
        <v>49998100</v>
      </c>
      <c r="M47" s="9" t="inlineStr"/>
      <c r="N47" s="9" t="n">
        <v>391.24</v>
      </c>
      <c r="O47" s="9" t="n">
        <v>392.5</v>
      </c>
      <c r="P47" s="9" t="n">
        <v>385.6</v>
      </c>
      <c r="Q47" s="9" t="n">
        <v>387.12</v>
      </c>
      <c r="R47" s="9" t="n">
        <v>387.12</v>
      </c>
      <c r="S47" s="9" t="n">
        <v>7627300</v>
      </c>
      <c r="T47" s="9" t="inlineStr"/>
      <c r="U47" s="9" t="n">
        <v>80.03</v>
      </c>
      <c r="V47" s="9" t="n">
        <v>80.06999999999999</v>
      </c>
      <c r="W47" s="9" t="n">
        <v>79.92</v>
      </c>
      <c r="X47" s="9" t="n">
        <v>80.01000000000001</v>
      </c>
      <c r="Y47" s="9" t="n">
        <v>79.256</v>
      </c>
      <c r="Z47" s="9" t="n">
        <v>41111700</v>
      </c>
      <c r="AA47" s="9" t="inlineStr"/>
      <c r="AB47" s="9" t="n">
        <v>109.31</v>
      </c>
      <c r="AC47" s="9" t="n">
        <v>109.53</v>
      </c>
      <c r="AD47" s="9" t="n">
        <v>109.28</v>
      </c>
      <c r="AE47" s="9" t="n">
        <v>109.39</v>
      </c>
      <c r="AF47" s="9" t="n">
        <v>107.5433</v>
      </c>
      <c r="AG47" s="9" t="n">
        <v>2912100</v>
      </c>
      <c r="AH47" s="9" t="inlineStr"/>
      <c r="AI47" s="9" t="n">
        <v>54.55</v>
      </c>
      <c r="AJ47" s="9" t="n">
        <v>54.61</v>
      </c>
      <c r="AK47" s="9" t="n">
        <v>53.46</v>
      </c>
      <c r="AL47" s="9" t="n">
        <v>53.57</v>
      </c>
      <c r="AM47" s="9" t="n">
        <v>53.383</v>
      </c>
      <c r="AN47" s="9" t="n">
        <v>37816800</v>
      </c>
      <c r="AO47" s="9" t="inlineStr"/>
      <c r="AP47" s="9" t="n">
        <v>57.03</v>
      </c>
      <c r="AQ47" s="9" t="n">
        <v>57.06</v>
      </c>
      <c r="AR47" s="9" t="n">
        <v>56.7</v>
      </c>
      <c r="AS47" s="9" t="n">
        <v>56.85</v>
      </c>
      <c r="AT47" s="9" t="n">
        <v>56.85</v>
      </c>
      <c r="AU47" s="9" t="n">
        <v>605000</v>
      </c>
      <c r="AV47" s="9" t="inlineStr"/>
      <c r="AW47" s="9" t="n">
        <v>84.91</v>
      </c>
      <c r="AX47" s="9" t="n">
        <v>86.56999999999999</v>
      </c>
      <c r="AY47" s="9" t="n">
        <v>81.47</v>
      </c>
      <c r="AZ47" s="9" t="n">
        <v>82.51000000000001</v>
      </c>
      <c r="BA47" s="9" t="n">
        <v>82.51000000000001</v>
      </c>
      <c r="BB47" s="9" t="n">
        <v>37180400</v>
      </c>
      <c r="BC47" s="9" t="inlineStr"/>
      <c r="BD47" s="9" t="n">
        <v>109.86</v>
      </c>
      <c r="BE47" s="9" t="n">
        <v>110.37</v>
      </c>
      <c r="BF47" s="9" t="n">
        <v>108.51</v>
      </c>
      <c r="BG47" s="9" t="n">
        <v>109.45</v>
      </c>
      <c r="BH47" s="9" t="n">
        <v>109.166</v>
      </c>
      <c r="BI47" s="9" t="n">
        <v>11655600</v>
      </c>
      <c r="BJ47" s="9" t="inlineStr"/>
      <c r="BK47" s="10">
        <f>IF(COUNT(K47:K48)=2,ROUND((K47/K48-1)*100,4),"")</f>
        <v/>
      </c>
      <c r="BL47" s="10">
        <f>IF(COUNT(R47:R48)=2,ROUND((R47/R48-1)*100,4),"")</f>
        <v/>
      </c>
      <c r="BM47" s="10">
        <f>IF(COUNT(Y47:Y48)=2,ROUND((Y47/Y48-1)*100,4),"")</f>
        <v/>
      </c>
      <c r="BN47" s="10">
        <f>IF(COUNT(AF47:AF48)=2,ROUND((AF47/AF48-1)*100,4),"")</f>
        <v/>
      </c>
      <c r="BO47" s="10">
        <f>IF(COUNT(AM47:AM48)=2,ROUND((AM47/AM48-1)*100,4),"")</f>
        <v/>
      </c>
      <c r="BP47" s="10">
        <f>IF(COUNT(AT47:AT48)=2,ROUND((AT47/AT48-1)*100,4),"")</f>
        <v/>
      </c>
      <c r="BQ47" s="10">
        <f>IF(COUNT(BA47:BA48)=2,ROUND((BA47/BA48-1)*100,4),"")</f>
        <v/>
      </c>
      <c r="BR47" s="10">
        <f>IF(COUNT(BH47:BH48)=2,ROUND((BH47/BH48-1)*100,4),"")</f>
        <v/>
      </c>
      <c r="BS47" s="9" t="inlineStr"/>
      <c r="BT47" s="9" t="n">
        <v>16.4</v>
      </c>
      <c r="BU47" s="10">
        <f>IF(COUNT(BT47:BT48)=2,ROUND((BT47/BT48-1)*100,4),"")</f>
        <v/>
      </c>
      <c r="BV47" s="10" t="n">
        <v>-11.0629</v>
      </c>
      <c r="BW47" s="9" t="inlineStr"/>
      <c r="BX47" s="10">
        <f>IF(AND(BV47&gt;$BX$12,D47&lt;=$BX$13),D46,"")</f>
        <v/>
      </c>
      <c r="BY47" s="10">
        <f>IF(AND(BM47&lt;$BY$12,BN47&gt;$BY$13),D46,"")</f>
        <v/>
      </c>
      <c r="BZ47" s="10">
        <f>IF(AND(BK47&gt;$BZ$12,BL47&lt;$BZ$13,BM47&gt;$BZ$11),D46,"")</f>
        <v/>
      </c>
      <c r="CA47" s="10">
        <f>IF(BX47&lt;&gt;"",BX47,IF(BY47&lt;&gt;"",BY47,BZ47))</f>
        <v/>
      </c>
      <c r="CB47" s="10">
        <f>IF(AND(BQ47&gt;$CB$12,BR47&lt;$CB$13),E46,"")</f>
        <v/>
      </c>
      <c r="CC47" s="10">
        <f>IF(AND(BO47&lt;=$CC$12,E47&lt;$CC$13),E46,"")</f>
        <v/>
      </c>
      <c r="CD47" s="10">
        <f>IF(AND(BP47&gt;$CD$12,BQ47&gt;$CD$13),E46,"")</f>
        <v/>
      </c>
      <c r="CE47" s="10">
        <f>IF(CB47&lt;&gt;"",CB47,IF(CC47&lt;&gt;"",CC47,CD47))</f>
        <v/>
      </c>
    </row>
    <row r="48">
      <c r="A48" s="9" t="inlineStr">
        <is>
          <t>2026/06/17</t>
        </is>
      </c>
      <c r="B48" s="9" t="n">
        <v>165.99</v>
      </c>
      <c r="C48" s="9" t="n">
        <v>180</v>
      </c>
      <c r="D48" s="10">
        <f>IF(COUNT(B48:B49)=2,ROUND((B48/B49-1)*100,4),"")</f>
        <v/>
      </c>
      <c r="E48" s="10">
        <f>IF(COUNT(C48:C49)=2,ROUND((C48/C49-1)*100,4),"")</f>
        <v/>
      </c>
      <c r="F48" s="9" t="inlineStr"/>
      <c r="G48" s="9" t="n">
        <v>69.56999999999999</v>
      </c>
      <c r="H48" s="9" t="n">
        <v>70.08</v>
      </c>
      <c r="I48" s="9" t="n">
        <v>68.41</v>
      </c>
      <c r="J48" s="9" t="n">
        <v>68.56</v>
      </c>
      <c r="K48" s="9" t="n">
        <v>68.56</v>
      </c>
      <c r="L48" s="9" t="n">
        <v>36131300</v>
      </c>
      <c r="M48" s="9" t="inlineStr"/>
      <c r="N48" s="9" t="n">
        <v>397.82</v>
      </c>
      <c r="O48" s="9" t="n">
        <v>402.04</v>
      </c>
      <c r="P48" s="9" t="n">
        <v>387.08</v>
      </c>
      <c r="Q48" s="9" t="n">
        <v>388.6</v>
      </c>
      <c r="R48" s="9" t="n">
        <v>388.6</v>
      </c>
      <c r="S48" s="9" t="n">
        <v>13343000</v>
      </c>
      <c r="T48" s="9" t="inlineStr"/>
      <c r="U48" s="9" t="n">
        <v>79.98999999999999</v>
      </c>
      <c r="V48" s="9" t="n">
        <v>80.06999999999999</v>
      </c>
      <c r="W48" s="9" t="n">
        <v>79.70999999999999</v>
      </c>
      <c r="X48" s="9" t="n">
        <v>79.73</v>
      </c>
      <c r="Y48" s="9" t="n">
        <v>78.9787</v>
      </c>
      <c r="Z48" s="9" t="n">
        <v>47184800</v>
      </c>
      <c r="AA48" s="9" t="inlineStr"/>
      <c r="AB48" s="9" t="n">
        <v>109.82</v>
      </c>
      <c r="AC48" s="9" t="n">
        <v>109.82</v>
      </c>
      <c r="AD48" s="9" t="n">
        <v>109.02</v>
      </c>
      <c r="AE48" s="9" t="n">
        <v>109.03</v>
      </c>
      <c r="AF48" s="9" t="n">
        <v>107.1893</v>
      </c>
      <c r="AG48" s="9" t="n">
        <v>2044500</v>
      </c>
      <c r="AH48" s="9" t="inlineStr"/>
      <c r="AI48" s="9" t="n">
        <v>54.29</v>
      </c>
      <c r="AJ48" s="9" t="n">
        <v>54.89</v>
      </c>
      <c r="AK48" s="9" t="n">
        <v>53.9</v>
      </c>
      <c r="AL48" s="9" t="n">
        <v>54.05</v>
      </c>
      <c r="AM48" s="9" t="n">
        <v>53.8613</v>
      </c>
      <c r="AN48" s="9" t="n">
        <v>49571900</v>
      </c>
      <c r="AO48" s="9" t="inlineStr"/>
      <c r="AP48" s="9" t="n">
        <v>57.24</v>
      </c>
      <c r="AQ48" s="9" t="n">
        <v>57.27</v>
      </c>
      <c r="AR48" s="9" t="n">
        <v>57.05</v>
      </c>
      <c r="AS48" s="9" t="n">
        <v>57.09</v>
      </c>
      <c r="AT48" s="9" t="n">
        <v>57.09</v>
      </c>
      <c r="AU48" s="9" t="n">
        <v>181000</v>
      </c>
      <c r="AV48" s="9" t="inlineStr"/>
      <c r="AW48" s="9" t="n">
        <v>87.2</v>
      </c>
      <c r="AX48" s="9" t="n">
        <v>89.98999999999999</v>
      </c>
      <c r="AY48" s="9" t="n">
        <v>84.29000000000001</v>
      </c>
      <c r="AZ48" s="9" t="n">
        <v>84.36</v>
      </c>
      <c r="BA48" s="9" t="n">
        <v>84.36</v>
      </c>
      <c r="BB48" s="9" t="n">
        <v>49821500</v>
      </c>
      <c r="BC48" s="9" t="inlineStr"/>
      <c r="BD48" s="9" t="n">
        <v>111.479</v>
      </c>
      <c r="BE48" s="9" t="n">
        <v>111.49</v>
      </c>
      <c r="BF48" s="9" t="n">
        <v>109.015</v>
      </c>
      <c r="BG48" s="9" t="n">
        <v>109.2</v>
      </c>
      <c r="BH48" s="9" t="n">
        <v>108.9166</v>
      </c>
      <c r="BI48" s="9" t="n">
        <v>9639800</v>
      </c>
      <c r="BJ48" s="9" t="inlineStr"/>
      <c r="BK48" s="10">
        <f>IF(COUNT(K48:K49)=2,ROUND((K48/K49-1)*100,4),"")</f>
        <v/>
      </c>
      <c r="BL48" s="10">
        <f>IF(COUNT(R48:R49)=2,ROUND((R48/R49-1)*100,4),"")</f>
        <v/>
      </c>
      <c r="BM48" s="10">
        <f>IF(COUNT(Y48:Y49)=2,ROUND((Y48/Y49-1)*100,4),"")</f>
        <v/>
      </c>
      <c r="BN48" s="10">
        <f>IF(COUNT(AF48:AF49)=2,ROUND((AF48/AF49-1)*100,4),"")</f>
        <v/>
      </c>
      <c r="BO48" s="10">
        <f>IF(COUNT(AM48:AM49)=2,ROUND((AM48/AM49-1)*100,4),"")</f>
        <v/>
      </c>
      <c r="BP48" s="10">
        <f>IF(COUNT(AT48:AT49)=2,ROUND((AT48/AT49-1)*100,4),"")</f>
        <v/>
      </c>
      <c r="BQ48" s="10">
        <f>IF(COUNT(BA48:BA49)=2,ROUND((BA48/BA49-1)*100,4),"")</f>
        <v/>
      </c>
      <c r="BR48" s="10">
        <f>IF(COUNT(BH48:BH49)=2,ROUND((BH48/BH49-1)*100,4),"")</f>
        <v/>
      </c>
      <c r="BS48" s="9" t="inlineStr"/>
      <c r="BT48" s="9" t="n">
        <v>18.44</v>
      </c>
      <c r="BU48" s="10">
        <f>IF(COUNT(BT48:BT49)=2,ROUND((BT48/BT49-1)*100,4),"")</f>
        <v/>
      </c>
      <c r="BV48" s="10" t="n">
        <v>12.3705</v>
      </c>
      <c r="BW48" s="9" t="inlineStr"/>
      <c r="BX48" s="10">
        <f>IF(AND(BV48&gt;$BX$12,D48&lt;=$BX$13),D47,"")</f>
        <v/>
      </c>
      <c r="BY48" s="10">
        <f>IF(AND(BM48&lt;$BY$12,BN48&gt;$BY$13),D47,"")</f>
        <v/>
      </c>
      <c r="BZ48" s="10">
        <f>IF(AND(BK48&gt;$BZ$12,BL48&lt;$BZ$13,BM48&gt;$BZ$11),D47,"")</f>
        <v/>
      </c>
      <c r="CA48" s="10">
        <f>IF(BX48&lt;&gt;"",BX48,IF(BY48&lt;&gt;"",BY48,BZ48))</f>
        <v/>
      </c>
      <c r="CB48" s="10">
        <f>IF(AND(BQ48&gt;$CB$12,BR48&lt;$CB$13),E47,"")</f>
        <v/>
      </c>
      <c r="CC48" s="10">
        <f>IF(AND(BO48&lt;=$CC$12,E48&lt;$CC$13),E47,"")</f>
        <v/>
      </c>
      <c r="CD48" s="10">
        <f>IF(AND(BP48&gt;$CD$12,BQ48&gt;$CD$13),E47,"")</f>
        <v/>
      </c>
      <c r="CE48" s="10">
        <f>IF(CB48&lt;&gt;"",CB48,IF(CC48&lt;&gt;"",CC48,CD48))</f>
        <v/>
      </c>
    </row>
    <row r="49">
      <c r="A49" s="9" t="inlineStr">
        <is>
          <t>2026/06/16</t>
        </is>
      </c>
      <c r="B49" s="9" t="n">
        <v>169.4</v>
      </c>
      <c r="C49" s="9" t="n">
        <v>184.56</v>
      </c>
      <c r="D49" s="10">
        <f>IF(COUNT(B49:B50)=2,ROUND((B49/B50-1)*100,4),"")</f>
        <v/>
      </c>
      <c r="E49" s="10">
        <f>IF(COUNT(C49:C50)=2,ROUND((C49/C50-1)*100,4),"")</f>
        <v/>
      </c>
      <c r="F49" s="9" t="inlineStr"/>
      <c r="G49" s="9" t="n">
        <v>69.33</v>
      </c>
      <c r="H49" s="9" t="n">
        <v>69.73999999999999</v>
      </c>
      <c r="I49" s="9" t="n">
        <v>68.58</v>
      </c>
      <c r="J49" s="9" t="n">
        <v>68.64</v>
      </c>
      <c r="K49" s="9" t="n">
        <v>68.64</v>
      </c>
      <c r="L49" s="9" t="n">
        <v>31283500</v>
      </c>
      <c r="M49" s="9" t="inlineStr"/>
      <c r="N49" s="9" t="n">
        <v>397.83</v>
      </c>
      <c r="O49" s="9" t="n">
        <v>398.96</v>
      </c>
      <c r="P49" s="9" t="n">
        <v>395.82</v>
      </c>
      <c r="Q49" s="9" t="n">
        <v>397.63</v>
      </c>
      <c r="R49" s="9" t="n">
        <v>397.63</v>
      </c>
      <c r="S49" s="9" t="n">
        <v>6004000</v>
      </c>
      <c r="T49" s="9" t="inlineStr"/>
      <c r="U49" s="9" t="n">
        <v>80.03</v>
      </c>
      <c r="V49" s="9" t="n">
        <v>80.11</v>
      </c>
      <c r="W49" s="9" t="n">
        <v>79.95999999999999</v>
      </c>
      <c r="X49" s="9" t="n">
        <v>80.03</v>
      </c>
      <c r="Y49" s="9" t="n">
        <v>79.2758</v>
      </c>
      <c r="Z49" s="9" t="n">
        <v>24471900</v>
      </c>
      <c r="AA49" s="9" t="inlineStr"/>
      <c r="AB49" s="9" t="n">
        <v>109.73</v>
      </c>
      <c r="AC49" s="9" t="n">
        <v>109.87</v>
      </c>
      <c r="AD49" s="9" t="n">
        <v>109.67</v>
      </c>
      <c r="AE49" s="9" t="n">
        <v>109.76</v>
      </c>
      <c r="AF49" s="9" t="n">
        <v>107.907</v>
      </c>
      <c r="AG49" s="9" t="n">
        <v>1022800</v>
      </c>
      <c r="AH49" s="9" t="inlineStr"/>
      <c r="AI49" s="9" t="n">
        <v>54.01</v>
      </c>
      <c r="AJ49" s="9" t="n">
        <v>54.43</v>
      </c>
      <c r="AK49" s="9" t="n">
        <v>53.85</v>
      </c>
      <c r="AL49" s="9" t="n">
        <v>54.35</v>
      </c>
      <c r="AM49" s="9" t="n">
        <v>54.1603</v>
      </c>
      <c r="AN49" s="9" t="n">
        <v>37478300</v>
      </c>
      <c r="AO49" s="9" t="inlineStr"/>
      <c r="AP49" s="9" t="n">
        <v>57.21</v>
      </c>
      <c r="AQ49" s="9" t="n">
        <v>57.22</v>
      </c>
      <c r="AR49" s="9" t="n">
        <v>57.18</v>
      </c>
      <c r="AS49" s="9" t="n">
        <v>57.19</v>
      </c>
      <c r="AT49" s="9" t="n">
        <v>57.19</v>
      </c>
      <c r="AU49" s="9" t="n">
        <v>127400</v>
      </c>
      <c r="AV49" s="9" t="inlineStr"/>
      <c r="AW49" s="9" t="n">
        <v>86.15000000000001</v>
      </c>
      <c r="AX49" s="9" t="n">
        <v>87.59</v>
      </c>
      <c r="AY49" s="9" t="n">
        <v>85.66</v>
      </c>
      <c r="AZ49" s="9" t="n">
        <v>87.23999999999999</v>
      </c>
      <c r="BA49" s="9" t="n">
        <v>87.23999999999999</v>
      </c>
      <c r="BB49" s="9" t="n">
        <v>21635600</v>
      </c>
      <c r="BC49" s="9" t="inlineStr"/>
      <c r="BD49" s="9" t="n">
        <v>112.24</v>
      </c>
      <c r="BE49" s="9" t="n">
        <v>112.59</v>
      </c>
      <c r="BF49" s="9" t="n">
        <v>111.41</v>
      </c>
      <c r="BG49" s="9" t="n">
        <v>112.32</v>
      </c>
      <c r="BH49" s="9" t="n">
        <v>112.0286</v>
      </c>
      <c r="BI49" s="9" t="n">
        <v>7896400</v>
      </c>
      <c r="BJ49" s="9" t="inlineStr"/>
      <c r="BK49" s="10">
        <f>IF(COUNT(K49:K50)=2,ROUND((K49/K50-1)*100,4),"")</f>
        <v/>
      </c>
      <c r="BL49" s="10">
        <f>IF(COUNT(R49:R50)=2,ROUND((R49/R50-1)*100,4),"")</f>
        <v/>
      </c>
      <c r="BM49" s="10">
        <f>IF(COUNT(Y49:Y50)=2,ROUND((Y49/Y50-1)*100,4),"")</f>
        <v/>
      </c>
      <c r="BN49" s="10">
        <f>IF(COUNT(AF49:AF50)=2,ROUND((AF49/AF50-1)*100,4),"")</f>
        <v/>
      </c>
      <c r="BO49" s="10">
        <f>IF(COUNT(AM49:AM50)=2,ROUND((AM49/AM50-1)*100,4),"")</f>
        <v/>
      </c>
      <c r="BP49" s="10">
        <f>IF(COUNT(AT49:AT50)=2,ROUND((AT49/AT50-1)*100,4),"")</f>
        <v/>
      </c>
      <c r="BQ49" s="10">
        <f>IF(COUNT(BA49:BA50)=2,ROUND((BA49/BA50-1)*100,4),"")</f>
        <v/>
      </c>
      <c r="BR49" s="10">
        <f>IF(COUNT(BH49:BH50)=2,ROUND((BH49/BH50-1)*100,4),"")</f>
        <v/>
      </c>
      <c r="BS49" s="9" t="inlineStr"/>
      <c r="BT49" s="9" t="n">
        <v>16.41</v>
      </c>
      <c r="BU49" s="10">
        <f>IF(COUNT(BT49:BT50)=2,ROUND((BT49/BT50-1)*100,4),"")</f>
        <v/>
      </c>
      <c r="BV49" s="10" t="n">
        <v>1.2963</v>
      </c>
      <c r="BW49" s="9" t="inlineStr"/>
      <c r="BX49" s="10">
        <f>IF(AND(BV49&gt;$BX$12,D49&lt;=$BX$13),D48,"")</f>
        <v/>
      </c>
      <c r="BY49" s="10">
        <f>IF(AND(BM49&lt;$BY$12,BN49&gt;$BY$13),D48,"")</f>
        <v/>
      </c>
      <c r="BZ49" s="10">
        <f>IF(AND(BK49&gt;$BZ$12,BL49&lt;$BZ$13,BM49&gt;$BZ$11),D48,"")</f>
        <v/>
      </c>
      <c r="CA49" s="10">
        <f>IF(BX49&lt;&gt;"",BX49,IF(BY49&lt;&gt;"",BY49,BZ49))</f>
        <v/>
      </c>
      <c r="CB49" s="10">
        <f>IF(AND(BQ49&gt;$CB$12,BR49&lt;$CB$13),E48,"")</f>
        <v/>
      </c>
      <c r="CC49" s="10">
        <f>IF(AND(BO49&lt;=$CC$12,E49&lt;$CC$13),E48,"")</f>
        <v/>
      </c>
      <c r="CD49" s="10">
        <f>IF(AND(BP49&gt;$CD$12,BQ49&gt;$CD$13),E48,"")</f>
        <v/>
      </c>
      <c r="CE49" s="10">
        <f>IF(CB49&lt;&gt;"",CB49,IF(CC49&lt;&gt;"",CC49,CD49))</f>
        <v/>
      </c>
    </row>
    <row r="50">
      <c r="A50" s="9" t="inlineStr">
        <is>
          <t>2026/06/15</t>
        </is>
      </c>
      <c r="B50" s="9" t="n">
        <v>176.04</v>
      </c>
      <c r="C50" s="9" t="n">
        <v>186.69</v>
      </c>
      <c r="D50" s="10">
        <f>IF(COUNT(B50:B51)=2,ROUND((B50/B51-1)*100,4),"")</f>
        <v/>
      </c>
      <c r="E50" s="10">
        <f>IF(COUNT(C50:C51)=2,ROUND((C50/C51-1)*100,4),"")</f>
        <v/>
      </c>
      <c r="F50" s="9" t="inlineStr"/>
      <c r="G50" s="9" t="n">
        <v>69.61</v>
      </c>
      <c r="H50" s="9" t="n">
        <v>69.88</v>
      </c>
      <c r="I50" s="9" t="n">
        <v>69.38</v>
      </c>
      <c r="J50" s="9" t="n">
        <v>69.75</v>
      </c>
      <c r="K50" s="9" t="n">
        <v>69.75</v>
      </c>
      <c r="L50" s="9" t="n">
        <v>37751500</v>
      </c>
      <c r="M50" s="9" t="inlineStr"/>
      <c r="N50" s="9" t="n">
        <v>399.49</v>
      </c>
      <c r="O50" s="9" t="n">
        <v>401</v>
      </c>
      <c r="P50" s="9" t="n">
        <v>396.15</v>
      </c>
      <c r="Q50" s="9" t="n">
        <v>396.55</v>
      </c>
      <c r="R50" s="9" t="n">
        <v>396.55</v>
      </c>
      <c r="S50" s="9" t="n">
        <v>10477100</v>
      </c>
      <c r="T50" s="9" t="inlineStr"/>
      <c r="U50" s="9" t="n">
        <v>80.14</v>
      </c>
      <c r="V50" s="9" t="n">
        <v>80.17</v>
      </c>
      <c r="W50" s="9" t="n">
        <v>80.03</v>
      </c>
      <c r="X50" s="9" t="n">
        <v>80.04000000000001</v>
      </c>
      <c r="Y50" s="9" t="n">
        <v>79.28579999999999</v>
      </c>
      <c r="Z50" s="9" t="n">
        <v>32019600</v>
      </c>
      <c r="AA50" s="9" t="inlineStr"/>
      <c r="AB50" s="9" t="n">
        <v>109.71</v>
      </c>
      <c r="AC50" s="9" t="n">
        <v>109.78</v>
      </c>
      <c r="AD50" s="9" t="n">
        <v>109.64</v>
      </c>
      <c r="AE50" s="9" t="n">
        <v>109.76</v>
      </c>
      <c r="AF50" s="9" t="n">
        <v>107.907</v>
      </c>
      <c r="AG50" s="9" t="n">
        <v>1183100</v>
      </c>
      <c r="AH50" s="9" t="inlineStr"/>
      <c r="AI50" s="9" t="n">
        <v>53.76</v>
      </c>
      <c r="AJ50" s="9" t="n">
        <v>53.97</v>
      </c>
      <c r="AK50" s="9" t="n">
        <v>53.48</v>
      </c>
      <c r="AL50" s="9" t="n">
        <v>53.56</v>
      </c>
      <c r="AM50" s="9" t="n">
        <v>53.373</v>
      </c>
      <c r="AN50" s="9" t="n">
        <v>37492400</v>
      </c>
      <c r="AO50" s="9" t="inlineStr"/>
      <c r="AP50" s="9" t="n">
        <v>57.3</v>
      </c>
      <c r="AQ50" s="9" t="n">
        <v>57.33</v>
      </c>
      <c r="AR50" s="9" t="n">
        <v>57.22</v>
      </c>
      <c r="AS50" s="9" t="n">
        <v>57.24</v>
      </c>
      <c r="AT50" s="9" t="n">
        <v>57.24</v>
      </c>
      <c r="AU50" s="9" t="n">
        <v>130400</v>
      </c>
      <c r="AV50" s="9" t="inlineStr"/>
      <c r="AW50" s="9" t="n">
        <v>85.42</v>
      </c>
      <c r="AX50" s="9" t="n">
        <v>86.88</v>
      </c>
      <c r="AY50" s="9" t="n">
        <v>84.70999999999999</v>
      </c>
      <c r="AZ50" s="9" t="n">
        <v>85.27</v>
      </c>
      <c r="BA50" s="9" t="n">
        <v>85.27</v>
      </c>
      <c r="BB50" s="9" t="n">
        <v>34324500</v>
      </c>
      <c r="BC50" s="9" t="inlineStr"/>
      <c r="BD50" s="9" t="n">
        <v>111.92</v>
      </c>
      <c r="BE50" s="9" t="n">
        <v>112.59</v>
      </c>
      <c r="BF50" s="9" t="n">
        <v>111.59</v>
      </c>
      <c r="BG50" s="9" t="n">
        <v>112.19</v>
      </c>
      <c r="BH50" s="9" t="n">
        <v>111.8989</v>
      </c>
      <c r="BI50" s="9" t="n">
        <v>6585200</v>
      </c>
      <c r="BJ50" s="9" t="inlineStr"/>
      <c r="BK50" s="10">
        <f>IF(COUNT(K50:K51)=2,ROUND((K50/K51-1)*100,4),"")</f>
        <v/>
      </c>
      <c r="BL50" s="10">
        <f>IF(COUNT(R50:R51)=2,ROUND((R50/R51-1)*100,4),"")</f>
        <v/>
      </c>
      <c r="BM50" s="10">
        <f>IF(COUNT(Y50:Y51)=2,ROUND((Y50/Y51-1)*100,4),"")</f>
        <v/>
      </c>
      <c r="BN50" s="10">
        <f>IF(COUNT(AF50:AF51)=2,ROUND((AF50/AF51-1)*100,4),"")</f>
        <v/>
      </c>
      <c r="BO50" s="10">
        <f>IF(COUNT(AM50:AM51)=2,ROUND((AM50/AM51-1)*100,4),"")</f>
        <v/>
      </c>
      <c r="BP50" s="10">
        <f>IF(COUNT(AT50:AT51)=2,ROUND((AT50/AT51-1)*100,4),"")</f>
        <v/>
      </c>
      <c r="BQ50" s="10">
        <f>IF(COUNT(BA50:BA51)=2,ROUND((BA50/BA51-1)*100,4),"")</f>
        <v/>
      </c>
      <c r="BR50" s="10">
        <f>IF(COUNT(BH50:BH51)=2,ROUND((BH50/BH51-1)*100,4),"")</f>
        <v/>
      </c>
      <c r="BS50" s="9" t="inlineStr"/>
      <c r="BT50" s="9" t="n">
        <v>16.2</v>
      </c>
      <c r="BU50" s="10">
        <f>IF(COUNT(BT50:BT51)=2,ROUND((BT50/BT51-1)*100,4),"")</f>
        <v/>
      </c>
      <c r="BV50" s="10" t="n">
        <v>-8.371</v>
      </c>
      <c r="BW50" s="9" t="inlineStr"/>
      <c r="BX50" s="10">
        <f>IF(AND(BV50&gt;$BX$12,D50&lt;=$BX$13),D49,"")</f>
        <v/>
      </c>
      <c r="BY50" s="10">
        <f>IF(AND(BM50&lt;$BY$12,BN50&gt;$BY$13),D49,"")</f>
        <v/>
      </c>
      <c r="BZ50" s="10">
        <f>IF(AND(BK50&gt;$BZ$12,BL50&lt;$BZ$13,BM50&gt;$BZ$11),D49,"")</f>
        <v/>
      </c>
      <c r="CA50" s="10">
        <f>IF(BX50&lt;&gt;"",BX50,IF(BY50&lt;&gt;"",BY50,BZ50))</f>
        <v/>
      </c>
      <c r="CB50" s="10">
        <f>IF(AND(BQ50&gt;$CB$12,BR50&lt;$CB$13),E49,"")</f>
        <v/>
      </c>
      <c r="CC50" s="10">
        <f>IF(AND(BO50&lt;=$CC$12,E50&lt;$CC$13),E49,"")</f>
        <v/>
      </c>
      <c r="CD50" s="10">
        <f>IF(AND(BP50&gt;$CD$12,BQ50&gt;$CD$13),E49,"")</f>
        <v/>
      </c>
      <c r="CE50" s="10">
        <f>IF(CB50&lt;&gt;"",CB50,IF(CC50&lt;&gt;"",CC50,CD50))</f>
        <v/>
      </c>
    </row>
    <row r="51">
      <c r="A51" s="9" t="inlineStr">
        <is>
          <t>2026/06/12</t>
        </is>
      </c>
      <c r="B51" s="9" t="n">
        <v>165.93</v>
      </c>
      <c r="C51" s="9" t="n">
        <v>180.68</v>
      </c>
      <c r="D51" s="10">
        <f>IF(COUNT(B51:B52)=2,ROUND((B51/B52-1)*100,4),"")</f>
        <v/>
      </c>
      <c r="E51" s="10">
        <f>IF(COUNT(C51:C52)=2,ROUND((C51/C52-1)*100,4),"")</f>
        <v/>
      </c>
      <c r="F51" s="9" t="inlineStr"/>
      <c r="G51" s="9" t="n">
        <v>67.53</v>
      </c>
      <c r="H51" s="9" t="n">
        <v>68.2</v>
      </c>
      <c r="I51" s="9" t="n">
        <v>67.09</v>
      </c>
      <c r="J51" s="9" t="n">
        <v>67.88</v>
      </c>
      <c r="K51" s="9" t="n">
        <v>67.529</v>
      </c>
      <c r="L51" s="9" t="n">
        <v>39782800</v>
      </c>
      <c r="M51" s="9" t="inlineStr"/>
      <c r="N51" s="9" t="n">
        <v>385.73</v>
      </c>
      <c r="O51" s="9" t="n">
        <v>388.77</v>
      </c>
      <c r="P51" s="9" t="n">
        <v>383.35</v>
      </c>
      <c r="Q51" s="9" t="n">
        <v>386.54</v>
      </c>
      <c r="R51" s="9" t="n">
        <v>386.54</v>
      </c>
      <c r="S51" s="9" t="n">
        <v>7532600</v>
      </c>
      <c r="T51" s="9" t="inlineStr"/>
      <c r="U51" s="9" t="n">
        <v>79.94</v>
      </c>
      <c r="V51" s="9" t="n">
        <v>80</v>
      </c>
      <c r="W51" s="9" t="n">
        <v>79.8</v>
      </c>
      <c r="X51" s="9" t="n">
        <v>79.94</v>
      </c>
      <c r="Y51" s="9" t="n">
        <v>79.1867</v>
      </c>
      <c r="Z51" s="9" t="n">
        <v>29873300</v>
      </c>
      <c r="AA51" s="9" t="inlineStr"/>
      <c r="AB51" s="9" t="n">
        <v>109.48</v>
      </c>
      <c r="AC51" s="9" t="n">
        <v>109.62</v>
      </c>
      <c r="AD51" s="9" t="n">
        <v>109.39</v>
      </c>
      <c r="AE51" s="9" t="n">
        <v>109.61</v>
      </c>
      <c r="AF51" s="9" t="n">
        <v>107.7596</v>
      </c>
      <c r="AG51" s="9" t="n">
        <v>2610300</v>
      </c>
      <c r="AH51" s="9" t="inlineStr"/>
      <c r="AI51" s="9" t="n">
        <v>52.96</v>
      </c>
      <c r="AJ51" s="9" t="n">
        <v>53.55</v>
      </c>
      <c r="AK51" s="9" t="n">
        <v>52.81</v>
      </c>
      <c r="AL51" s="9" t="n">
        <v>53.34</v>
      </c>
      <c r="AM51" s="9" t="n">
        <v>53.1538</v>
      </c>
      <c r="AN51" s="9" t="n">
        <v>51023300</v>
      </c>
      <c r="AO51" s="9" t="inlineStr"/>
      <c r="AP51" s="9" t="n">
        <v>57.29</v>
      </c>
      <c r="AQ51" s="9" t="n">
        <v>57.29</v>
      </c>
      <c r="AR51" s="9" t="n">
        <v>57.21</v>
      </c>
      <c r="AS51" s="9" t="n">
        <v>57.26</v>
      </c>
      <c r="AT51" s="9" t="n">
        <v>57.26</v>
      </c>
      <c r="AU51" s="9" t="n">
        <v>157500</v>
      </c>
      <c r="AV51" s="9" t="inlineStr"/>
      <c r="AW51" s="9" t="n">
        <v>78.54000000000001</v>
      </c>
      <c r="AX51" s="9" t="n">
        <v>80.65000000000001</v>
      </c>
      <c r="AY51" s="9" t="n">
        <v>77.76000000000001</v>
      </c>
      <c r="AZ51" s="9" t="n">
        <v>80.03</v>
      </c>
      <c r="BA51" s="9" t="n">
        <v>80.03</v>
      </c>
      <c r="BB51" s="9" t="n">
        <v>25560200</v>
      </c>
      <c r="BC51" s="9" t="inlineStr"/>
      <c r="BD51" s="9" t="n">
        <v>112.91</v>
      </c>
      <c r="BE51" s="9" t="n">
        <v>112.99</v>
      </c>
      <c r="BF51" s="9" t="n">
        <v>110.83</v>
      </c>
      <c r="BG51" s="9" t="n">
        <v>111.65</v>
      </c>
      <c r="BH51" s="9" t="n">
        <v>111.3603</v>
      </c>
      <c r="BI51" s="9" t="n">
        <v>7465700</v>
      </c>
      <c r="BJ51" s="9" t="inlineStr"/>
      <c r="BK51" s="10">
        <f>IF(COUNT(K51:K52)=2,ROUND((K51/K52-1)*100,4),"")</f>
        <v/>
      </c>
      <c r="BL51" s="10">
        <f>IF(COUNT(R51:R52)=2,ROUND((R51/R52-1)*100,4),"")</f>
        <v/>
      </c>
      <c r="BM51" s="10">
        <f>IF(COUNT(Y51:Y52)=2,ROUND((Y51/Y52-1)*100,4),"")</f>
        <v/>
      </c>
      <c r="BN51" s="10">
        <f>IF(COUNT(AF51:AF52)=2,ROUND((AF51/AF52-1)*100,4),"")</f>
        <v/>
      </c>
      <c r="BO51" s="10">
        <f>IF(COUNT(AM51:AM52)=2,ROUND((AM51/AM52-1)*100,4),"")</f>
        <v/>
      </c>
      <c r="BP51" s="10">
        <f>IF(COUNT(AT51:AT52)=2,ROUND((AT51/AT52-1)*100,4),"")</f>
        <v/>
      </c>
      <c r="BQ51" s="10">
        <f>IF(COUNT(BA51:BA52)=2,ROUND((BA51/BA52-1)*100,4),"")</f>
        <v/>
      </c>
      <c r="BR51" s="10">
        <f>IF(COUNT(BH51:BH52)=2,ROUND((BH51/BH52-1)*100,4),"")</f>
        <v/>
      </c>
      <c r="BS51" s="9" t="inlineStr"/>
      <c r="BT51" s="9" t="n">
        <v>17.68</v>
      </c>
      <c r="BU51" s="10">
        <f>IF(COUNT(BT51:BT52)=2,ROUND((BT51/BT52-1)*100,4),"")</f>
        <v/>
      </c>
      <c r="BV51" s="10" t="n">
        <v>-9.0535</v>
      </c>
      <c r="BW51" s="9" t="inlineStr"/>
      <c r="BX51" s="10">
        <f>IF(AND(BV51&gt;$BX$12,D51&lt;=$BX$13),D50,"")</f>
        <v/>
      </c>
      <c r="BY51" s="10">
        <f>IF(AND(BM51&lt;$BY$12,BN51&gt;$BY$13),D50,"")</f>
        <v/>
      </c>
      <c r="BZ51" s="10">
        <f>IF(AND(BK51&gt;$BZ$12,BL51&lt;$BZ$13,BM51&gt;$BZ$11),D50,"")</f>
        <v/>
      </c>
      <c r="CA51" s="10">
        <f>IF(BX51&lt;&gt;"",BX51,IF(BY51&lt;&gt;"",BY51,BZ51))</f>
        <v/>
      </c>
      <c r="CB51" s="10">
        <f>IF(AND(BQ51&gt;$CB$12,BR51&lt;$CB$13),E50,"")</f>
        <v/>
      </c>
      <c r="CC51" s="10">
        <f>IF(AND(BO51&lt;=$CC$12,E51&lt;$CC$13),E50,"")</f>
        <v/>
      </c>
      <c r="CD51" s="10">
        <f>IF(AND(BP51&gt;$CD$12,BQ51&gt;$CD$13),E50,"")</f>
        <v/>
      </c>
      <c r="CE51" s="10">
        <f>IF(CB51&lt;&gt;"",CB51,IF(CC51&lt;&gt;"",CC51,CD51))</f>
        <v/>
      </c>
    </row>
    <row r="52">
      <c r="A52" s="9" t="inlineStr">
        <is>
          <t>2026/06/11</t>
        </is>
      </c>
      <c r="B52" s="9" t="n">
        <v>163.86</v>
      </c>
      <c r="C52" s="9" t="n">
        <v>178.87</v>
      </c>
      <c r="D52" s="10">
        <f>IF(COUNT(B52:B53)=2,ROUND((B52/B53-1)*100,4),"")</f>
        <v/>
      </c>
      <c r="E52" s="10">
        <f>IF(COUNT(C52:C53)=2,ROUND((C52/C53-1)*100,4),"")</f>
        <v/>
      </c>
      <c r="F52" s="9" t="inlineStr"/>
      <c r="G52" s="9" t="n">
        <v>65.27</v>
      </c>
      <c r="H52" s="9" t="n">
        <v>67.59999999999999</v>
      </c>
      <c r="I52" s="9" t="n">
        <v>65.18000000000001</v>
      </c>
      <c r="J52" s="9" t="n">
        <v>67.5</v>
      </c>
      <c r="K52" s="9" t="n">
        <v>67.151</v>
      </c>
      <c r="L52" s="9" t="n">
        <v>41505700</v>
      </c>
      <c r="M52" s="9" t="inlineStr"/>
      <c r="N52" s="9" t="n">
        <v>373.96</v>
      </c>
      <c r="O52" s="9" t="n">
        <v>387.21</v>
      </c>
      <c r="P52" s="9" t="n">
        <v>371.88</v>
      </c>
      <c r="Q52" s="9" t="n">
        <v>386.32</v>
      </c>
      <c r="R52" s="9" t="n">
        <v>386.32</v>
      </c>
      <c r="S52" s="9" t="n">
        <v>12622500</v>
      </c>
      <c r="T52" s="9" t="inlineStr"/>
      <c r="U52" s="9" t="n">
        <v>79.56999999999999</v>
      </c>
      <c r="V52" s="9" t="n">
        <v>79.97</v>
      </c>
      <c r="W52" s="9" t="n">
        <v>79.52</v>
      </c>
      <c r="X52" s="9" t="n">
        <v>79.94</v>
      </c>
      <c r="Y52" s="9" t="n">
        <v>79.1867</v>
      </c>
      <c r="Z52" s="9" t="n">
        <v>55089500</v>
      </c>
      <c r="AA52" s="9" t="inlineStr"/>
      <c r="AB52" s="9" t="n">
        <v>109.33</v>
      </c>
      <c r="AC52" s="9" t="n">
        <v>109.66</v>
      </c>
      <c r="AD52" s="9" t="n">
        <v>109.21</v>
      </c>
      <c r="AE52" s="9" t="n">
        <v>109.6</v>
      </c>
      <c r="AF52" s="9" t="n">
        <v>107.7497</v>
      </c>
      <c r="AG52" s="9" t="n">
        <v>1873900</v>
      </c>
      <c r="AH52" s="9" t="inlineStr"/>
      <c r="AI52" s="9" t="n">
        <v>52.35</v>
      </c>
      <c r="AJ52" s="9" t="n">
        <v>52.77</v>
      </c>
      <c r="AK52" s="9" t="n">
        <v>52.04</v>
      </c>
      <c r="AL52" s="9" t="n">
        <v>52.62</v>
      </c>
      <c r="AM52" s="9" t="n">
        <v>52.4363</v>
      </c>
      <c r="AN52" s="9" t="n">
        <v>41295600</v>
      </c>
      <c r="AO52" s="9" t="inlineStr"/>
      <c r="AP52" s="9" t="n">
        <v>57.14</v>
      </c>
      <c r="AQ52" s="9" t="n">
        <v>57.49</v>
      </c>
      <c r="AR52" s="9" t="n">
        <v>57.13</v>
      </c>
      <c r="AS52" s="9" t="n">
        <v>57.43</v>
      </c>
      <c r="AT52" s="9" t="n">
        <v>57.43</v>
      </c>
      <c r="AU52" s="9" t="n">
        <v>237100</v>
      </c>
      <c r="AV52" s="9" t="inlineStr"/>
      <c r="AW52" s="9" t="n">
        <v>73.98999999999999</v>
      </c>
      <c r="AX52" s="9" t="n">
        <v>78.18000000000001</v>
      </c>
      <c r="AY52" s="9" t="n">
        <v>73.77</v>
      </c>
      <c r="AZ52" s="9" t="n">
        <v>77.72</v>
      </c>
      <c r="BA52" s="9" t="n">
        <v>77.72</v>
      </c>
      <c r="BB52" s="9" t="n">
        <v>34820800</v>
      </c>
      <c r="BC52" s="9" t="inlineStr"/>
      <c r="BD52" s="9" t="n">
        <v>110.89</v>
      </c>
      <c r="BE52" s="9" t="n">
        <v>112.52</v>
      </c>
      <c r="BF52" s="9" t="n">
        <v>110.22</v>
      </c>
      <c r="BG52" s="9" t="n">
        <v>112.12</v>
      </c>
      <c r="BH52" s="9" t="n">
        <v>111.8291</v>
      </c>
      <c r="BI52" s="9" t="n">
        <v>5931800</v>
      </c>
      <c r="BJ52" s="9" t="inlineStr"/>
      <c r="BK52" s="10">
        <f>IF(COUNT(K52:K53)=2,ROUND((K52/K53-1)*100,4),"")</f>
        <v/>
      </c>
      <c r="BL52" s="10">
        <f>IF(COUNT(R52:R53)=2,ROUND((R52/R53-1)*100,4),"")</f>
        <v/>
      </c>
      <c r="BM52" s="10">
        <f>IF(COUNT(Y52:Y53)=2,ROUND((Y52/Y53-1)*100,4),"")</f>
        <v/>
      </c>
      <c r="BN52" s="10">
        <f>IF(COUNT(AF52:AF53)=2,ROUND((AF52/AF53-1)*100,4),"")</f>
        <v/>
      </c>
      <c r="BO52" s="10">
        <f>IF(COUNT(AM52:AM53)=2,ROUND((AM52/AM53-1)*100,4),"")</f>
        <v/>
      </c>
      <c r="BP52" s="10">
        <f>IF(COUNT(AT52:AT53)=2,ROUND((AT52/AT53-1)*100,4),"")</f>
        <v/>
      </c>
      <c r="BQ52" s="10">
        <f>IF(COUNT(BA52:BA53)=2,ROUND((BA52/BA53-1)*100,4),"")</f>
        <v/>
      </c>
      <c r="BR52" s="10">
        <f>IF(COUNT(BH52:BH53)=2,ROUND((BH52/BH53-1)*100,4),"")</f>
        <v/>
      </c>
      <c r="BS52" s="9" t="inlineStr"/>
      <c r="BT52" s="9" t="n">
        <v>19.44</v>
      </c>
      <c r="BU52" s="10">
        <f>IF(COUNT(BT52:BT53)=2,ROUND((BT52/BT53-1)*100,4),"")</f>
        <v/>
      </c>
      <c r="BV52" s="10" t="n">
        <v>-12.5113</v>
      </c>
      <c r="BW52" s="9" t="inlineStr"/>
      <c r="BX52" s="10">
        <f>IF(AND(BV52&gt;$BX$12,D52&lt;=$BX$13),D51,"")</f>
        <v/>
      </c>
      <c r="BY52" s="10">
        <f>IF(AND(BM52&lt;$BY$12,BN52&gt;$BY$13),D51,"")</f>
        <v/>
      </c>
      <c r="BZ52" s="10">
        <f>IF(AND(BK52&gt;$BZ$12,BL52&lt;$BZ$13,BM52&gt;$BZ$11),D51,"")</f>
        <v/>
      </c>
      <c r="CA52" s="10">
        <f>IF(BX52&lt;&gt;"",BX52,IF(BY52&lt;&gt;"",BY52,BZ52))</f>
        <v/>
      </c>
      <c r="CB52" s="10">
        <f>IF(AND(BQ52&gt;$CB$12,BR52&lt;$CB$13),E51,"")</f>
        <v/>
      </c>
      <c r="CC52" s="10">
        <f>IF(AND(BO52&lt;=$CC$12,E52&lt;$CC$13),E51,"")</f>
        <v/>
      </c>
      <c r="CD52" s="10">
        <f>IF(AND(BP52&gt;$CD$12,BQ52&gt;$CD$13),E51,"")</f>
        <v/>
      </c>
      <c r="CE52" s="10">
        <f>IF(CB52&lt;&gt;"",CB52,IF(CC52&lt;&gt;"",CC52,CD52))</f>
        <v/>
      </c>
    </row>
    <row r="53">
      <c r="A53" s="9" t="inlineStr">
        <is>
          <t>2026/06/10</t>
        </is>
      </c>
      <c r="B53" s="9" t="n">
        <v>153.76</v>
      </c>
      <c r="C53" s="9" t="n">
        <v>172.89</v>
      </c>
      <c r="D53" s="10">
        <f>IF(COUNT(B53:B54)=2,ROUND((B53/B54-1)*100,4),"")</f>
        <v/>
      </c>
      <c r="E53" s="10">
        <f>IF(COUNT(C53:C54)=2,ROUND((C53/C54-1)*100,4),"")</f>
        <v/>
      </c>
      <c r="F53" s="9" t="inlineStr"/>
      <c r="G53" s="9" t="n">
        <v>65.31</v>
      </c>
      <c r="H53" s="9" t="n">
        <v>66.28</v>
      </c>
      <c r="I53" s="9" t="n">
        <v>64.58</v>
      </c>
      <c r="J53" s="9" t="n">
        <v>64.66</v>
      </c>
      <c r="K53" s="9" t="n">
        <v>64.3257</v>
      </c>
      <c r="L53" s="9" t="n">
        <v>37541900</v>
      </c>
      <c r="M53" s="9" t="inlineStr"/>
      <c r="N53" s="9" t="n">
        <v>380.75</v>
      </c>
      <c r="O53" s="9" t="n">
        <v>384.21</v>
      </c>
      <c r="P53" s="9" t="n">
        <v>374.55</v>
      </c>
      <c r="Q53" s="9" t="n">
        <v>374.58</v>
      </c>
      <c r="R53" s="9" t="n">
        <v>374.58</v>
      </c>
      <c r="S53" s="9" t="n">
        <v>13956200</v>
      </c>
      <c r="T53" s="9" t="inlineStr"/>
      <c r="U53" s="9" t="n">
        <v>79.56</v>
      </c>
      <c r="V53" s="9" t="n">
        <v>79.64</v>
      </c>
      <c r="W53" s="9" t="n">
        <v>79.45</v>
      </c>
      <c r="X53" s="9" t="n">
        <v>79.47</v>
      </c>
      <c r="Y53" s="9" t="n">
        <v>78.72110000000001</v>
      </c>
      <c r="Z53" s="9" t="n">
        <v>30345200</v>
      </c>
      <c r="AA53" s="9" t="inlineStr"/>
      <c r="AB53" s="9" t="n">
        <v>109.46</v>
      </c>
      <c r="AC53" s="9" t="n">
        <v>109.56</v>
      </c>
      <c r="AD53" s="9" t="n">
        <v>109.21</v>
      </c>
      <c r="AE53" s="9" t="n">
        <v>109.21</v>
      </c>
      <c r="AF53" s="9" t="n">
        <v>107.3663</v>
      </c>
      <c r="AG53" s="9" t="n">
        <v>1522100</v>
      </c>
      <c r="AH53" s="9" t="inlineStr"/>
      <c r="AI53" s="9" t="n">
        <v>52.5</v>
      </c>
      <c r="AJ53" s="9" t="n">
        <v>52.81</v>
      </c>
      <c r="AK53" s="9" t="n">
        <v>52.21</v>
      </c>
      <c r="AL53" s="9" t="n">
        <v>52.23</v>
      </c>
      <c r="AM53" s="9" t="n">
        <v>52.0477</v>
      </c>
      <c r="AN53" s="9" t="n">
        <v>31128400</v>
      </c>
      <c r="AO53" s="9" t="inlineStr"/>
      <c r="AP53" s="9" t="n">
        <v>57.2</v>
      </c>
      <c r="AQ53" s="9" t="n">
        <v>57.24</v>
      </c>
      <c r="AR53" s="9" t="n">
        <v>57.17</v>
      </c>
      <c r="AS53" s="9" t="n">
        <v>57.17</v>
      </c>
      <c r="AT53" s="9" t="n">
        <v>57.17</v>
      </c>
      <c r="AU53" s="9" t="n">
        <v>114500</v>
      </c>
      <c r="AV53" s="9" t="inlineStr"/>
      <c r="AW53" s="9" t="n">
        <v>74.79000000000001</v>
      </c>
      <c r="AX53" s="9" t="n">
        <v>76.8</v>
      </c>
      <c r="AY53" s="9" t="n">
        <v>73.63</v>
      </c>
      <c r="AZ53" s="9" t="n">
        <v>73.81</v>
      </c>
      <c r="BA53" s="9" t="n">
        <v>73.81</v>
      </c>
      <c r="BB53" s="9" t="n">
        <v>26414500</v>
      </c>
      <c r="BC53" s="9" t="inlineStr"/>
      <c r="BD53" s="9" t="n">
        <v>111.59</v>
      </c>
      <c r="BE53" s="9" t="n">
        <v>112.45</v>
      </c>
      <c r="BF53" s="9" t="n">
        <v>110.93</v>
      </c>
      <c r="BG53" s="9" t="n">
        <v>111.01</v>
      </c>
      <c r="BH53" s="9" t="n">
        <v>110.722</v>
      </c>
      <c r="BI53" s="9" t="n">
        <v>5435400</v>
      </c>
      <c r="BJ53" s="9" t="inlineStr"/>
      <c r="BK53" s="10">
        <f>IF(COUNT(K53:K54)=2,ROUND((K53/K54-1)*100,4),"")</f>
        <v/>
      </c>
      <c r="BL53" s="10">
        <f>IF(COUNT(R53:R54)=2,ROUND((R53/R54-1)*100,4),"")</f>
        <v/>
      </c>
      <c r="BM53" s="10">
        <f>IF(COUNT(Y53:Y54)=2,ROUND((Y53/Y54-1)*100,4),"")</f>
        <v/>
      </c>
      <c r="BN53" s="10">
        <f>IF(COUNT(AF53:AF54)=2,ROUND((AF53/AF54-1)*100,4),"")</f>
        <v/>
      </c>
      <c r="BO53" s="10">
        <f>IF(COUNT(AM53:AM54)=2,ROUND((AM53/AM54-1)*100,4),"")</f>
        <v/>
      </c>
      <c r="BP53" s="10">
        <f>IF(COUNT(AT53:AT54)=2,ROUND((AT53/AT54-1)*100,4),"")</f>
        <v/>
      </c>
      <c r="BQ53" s="10">
        <f>IF(COUNT(BA53:BA54)=2,ROUND((BA53/BA54-1)*100,4),"")</f>
        <v/>
      </c>
      <c r="BR53" s="10">
        <f>IF(COUNT(BH53:BH54)=2,ROUND((BH53/BH54-1)*100,4),"")</f>
        <v/>
      </c>
      <c r="BS53" s="9" t="inlineStr"/>
      <c r="BT53" s="9" t="n">
        <v>22.22</v>
      </c>
      <c r="BU53" s="10">
        <f>IF(COUNT(BT53:BT54)=2,ROUND((BT53/BT54-1)*100,4),"")</f>
        <v/>
      </c>
      <c r="BV53" s="10" t="n">
        <v>11.8269</v>
      </c>
      <c r="BW53" s="9" t="inlineStr"/>
      <c r="BX53" s="10">
        <f>IF(AND(BV53&gt;$BX$12,D53&lt;=$BX$13),D52,"")</f>
        <v/>
      </c>
      <c r="BY53" s="10">
        <f>IF(AND(BM53&lt;$BY$12,BN53&gt;$BY$13),D52,"")</f>
        <v/>
      </c>
      <c r="BZ53" s="10">
        <f>IF(AND(BK53&gt;$BZ$12,BL53&lt;$BZ$13,BM53&gt;$BZ$11),D52,"")</f>
        <v/>
      </c>
      <c r="CA53" s="10">
        <f>IF(BX53&lt;&gt;"",BX53,IF(BY53&lt;&gt;"",BY53,BZ53))</f>
        <v/>
      </c>
      <c r="CB53" s="10">
        <f>IF(AND(BQ53&gt;$CB$12,BR53&lt;$CB$13),E52,"")</f>
        <v/>
      </c>
      <c r="CC53" s="10">
        <f>IF(AND(BO53&lt;=$CC$12,E53&lt;$CC$13),E52,"")</f>
        <v/>
      </c>
      <c r="CD53" s="10">
        <f>IF(AND(BP53&gt;$CD$12,BQ53&gt;$CD$13),E52,"")</f>
        <v/>
      </c>
      <c r="CE53" s="10">
        <f>IF(CB53&lt;&gt;"",CB53,IF(CC53&lt;&gt;"",CC53,CD53))</f>
        <v/>
      </c>
    </row>
    <row r="54">
      <c r="A54" s="9" t="inlineStr">
        <is>
          <t>2026/06/09</t>
        </is>
      </c>
      <c r="B54" s="9" t="n">
        <v>160.13</v>
      </c>
      <c r="C54" s="9" t="n">
        <v>178.67</v>
      </c>
      <c r="D54" s="10">
        <f>IF(COUNT(B54:B55)=2,ROUND((B54/B55-1)*100,4),"")</f>
        <v/>
      </c>
      <c r="E54" s="10">
        <f>IF(COUNT(C54:C55)=2,ROUND((C54/C55-1)*100,4),"")</f>
        <v/>
      </c>
      <c r="F54" s="9" t="inlineStr"/>
      <c r="G54" s="9" t="n">
        <v>67.20999999999999</v>
      </c>
      <c r="H54" s="9" t="n">
        <v>67.45999999999999</v>
      </c>
      <c r="I54" s="9" t="n">
        <v>64.06999999999999</v>
      </c>
      <c r="J54" s="9" t="n">
        <v>65.81999999999999</v>
      </c>
      <c r="K54" s="9" t="n">
        <v>65.47969999999999</v>
      </c>
      <c r="L54" s="9" t="n">
        <v>42106700</v>
      </c>
      <c r="M54" s="9" t="inlineStr"/>
      <c r="N54" s="9" t="n">
        <v>397.57</v>
      </c>
      <c r="O54" s="9" t="n">
        <v>400.48</v>
      </c>
      <c r="P54" s="9" t="n">
        <v>388.75</v>
      </c>
      <c r="Q54" s="9" t="n">
        <v>390.78</v>
      </c>
      <c r="R54" s="9" t="n">
        <v>390.78</v>
      </c>
      <c r="S54" s="9" t="n">
        <v>9567300</v>
      </c>
      <c r="T54" s="9" t="inlineStr"/>
      <c r="U54" s="9" t="n">
        <v>79.62</v>
      </c>
      <c r="V54" s="9" t="n">
        <v>79.79000000000001</v>
      </c>
      <c r="W54" s="9" t="n">
        <v>79.42</v>
      </c>
      <c r="X54" s="9" t="n">
        <v>79.62</v>
      </c>
      <c r="Y54" s="9" t="n">
        <v>78.86969999999999</v>
      </c>
      <c r="Z54" s="9" t="n">
        <v>34705500</v>
      </c>
      <c r="AA54" s="9" t="inlineStr"/>
      <c r="AB54" s="9" t="n">
        <v>109.34</v>
      </c>
      <c r="AC54" s="9" t="n">
        <v>109.4</v>
      </c>
      <c r="AD54" s="9" t="n">
        <v>109.19</v>
      </c>
      <c r="AE54" s="9" t="n">
        <v>109.32</v>
      </c>
      <c r="AF54" s="9" t="n">
        <v>107.4744</v>
      </c>
      <c r="AG54" s="9" t="n">
        <v>2372800</v>
      </c>
      <c r="AH54" s="9" t="inlineStr"/>
      <c r="AI54" s="9" t="n">
        <v>52.18</v>
      </c>
      <c r="AJ54" s="9" t="n">
        <v>52.7</v>
      </c>
      <c r="AK54" s="9" t="n">
        <v>52.04</v>
      </c>
      <c r="AL54" s="9" t="n">
        <v>52.46</v>
      </c>
      <c r="AM54" s="9" t="n">
        <v>52.2769</v>
      </c>
      <c r="AN54" s="9" t="n">
        <v>41695100</v>
      </c>
      <c r="AO54" s="9" t="inlineStr"/>
      <c r="AP54" s="9" t="n">
        <v>57.28</v>
      </c>
      <c r="AQ54" s="9" t="n">
        <v>57.31</v>
      </c>
      <c r="AR54" s="9" t="n">
        <v>57.21</v>
      </c>
      <c r="AS54" s="9" t="n">
        <v>57.23</v>
      </c>
      <c r="AT54" s="9" t="n">
        <v>57.23</v>
      </c>
      <c r="AU54" s="9" t="n">
        <v>110500</v>
      </c>
      <c r="AV54" s="9" t="inlineStr"/>
      <c r="AW54" s="9" t="n">
        <v>79.5</v>
      </c>
      <c r="AX54" s="9" t="n">
        <v>80.23</v>
      </c>
      <c r="AY54" s="9" t="n">
        <v>75.03</v>
      </c>
      <c r="AZ54" s="9" t="n">
        <v>77.59</v>
      </c>
      <c r="BA54" s="9" t="n">
        <v>77.59</v>
      </c>
      <c r="BB54" s="9" t="n">
        <v>24897100</v>
      </c>
      <c r="BC54" s="9" t="inlineStr"/>
      <c r="BD54" s="9" t="n">
        <v>111.48</v>
      </c>
      <c r="BE54" s="9" t="n">
        <v>112.23</v>
      </c>
      <c r="BF54" s="9" t="n">
        <v>110.48</v>
      </c>
      <c r="BG54" s="9" t="n">
        <v>111.48</v>
      </c>
      <c r="BH54" s="9" t="n">
        <v>111.1907</v>
      </c>
      <c r="BI54" s="9" t="n">
        <v>6589000</v>
      </c>
      <c r="BJ54" s="9" t="inlineStr"/>
      <c r="BK54" s="10">
        <f>IF(COUNT(K54:K55)=2,ROUND((K54/K55-1)*100,4),"")</f>
        <v/>
      </c>
      <c r="BL54" s="10">
        <f>IF(COUNT(R54:R55)=2,ROUND((R54/R55-1)*100,4),"")</f>
        <v/>
      </c>
      <c r="BM54" s="10">
        <f>IF(COUNT(Y54:Y55)=2,ROUND((Y54/Y55-1)*100,4),"")</f>
        <v/>
      </c>
      <c r="BN54" s="10">
        <f>IF(COUNT(AF54:AF55)=2,ROUND((AF54/AF55-1)*100,4),"")</f>
        <v/>
      </c>
      <c r="BO54" s="10">
        <f>IF(COUNT(AM54:AM55)=2,ROUND((AM54/AM55-1)*100,4),"")</f>
        <v/>
      </c>
      <c r="BP54" s="10">
        <f>IF(COUNT(AT54:AT55)=2,ROUND((AT54/AT55-1)*100,4),"")</f>
        <v/>
      </c>
      <c r="BQ54" s="10">
        <f>IF(COUNT(BA54:BA55)=2,ROUND((BA54/BA55-1)*100,4),"")</f>
        <v/>
      </c>
      <c r="BR54" s="10">
        <f>IF(COUNT(BH54:BH55)=2,ROUND((BH54/BH55-1)*100,4),"")</f>
        <v/>
      </c>
      <c r="BS54" s="9" t="inlineStr"/>
      <c r="BT54" s="9" t="n">
        <v>19.87</v>
      </c>
      <c r="BU54" s="10">
        <f>IF(COUNT(BT54:BT55)=2,ROUND((BT54/BT55-1)*100,4),"")</f>
        <v/>
      </c>
      <c r="BV54" s="10" t="n">
        <v>5.0211</v>
      </c>
      <c r="BW54" s="9" t="inlineStr"/>
      <c r="BX54" s="10">
        <f>IF(AND(BV54&gt;$BX$12,D54&lt;=$BX$13),D53,"")</f>
        <v/>
      </c>
      <c r="BY54" s="10">
        <f>IF(AND(BM54&lt;$BY$12,BN54&gt;$BY$13),D53,"")</f>
        <v/>
      </c>
      <c r="BZ54" s="10">
        <f>IF(AND(BK54&gt;$BZ$12,BL54&lt;$BZ$13,BM54&gt;$BZ$11),D53,"")</f>
        <v/>
      </c>
      <c r="CA54" s="10">
        <f>IF(BX54&lt;&gt;"",BX54,IF(BY54&lt;&gt;"",BY54,BZ54))</f>
        <v/>
      </c>
      <c r="CB54" s="10">
        <f>IF(AND(BQ54&gt;$CB$12,BR54&lt;$CB$13),E53,"")</f>
        <v/>
      </c>
      <c r="CC54" s="10">
        <f>IF(AND(BO54&lt;=$CC$12,E54&lt;$CC$13),E53,"")</f>
        <v/>
      </c>
      <c r="CD54" s="10">
        <f>IF(AND(BP54&gt;$CD$12,BQ54&gt;$CD$13),E53,"")</f>
        <v/>
      </c>
      <c r="CE54" s="10">
        <f>IF(CB54&lt;&gt;"",CB54,IF(CC54&lt;&gt;"",CC54,CD54))</f>
        <v/>
      </c>
    </row>
    <row r="55">
      <c r="A55" s="9" t="inlineStr">
        <is>
          <t>2026/06/08</t>
        </is>
      </c>
      <c r="B55" s="9" t="n">
        <v>163.85</v>
      </c>
      <c r="C55" s="9" t="n">
        <v>179.65</v>
      </c>
      <c r="D55" s="10">
        <f>IF(COUNT(B55:B56)=2,ROUND((B55/B56-1)*100,4),"")</f>
        <v/>
      </c>
      <c r="E55" s="10">
        <f>IF(COUNT(C55:C56)=2,ROUND((C55/C56-1)*100,4),"")</f>
        <v/>
      </c>
      <c r="F55" s="9" t="inlineStr"/>
      <c r="G55" s="9" t="n">
        <v>66.06999999999999</v>
      </c>
      <c r="H55" s="9" t="n">
        <v>66.37</v>
      </c>
      <c r="I55" s="9" t="n">
        <v>65.59</v>
      </c>
      <c r="J55" s="9" t="n">
        <v>65.75</v>
      </c>
      <c r="K55" s="9" t="n">
        <v>65.41</v>
      </c>
      <c r="L55" s="9" t="n">
        <v>29088400</v>
      </c>
      <c r="M55" s="9" t="inlineStr"/>
      <c r="N55" s="9" t="n">
        <v>397.52</v>
      </c>
      <c r="O55" s="9" t="n">
        <v>398.98</v>
      </c>
      <c r="P55" s="9" t="n">
        <v>396.03</v>
      </c>
      <c r="Q55" s="9" t="n">
        <v>397.27</v>
      </c>
      <c r="R55" s="9" t="n">
        <v>397.27</v>
      </c>
      <c r="S55" s="9" t="n">
        <v>8057300</v>
      </c>
      <c r="T55" s="9" t="inlineStr"/>
      <c r="U55" s="9" t="n">
        <v>79.59999999999999</v>
      </c>
      <c r="V55" s="9" t="n">
        <v>79.65000000000001</v>
      </c>
      <c r="W55" s="9" t="n">
        <v>79.48</v>
      </c>
      <c r="X55" s="9" t="n">
        <v>79.54000000000001</v>
      </c>
      <c r="Y55" s="9" t="n">
        <v>78.79049999999999</v>
      </c>
      <c r="Z55" s="9" t="n">
        <v>25217800</v>
      </c>
      <c r="AA55" s="9" t="inlineStr"/>
      <c r="AB55" s="9" t="n">
        <v>109.5</v>
      </c>
      <c r="AC55" s="9" t="n">
        <v>109.52</v>
      </c>
      <c r="AD55" s="9" t="n">
        <v>109.12</v>
      </c>
      <c r="AE55" s="9" t="n">
        <v>109.13</v>
      </c>
      <c r="AF55" s="9" t="n">
        <v>107.2877</v>
      </c>
      <c r="AG55" s="9" t="n">
        <v>2522600</v>
      </c>
      <c r="AH55" s="9" t="inlineStr"/>
      <c r="AI55" s="9" t="n">
        <v>52.24</v>
      </c>
      <c r="AJ55" s="9" t="n">
        <v>52.47</v>
      </c>
      <c r="AK55" s="9" t="n">
        <v>51.96</v>
      </c>
      <c r="AL55" s="9" t="n">
        <v>51.97</v>
      </c>
      <c r="AM55" s="9" t="n">
        <v>51.7886</v>
      </c>
      <c r="AN55" s="9" t="n">
        <v>39102700</v>
      </c>
      <c r="AO55" s="9" t="inlineStr"/>
      <c r="AP55" s="9" t="n">
        <v>57.38</v>
      </c>
      <c r="AQ55" s="9" t="n">
        <v>57.39</v>
      </c>
      <c r="AR55" s="9" t="n">
        <v>57.27</v>
      </c>
      <c r="AS55" s="9" t="n">
        <v>57.28</v>
      </c>
      <c r="AT55" s="9" t="n">
        <v>57.28</v>
      </c>
      <c r="AU55" s="9" t="n">
        <v>197500</v>
      </c>
      <c r="AV55" s="9" t="inlineStr"/>
      <c r="AW55" s="9" t="n">
        <v>79.36</v>
      </c>
      <c r="AX55" s="9" t="n">
        <v>80.3</v>
      </c>
      <c r="AY55" s="9" t="n">
        <v>78.45999999999999</v>
      </c>
      <c r="AZ55" s="9" t="n">
        <v>78.67</v>
      </c>
      <c r="BA55" s="9" t="n">
        <v>78.67</v>
      </c>
      <c r="BB55" s="9" t="n">
        <v>18567600</v>
      </c>
      <c r="BC55" s="9" t="inlineStr"/>
      <c r="BD55" s="9" t="n">
        <v>111.41</v>
      </c>
      <c r="BE55" s="9" t="n">
        <v>111.465</v>
      </c>
      <c r="BF55" s="9" t="n">
        <v>110.12</v>
      </c>
      <c r="BG55" s="9" t="n">
        <v>111.09</v>
      </c>
      <c r="BH55" s="9" t="n">
        <v>110.8017</v>
      </c>
      <c r="BI55" s="9" t="n">
        <v>9077800</v>
      </c>
      <c r="BJ55" s="9" t="inlineStr"/>
      <c r="BK55" s="10">
        <f>IF(COUNT(K55:K56)=2,ROUND((K55/K56-1)*100,4),"")</f>
        <v/>
      </c>
      <c r="BL55" s="10">
        <f>IF(COUNT(R55:R56)=2,ROUND((R55/R56-1)*100,4),"")</f>
        <v/>
      </c>
      <c r="BM55" s="10">
        <f>IF(COUNT(Y55:Y56)=2,ROUND((Y55/Y56-1)*100,4),"")</f>
        <v/>
      </c>
      <c r="BN55" s="10">
        <f>IF(COUNT(AF55:AF56)=2,ROUND((AF55/AF56-1)*100,4),"")</f>
        <v/>
      </c>
      <c r="BO55" s="10">
        <f>IF(COUNT(AM55:AM56)=2,ROUND((AM55/AM56-1)*100,4),"")</f>
        <v/>
      </c>
      <c r="BP55" s="10">
        <f>IF(COUNT(AT55:AT56)=2,ROUND((AT55/AT56-1)*100,4),"")</f>
        <v/>
      </c>
      <c r="BQ55" s="10">
        <f>IF(COUNT(BA55:BA56)=2,ROUND((BA55/BA56-1)*100,4),"")</f>
        <v/>
      </c>
      <c r="BR55" s="10">
        <f>IF(COUNT(BH55:BH56)=2,ROUND((BH55/BH56-1)*100,4),"")</f>
        <v/>
      </c>
      <c r="BS55" s="9" t="inlineStr"/>
      <c r="BT55" s="9" t="n">
        <v>18.92</v>
      </c>
      <c r="BU55" s="10">
        <f>IF(COUNT(BT55:BT56)=2,ROUND((BT55/BT56-1)*100,4),"")</f>
        <v/>
      </c>
      <c r="BV55" s="10" t="n">
        <v>-12.0409</v>
      </c>
      <c r="BW55" s="9" t="inlineStr"/>
      <c r="BX55" s="10">
        <f>IF(AND(BV55&gt;$BX$12,D55&lt;=$BX$13),D54,"")</f>
        <v/>
      </c>
      <c r="BY55" s="10">
        <f>IF(AND(BM55&lt;$BY$12,BN55&gt;$BY$13),D54,"")</f>
        <v/>
      </c>
      <c r="BZ55" s="10">
        <f>IF(AND(BK55&gt;$BZ$12,BL55&lt;$BZ$13,BM55&gt;$BZ$11),D54,"")</f>
        <v/>
      </c>
      <c r="CA55" s="10">
        <f>IF(BX55&lt;&gt;"",BX55,IF(BY55&lt;&gt;"",BY55,BZ55))</f>
        <v/>
      </c>
      <c r="CB55" s="10">
        <f>IF(AND(BQ55&gt;$CB$12,BR55&lt;$CB$13),E54,"")</f>
        <v/>
      </c>
      <c r="CC55" s="10">
        <f>IF(AND(BO55&lt;=$CC$12,E55&lt;$CC$13),E54,"")</f>
        <v/>
      </c>
      <c r="CD55" s="10">
        <f>IF(AND(BP55&gt;$CD$12,BQ55&gt;$CD$13),E54,"")</f>
        <v/>
      </c>
      <c r="CE55" s="10">
        <f>IF(CB55&lt;&gt;"",CB55,IF(CC55&lt;&gt;"",CC55,CD55))</f>
        <v/>
      </c>
    </row>
    <row r="56">
      <c r="A56" s="9" t="inlineStr">
        <is>
          <t>2026/06/05</t>
        </is>
      </c>
      <c r="B56" s="9" t="n">
        <v>158.91</v>
      </c>
      <c r="C56" s="9" t="n">
        <v>178.71</v>
      </c>
      <c r="D56" s="10">
        <f>IF(COUNT(B56:B57)=2,ROUND((B56/B57-1)*100,4),"")</f>
        <v/>
      </c>
      <c r="E56" s="10">
        <f>IF(COUNT(C56:C57)=2,ROUND((C56/C57-1)*100,4),"")</f>
        <v/>
      </c>
      <c r="F56" s="9" t="inlineStr"/>
      <c r="G56" s="9" t="n">
        <v>66.73</v>
      </c>
      <c r="H56" s="9" t="n">
        <v>66.89</v>
      </c>
      <c r="I56" s="9" t="n">
        <v>64.36</v>
      </c>
      <c r="J56" s="9" t="n">
        <v>64.59</v>
      </c>
      <c r="K56" s="9" t="n">
        <v>64.256</v>
      </c>
      <c r="L56" s="9" t="n">
        <v>56184500</v>
      </c>
      <c r="M56" s="9" t="inlineStr"/>
      <c r="N56" s="9" t="n">
        <v>404.38</v>
      </c>
      <c r="O56" s="9" t="n">
        <v>404.72</v>
      </c>
      <c r="P56" s="9" t="n">
        <v>395.92</v>
      </c>
      <c r="Q56" s="9" t="n">
        <v>396.24</v>
      </c>
      <c r="R56" s="9" t="n">
        <v>396.24</v>
      </c>
      <c r="S56" s="9" t="n">
        <v>11473900</v>
      </c>
      <c r="T56" s="9" t="inlineStr"/>
      <c r="U56" s="9" t="n">
        <v>79.7</v>
      </c>
      <c r="V56" s="9" t="n">
        <v>79.72</v>
      </c>
      <c r="W56" s="9" t="n">
        <v>79.34999999999999</v>
      </c>
      <c r="X56" s="9" t="n">
        <v>79.43000000000001</v>
      </c>
      <c r="Y56" s="9" t="n">
        <v>78.6815</v>
      </c>
      <c r="Z56" s="9" t="n">
        <v>46035600</v>
      </c>
      <c r="AA56" s="9" t="inlineStr"/>
      <c r="AB56" s="9" t="n">
        <v>109.42</v>
      </c>
      <c r="AC56" s="9" t="n">
        <v>109.48</v>
      </c>
      <c r="AD56" s="9" t="n">
        <v>109.25</v>
      </c>
      <c r="AE56" s="9" t="n">
        <v>109.25</v>
      </c>
      <c r="AF56" s="9" t="n">
        <v>107.4056</v>
      </c>
      <c r="AG56" s="9" t="n">
        <v>1816400</v>
      </c>
      <c r="AH56" s="9" t="inlineStr"/>
      <c r="AI56" s="9" t="n">
        <v>52.38</v>
      </c>
      <c r="AJ56" s="9" t="n">
        <v>52.48</v>
      </c>
      <c r="AK56" s="9" t="n">
        <v>52.06</v>
      </c>
      <c r="AL56" s="9" t="n">
        <v>52.3</v>
      </c>
      <c r="AM56" s="9" t="n">
        <v>52.1174</v>
      </c>
      <c r="AN56" s="9" t="n">
        <v>42101700</v>
      </c>
      <c r="AO56" s="9" t="inlineStr"/>
      <c r="AP56" s="9" t="n">
        <v>57.32</v>
      </c>
      <c r="AQ56" s="9" t="n">
        <v>57.38</v>
      </c>
      <c r="AR56" s="9" t="n">
        <v>57.25</v>
      </c>
      <c r="AS56" s="9" t="n">
        <v>57.31</v>
      </c>
      <c r="AT56" s="9" t="n">
        <v>57.31</v>
      </c>
      <c r="AU56" s="9" t="n">
        <v>136100</v>
      </c>
      <c r="AV56" s="9" t="inlineStr"/>
      <c r="AW56" s="9" t="n">
        <v>83.8</v>
      </c>
      <c r="AX56" s="9" t="n">
        <v>83.84999999999999</v>
      </c>
      <c r="AY56" s="9" t="n">
        <v>78.78</v>
      </c>
      <c r="AZ56" s="9" t="n">
        <v>78.84</v>
      </c>
      <c r="BA56" s="9" t="n">
        <v>78.84</v>
      </c>
      <c r="BB56" s="9" t="n">
        <v>44792000</v>
      </c>
      <c r="BC56" s="9" t="inlineStr"/>
      <c r="BD56" s="9" t="n">
        <v>112.79</v>
      </c>
      <c r="BE56" s="9" t="n">
        <v>113.36</v>
      </c>
      <c r="BF56" s="9" t="n">
        <v>111.135</v>
      </c>
      <c r="BG56" s="9" t="n">
        <v>111.67</v>
      </c>
      <c r="BH56" s="9" t="n">
        <v>111.3802</v>
      </c>
      <c r="BI56" s="9" t="n">
        <v>9005000</v>
      </c>
      <c r="BJ56" s="9" t="inlineStr"/>
      <c r="BK56" s="10">
        <f>IF(COUNT(K56:K57)=2,ROUND((K56/K57-1)*100,4),"")</f>
        <v/>
      </c>
      <c r="BL56" s="10">
        <f>IF(COUNT(R56:R57)=2,ROUND((R56/R57-1)*100,4),"")</f>
        <v/>
      </c>
      <c r="BM56" s="10">
        <f>IF(COUNT(Y56:Y57)=2,ROUND((Y56/Y57-1)*100,4),"")</f>
        <v/>
      </c>
      <c r="BN56" s="10">
        <f>IF(COUNT(AF56:AF57)=2,ROUND((AF56/AF57-1)*100,4),"")</f>
        <v/>
      </c>
      <c r="BO56" s="10">
        <f>IF(COUNT(AM56:AM57)=2,ROUND((AM56/AM57-1)*100,4),"")</f>
        <v/>
      </c>
      <c r="BP56" s="10">
        <f>IF(COUNT(AT56:AT57)=2,ROUND((AT56/AT57-1)*100,4),"")</f>
        <v/>
      </c>
      <c r="BQ56" s="10">
        <f>IF(COUNT(BA56:BA57)=2,ROUND((BA56/BA57-1)*100,4),"")</f>
        <v/>
      </c>
      <c r="BR56" s="10">
        <f>IF(COUNT(BH56:BH57)=2,ROUND((BH56/BH57-1)*100,4),"")</f>
        <v/>
      </c>
      <c r="BS56" s="9" t="inlineStr"/>
      <c r="BT56" s="9" t="n">
        <v>21.51</v>
      </c>
      <c r="BU56" s="10">
        <f>IF(COUNT(BT56:BT57)=2,ROUND((BT56/BT57-1)*100,4),"")</f>
        <v/>
      </c>
      <c r="BV56" s="10" t="n">
        <v>39.6753</v>
      </c>
      <c r="BW56" s="9" t="inlineStr"/>
      <c r="BX56" s="10">
        <f>IF(AND(BV56&gt;$BX$12,D56&lt;=$BX$13),D55,"")</f>
        <v/>
      </c>
      <c r="BY56" s="10">
        <f>IF(AND(BM56&lt;$BY$12,BN56&gt;$BY$13),D55,"")</f>
        <v/>
      </c>
      <c r="BZ56" s="10">
        <f>IF(AND(BK56&gt;$BZ$12,BL56&lt;$BZ$13,BM56&gt;$BZ$11),D55,"")</f>
        <v/>
      </c>
      <c r="CA56" s="10">
        <f>IF(BX56&lt;&gt;"",BX56,IF(BY56&lt;&gt;"",BY56,BZ56))</f>
        <v/>
      </c>
      <c r="CB56" s="10">
        <f>IF(AND(BQ56&gt;$CB$12,BR56&lt;$CB$13),E55,"")</f>
        <v/>
      </c>
      <c r="CC56" s="10">
        <f>IF(AND(BO56&lt;=$CC$12,E56&lt;$CC$13),E55,"")</f>
        <v/>
      </c>
      <c r="CD56" s="10">
        <f>IF(AND(BP56&gt;$CD$12,BQ56&gt;$CD$13),E55,"")</f>
        <v/>
      </c>
      <c r="CE56" s="10">
        <f>IF(CB56&lt;&gt;"",CB56,IF(CC56&lt;&gt;"",CC56,CD56))</f>
        <v/>
      </c>
    </row>
    <row r="57">
      <c r="A57" s="9" t="inlineStr">
        <is>
          <t>2026/06/04</t>
        </is>
      </c>
      <c r="B57" s="9" t="n">
        <v>175.71</v>
      </c>
      <c r="C57" s="9" t="n">
        <v>188.65</v>
      </c>
      <c r="D57" s="10">
        <f>IF(COUNT(B57:B58)=2,ROUND((B57/B58-1)*100,4),"")</f>
        <v/>
      </c>
      <c r="E57" s="10">
        <f>IF(COUNT(C57:C58)=2,ROUND((C57/C58-1)*100,4),"")</f>
        <v/>
      </c>
      <c r="F57" s="9" t="inlineStr"/>
      <c r="G57" s="9" t="n">
        <v>68.52</v>
      </c>
      <c r="H57" s="9" t="n">
        <v>69.29000000000001</v>
      </c>
      <c r="I57" s="9" t="n">
        <v>68.08</v>
      </c>
      <c r="J57" s="9" t="n">
        <v>69.09999999999999</v>
      </c>
      <c r="K57" s="9" t="n">
        <v>68.7427</v>
      </c>
      <c r="L57" s="9" t="n">
        <v>21260300</v>
      </c>
      <c r="M57" s="9" t="inlineStr"/>
      <c r="N57" s="9" t="n">
        <v>413.37</v>
      </c>
      <c r="O57" s="9" t="n">
        <v>414.37</v>
      </c>
      <c r="P57" s="9" t="n">
        <v>409.01</v>
      </c>
      <c r="Q57" s="9" t="n">
        <v>411.27</v>
      </c>
      <c r="R57" s="9" t="n">
        <v>411.27</v>
      </c>
      <c r="S57" s="9" t="n">
        <v>4646500</v>
      </c>
      <c r="T57" s="9" t="inlineStr"/>
      <c r="U57" s="9" t="n">
        <v>79.75</v>
      </c>
      <c r="V57" s="9" t="n">
        <v>79.84999999999999</v>
      </c>
      <c r="W57" s="9" t="n">
        <v>79.75</v>
      </c>
      <c r="X57" s="9" t="n">
        <v>79.83</v>
      </c>
      <c r="Y57" s="9" t="n">
        <v>79.07769999999999</v>
      </c>
      <c r="Z57" s="9" t="n">
        <v>22697900</v>
      </c>
      <c r="AA57" s="9" t="inlineStr"/>
      <c r="AB57" s="9" t="n">
        <v>109.84</v>
      </c>
      <c r="AC57" s="9" t="n">
        <v>109.86</v>
      </c>
      <c r="AD57" s="9" t="n">
        <v>109.73</v>
      </c>
      <c r="AE57" s="9" t="n">
        <v>109.78</v>
      </c>
      <c r="AF57" s="9" t="n">
        <v>107.9267</v>
      </c>
      <c r="AG57" s="9" t="n">
        <v>1483200</v>
      </c>
      <c r="AH57" s="9" t="inlineStr"/>
      <c r="AI57" s="9" t="n">
        <v>51.54</v>
      </c>
      <c r="AJ57" s="9" t="n">
        <v>52.3</v>
      </c>
      <c r="AK57" s="9" t="n">
        <v>51.48</v>
      </c>
      <c r="AL57" s="9" t="n">
        <v>52.19</v>
      </c>
      <c r="AM57" s="9" t="n">
        <v>52.0078</v>
      </c>
      <c r="AN57" s="9" t="n">
        <v>57368100</v>
      </c>
      <c r="AO57" s="9" t="inlineStr"/>
      <c r="AP57" s="9" t="n">
        <v>57.4</v>
      </c>
      <c r="AQ57" s="9" t="n">
        <v>57.42</v>
      </c>
      <c r="AR57" s="9" t="n">
        <v>57.34</v>
      </c>
      <c r="AS57" s="9" t="n">
        <v>57.35</v>
      </c>
      <c r="AT57" s="9" t="n">
        <v>57.35</v>
      </c>
      <c r="AU57" s="9" t="n">
        <v>74100</v>
      </c>
      <c r="AV57" s="9" t="inlineStr"/>
      <c r="AW57" s="9" t="n">
        <v>86.36</v>
      </c>
      <c r="AX57" s="9" t="n">
        <v>87.47</v>
      </c>
      <c r="AY57" s="9" t="n">
        <v>85.63</v>
      </c>
      <c r="AZ57" s="9" t="n">
        <v>86.40000000000001</v>
      </c>
      <c r="BA57" s="9" t="n">
        <v>86.40000000000001</v>
      </c>
      <c r="BB57" s="9" t="n">
        <v>13420200</v>
      </c>
      <c r="BC57" s="9" t="inlineStr"/>
      <c r="BD57" s="9" t="n">
        <v>112.74</v>
      </c>
      <c r="BE57" s="9" t="n">
        <v>114.365</v>
      </c>
      <c r="BF57" s="9" t="n">
        <v>112.69</v>
      </c>
      <c r="BG57" s="9" t="n">
        <v>113.11</v>
      </c>
      <c r="BH57" s="9" t="n">
        <v>112.8165</v>
      </c>
      <c r="BI57" s="9" t="n">
        <v>6056200</v>
      </c>
      <c r="BJ57" s="9" t="inlineStr"/>
      <c r="BK57" s="10">
        <f>IF(COUNT(K57:K58)=2,ROUND((K57/K58-1)*100,4),"")</f>
        <v/>
      </c>
      <c r="BL57" s="10">
        <f>IF(COUNT(R57:R58)=2,ROUND((R57/R58-1)*100,4),"")</f>
        <v/>
      </c>
      <c r="BM57" s="10">
        <f>IF(COUNT(Y57:Y58)=2,ROUND((Y57/Y58-1)*100,4),"")</f>
        <v/>
      </c>
      <c r="BN57" s="10">
        <f>IF(COUNT(AF57:AF58)=2,ROUND((AF57/AF58-1)*100,4),"")</f>
        <v/>
      </c>
      <c r="BO57" s="10">
        <f>IF(COUNT(AM57:AM58)=2,ROUND((AM57/AM58-1)*100,4),"")</f>
        <v/>
      </c>
      <c r="BP57" s="10">
        <f>IF(COUNT(AT57:AT58)=2,ROUND((AT57/AT58-1)*100,4),"")</f>
        <v/>
      </c>
      <c r="BQ57" s="10">
        <f>IF(COUNT(BA57:BA58)=2,ROUND((BA57/BA58-1)*100,4),"")</f>
        <v/>
      </c>
      <c r="BR57" s="10">
        <f>IF(COUNT(BH57:BH58)=2,ROUND((BH57/BH58-1)*100,4),"")</f>
        <v/>
      </c>
      <c r="BS57" s="9" t="inlineStr"/>
      <c r="BT57" s="9" t="n">
        <v>15.4</v>
      </c>
      <c r="BU57" s="10">
        <f>IF(COUNT(BT57:BT58)=2,ROUND((BT57/BT58-1)*100,4),"")</f>
        <v/>
      </c>
      <c r="BV57" s="10" t="n">
        <v>-4.1096</v>
      </c>
      <c r="BW57" s="9" t="inlineStr"/>
      <c r="BX57" s="10">
        <f>IF(AND(BV57&gt;$BX$12,D57&lt;=$BX$13),D56,"")</f>
        <v/>
      </c>
      <c r="BY57" s="10">
        <f>IF(AND(BM57&lt;$BY$12,BN57&gt;$BY$13),D56,"")</f>
        <v/>
      </c>
      <c r="BZ57" s="10">
        <f>IF(AND(BK57&gt;$BZ$12,BL57&lt;$BZ$13,BM57&gt;$BZ$11),D56,"")</f>
        <v/>
      </c>
      <c r="CA57" s="10">
        <f>IF(BX57&lt;&gt;"",BX57,IF(BY57&lt;&gt;"",BY57,BZ57))</f>
        <v/>
      </c>
      <c r="CB57" s="10">
        <f>IF(AND(BQ57&gt;$CB$12,BR57&lt;$CB$13),E56,"")</f>
        <v/>
      </c>
      <c r="CC57" s="10">
        <f>IF(AND(BO57&lt;=$CC$12,E57&lt;$CC$13),E56,"")</f>
        <v/>
      </c>
      <c r="CD57" s="10">
        <f>IF(AND(BP57&gt;$CD$12,BQ57&gt;$CD$13),E56,"")</f>
        <v/>
      </c>
      <c r="CE57" s="10">
        <f>IF(CB57&lt;&gt;"",CB57,IF(CC57&lt;&gt;"",CC57,CD57))</f>
        <v/>
      </c>
    </row>
    <row r="58">
      <c r="A58" s="9" t="inlineStr">
        <is>
          <t>2026/06/03</t>
        </is>
      </c>
      <c r="B58" s="9" t="n">
        <v>177.54</v>
      </c>
      <c r="C58" s="9" t="n">
        <v>187.13</v>
      </c>
      <c r="D58" s="10">
        <f>IF(COUNT(B58:B59)=2,ROUND((B58/B59-1)*100,4),"")</f>
        <v/>
      </c>
      <c r="E58" s="10">
        <f>IF(COUNT(C58:C59)=2,ROUND((C58/C59-1)*100,4),"")</f>
        <v/>
      </c>
      <c r="F58" s="9" t="inlineStr"/>
      <c r="G58" s="9" t="n">
        <v>70.42</v>
      </c>
      <c r="H58" s="9" t="n">
        <v>70.47</v>
      </c>
      <c r="I58" s="9" t="n">
        <v>69.56</v>
      </c>
      <c r="J58" s="9" t="n">
        <v>69.92</v>
      </c>
      <c r="K58" s="9" t="n">
        <v>69.55840000000001</v>
      </c>
      <c r="L58" s="9" t="n">
        <v>22147100</v>
      </c>
      <c r="M58" s="9" t="inlineStr"/>
      <c r="N58" s="9" t="n">
        <v>408.38</v>
      </c>
      <c r="O58" s="9" t="n">
        <v>409.38</v>
      </c>
      <c r="P58" s="9" t="n">
        <v>406.23</v>
      </c>
      <c r="Q58" s="9" t="n">
        <v>407.87</v>
      </c>
      <c r="R58" s="9" t="n">
        <v>407.87</v>
      </c>
      <c r="S58" s="9" t="n">
        <v>5038000</v>
      </c>
      <c r="T58" s="9" t="inlineStr"/>
      <c r="U58" s="9" t="n">
        <v>79.75</v>
      </c>
      <c r="V58" s="9" t="n">
        <v>79.78</v>
      </c>
      <c r="W58" s="9" t="n">
        <v>79.63</v>
      </c>
      <c r="X58" s="9" t="n">
        <v>79.68000000000001</v>
      </c>
      <c r="Y58" s="9" t="n">
        <v>78.92910000000001</v>
      </c>
      <c r="Z58" s="9" t="n">
        <v>28203400</v>
      </c>
      <c r="AA58" s="9" t="inlineStr"/>
      <c r="AB58" s="9" t="n">
        <v>109.81</v>
      </c>
      <c r="AC58" s="9" t="n">
        <v>109.91</v>
      </c>
      <c r="AD58" s="9" t="n">
        <v>109.68</v>
      </c>
      <c r="AE58" s="9" t="n">
        <v>109.77</v>
      </c>
      <c r="AF58" s="9" t="n">
        <v>107.9168</v>
      </c>
      <c r="AG58" s="9" t="n">
        <v>1077200</v>
      </c>
      <c r="AH58" s="9" t="inlineStr"/>
      <c r="AI58" s="9" t="n">
        <v>51.14</v>
      </c>
      <c r="AJ58" s="9" t="n">
        <v>51.16</v>
      </c>
      <c r="AK58" s="9" t="n">
        <v>50.52</v>
      </c>
      <c r="AL58" s="9" t="n">
        <v>50.87</v>
      </c>
      <c r="AM58" s="9" t="n">
        <v>50.6924</v>
      </c>
      <c r="AN58" s="9" t="n">
        <v>44906700</v>
      </c>
      <c r="AO58" s="9" t="inlineStr"/>
      <c r="AP58" s="9" t="n">
        <v>57.39</v>
      </c>
      <c r="AQ58" s="9" t="n">
        <v>57.41</v>
      </c>
      <c r="AR58" s="9" t="n">
        <v>57.34</v>
      </c>
      <c r="AS58" s="9" t="n">
        <v>57.34</v>
      </c>
      <c r="AT58" s="9" t="n">
        <v>57.34</v>
      </c>
      <c r="AU58" s="9" t="n">
        <v>184600</v>
      </c>
      <c r="AV58" s="9" t="inlineStr"/>
      <c r="AW58" s="9" t="n">
        <v>86.51000000000001</v>
      </c>
      <c r="AX58" s="9" t="n">
        <v>86.93000000000001</v>
      </c>
      <c r="AY58" s="9" t="n">
        <v>84.94</v>
      </c>
      <c r="AZ58" s="9" t="n">
        <v>85</v>
      </c>
      <c r="BA58" s="9" t="n">
        <v>85</v>
      </c>
      <c r="BB58" s="9" t="n">
        <v>18139600</v>
      </c>
      <c r="BC58" s="9" t="inlineStr"/>
      <c r="BD58" s="9" t="n">
        <v>113.24</v>
      </c>
      <c r="BE58" s="9" t="n">
        <v>113.43</v>
      </c>
      <c r="BF58" s="9" t="n">
        <v>111.76</v>
      </c>
      <c r="BG58" s="9" t="n">
        <v>112.08</v>
      </c>
      <c r="BH58" s="9" t="n">
        <v>111.7892</v>
      </c>
      <c r="BI58" s="9" t="n">
        <v>6066700</v>
      </c>
      <c r="BJ58" s="9" t="inlineStr"/>
      <c r="BK58" s="10">
        <f>IF(COUNT(K58:K59)=2,ROUND((K58/K59-1)*100,4),"")</f>
        <v/>
      </c>
      <c r="BL58" s="10">
        <f>IF(COUNT(R58:R59)=2,ROUND((R58/R59-1)*100,4),"")</f>
        <v/>
      </c>
      <c r="BM58" s="10">
        <f>IF(COUNT(Y58:Y59)=2,ROUND((Y58/Y59-1)*100,4),"")</f>
        <v/>
      </c>
      <c r="BN58" s="10">
        <f>IF(COUNT(AF58:AF59)=2,ROUND((AF58/AF59-1)*100,4),"")</f>
        <v/>
      </c>
      <c r="BO58" s="10">
        <f>IF(COUNT(AM58:AM59)=2,ROUND((AM58/AM59-1)*100,4),"")</f>
        <v/>
      </c>
      <c r="BP58" s="10">
        <f>IF(COUNT(AT58:AT59)=2,ROUND((AT58/AT59-1)*100,4),"")</f>
        <v/>
      </c>
      <c r="BQ58" s="10">
        <f>IF(COUNT(BA58:BA59)=2,ROUND((BA58/BA59-1)*100,4),"")</f>
        <v/>
      </c>
      <c r="BR58" s="10">
        <f>IF(COUNT(BH58:BH59)=2,ROUND((BH58/BH59-1)*100,4),"")</f>
        <v/>
      </c>
      <c r="BS58" s="9" t="inlineStr"/>
      <c r="BT58" s="9" t="n">
        <v>16.06</v>
      </c>
      <c r="BU58" s="10">
        <f>IF(COUNT(BT58:BT59)=2,ROUND((BT58/BT59-1)*100,4),"")</f>
        <v/>
      </c>
      <c r="BV58" s="10" t="n">
        <v>1.8389</v>
      </c>
      <c r="BW58" s="9" t="inlineStr"/>
      <c r="BX58" s="10">
        <f>IF(AND(BV58&gt;$BX$12,D58&lt;=$BX$13),D57,"")</f>
        <v/>
      </c>
      <c r="BY58" s="10">
        <f>IF(AND(BM58&lt;$BY$12,BN58&gt;$BY$13),D57,"")</f>
        <v/>
      </c>
      <c r="BZ58" s="10">
        <f>IF(AND(BK58&gt;$BZ$12,BL58&lt;$BZ$13,BM58&gt;$BZ$11),D57,"")</f>
        <v/>
      </c>
      <c r="CA58" s="10">
        <f>IF(BX58&lt;&gt;"",BX58,IF(BY58&lt;&gt;"",BY58,BZ58))</f>
        <v/>
      </c>
      <c r="CB58" s="10">
        <f>IF(AND(BQ58&gt;$CB$12,BR58&lt;$CB$13),E57,"")</f>
        <v/>
      </c>
      <c r="CC58" s="10">
        <f>IF(AND(BO58&lt;=$CC$12,E58&lt;$CC$13),E57,"")</f>
        <v/>
      </c>
      <c r="CD58" s="10">
        <f>IF(AND(BP58&gt;$CD$12,BQ58&gt;$CD$13),E57,"")</f>
        <v/>
      </c>
      <c r="CE58" s="10">
        <f>IF(CB58&lt;&gt;"",CB58,IF(CC58&lt;&gt;"",CC58,CD58))</f>
        <v/>
      </c>
    </row>
    <row r="59">
      <c r="A59" s="9" t="inlineStr">
        <is>
          <t>2026/06/02</t>
        </is>
      </c>
      <c r="B59" s="9" t="n">
        <v>178.58</v>
      </c>
      <c r="C59" s="9" t="n">
        <v>189.9</v>
      </c>
      <c r="D59" s="10">
        <f>IF(COUNT(B59:B60)=2,ROUND((B59/B60-1)*100,4),"")</f>
        <v/>
      </c>
      <c r="E59" s="10">
        <f>IF(COUNT(C59:C60)=2,ROUND((C59/C60-1)*100,4),"")</f>
        <v/>
      </c>
      <c r="F59" s="9" t="inlineStr"/>
      <c r="G59" s="9" t="n">
        <v>70.29000000000001</v>
      </c>
      <c r="H59" s="9" t="n">
        <v>70.86</v>
      </c>
      <c r="I59" s="9" t="n">
        <v>70.06</v>
      </c>
      <c r="J59" s="9" t="n">
        <v>70.8</v>
      </c>
      <c r="K59" s="9" t="n">
        <v>70.43389999999999</v>
      </c>
      <c r="L59" s="9" t="n">
        <v>16577400</v>
      </c>
      <c r="M59" s="9" t="inlineStr"/>
      <c r="N59" s="9" t="n">
        <v>414.08</v>
      </c>
      <c r="O59" s="9" t="n">
        <v>414.4</v>
      </c>
      <c r="P59" s="9" t="n">
        <v>411.1</v>
      </c>
      <c r="Q59" s="9" t="n">
        <v>411.95</v>
      </c>
      <c r="R59" s="9" t="n">
        <v>411.95</v>
      </c>
      <c r="S59" s="9" t="n">
        <v>3823900</v>
      </c>
      <c r="T59" s="9" t="inlineStr"/>
      <c r="U59" s="9" t="n">
        <v>79.84</v>
      </c>
      <c r="V59" s="9" t="n">
        <v>79.90000000000001</v>
      </c>
      <c r="W59" s="9" t="n">
        <v>79.79000000000001</v>
      </c>
      <c r="X59" s="9" t="n">
        <v>79.90000000000001</v>
      </c>
      <c r="Y59" s="9" t="n">
        <v>79.14709999999999</v>
      </c>
      <c r="Z59" s="9" t="n">
        <v>25237500</v>
      </c>
      <c r="AA59" s="9" t="inlineStr"/>
      <c r="AB59" s="9" t="n">
        <v>110.11</v>
      </c>
      <c r="AC59" s="9" t="n">
        <v>110.12</v>
      </c>
      <c r="AD59" s="9" t="n">
        <v>109.96</v>
      </c>
      <c r="AE59" s="9" t="n">
        <v>109.97</v>
      </c>
      <c r="AF59" s="9" t="n">
        <v>108.1135</v>
      </c>
      <c r="AG59" s="9" t="n">
        <v>1386500</v>
      </c>
      <c r="AH59" s="9" t="inlineStr"/>
      <c r="AI59" s="9" t="n">
        <v>51.23</v>
      </c>
      <c r="AJ59" s="9" t="n">
        <v>51.66</v>
      </c>
      <c r="AK59" s="9" t="n">
        <v>50.98</v>
      </c>
      <c r="AL59" s="9" t="n">
        <v>51.46</v>
      </c>
      <c r="AM59" s="9" t="n">
        <v>51.2804</v>
      </c>
      <c r="AN59" s="9" t="n">
        <v>30988800</v>
      </c>
      <c r="AO59" s="9" t="inlineStr"/>
      <c r="AP59" s="9" t="n">
        <v>57.43</v>
      </c>
      <c r="AQ59" s="9" t="n">
        <v>57.46</v>
      </c>
      <c r="AR59" s="9" t="n">
        <v>57.39</v>
      </c>
      <c r="AS59" s="9" t="n">
        <v>57.43</v>
      </c>
      <c r="AT59" s="9" t="n">
        <v>57.43</v>
      </c>
      <c r="AU59" s="9" t="n">
        <v>180700</v>
      </c>
      <c r="AV59" s="9" t="inlineStr"/>
      <c r="AW59" s="9" t="n">
        <v>87.93000000000001</v>
      </c>
      <c r="AX59" s="9" t="n">
        <v>88.29000000000001</v>
      </c>
      <c r="AY59" s="9" t="n">
        <v>85.98999999999999</v>
      </c>
      <c r="AZ59" s="9" t="n">
        <v>88.05</v>
      </c>
      <c r="BA59" s="9" t="n">
        <v>88.05</v>
      </c>
      <c r="BB59" s="9" t="n">
        <v>19269000</v>
      </c>
      <c r="BC59" s="9" t="inlineStr"/>
      <c r="BD59" s="9" t="n">
        <v>114.755</v>
      </c>
      <c r="BE59" s="9" t="n">
        <v>114.9</v>
      </c>
      <c r="BF59" s="9" t="n">
        <v>113.52</v>
      </c>
      <c r="BG59" s="9" t="n">
        <v>113.57</v>
      </c>
      <c r="BH59" s="9" t="n">
        <v>113.2753</v>
      </c>
      <c r="BI59" s="9" t="n">
        <v>6493900</v>
      </c>
      <c r="BJ59" s="9" t="inlineStr"/>
      <c r="BK59" s="10">
        <f>IF(COUNT(K59:K60)=2,ROUND((K59/K60-1)*100,4),"")</f>
        <v/>
      </c>
      <c r="BL59" s="10">
        <f>IF(COUNT(R59:R60)=2,ROUND((R59/R60-1)*100,4),"")</f>
        <v/>
      </c>
      <c r="BM59" s="10">
        <f>IF(COUNT(Y59:Y60)=2,ROUND((Y59/Y60-1)*100,4),"")</f>
        <v/>
      </c>
      <c r="BN59" s="10">
        <f>IF(COUNT(AF59:AF60)=2,ROUND((AF59/AF60-1)*100,4),"")</f>
        <v/>
      </c>
      <c r="BO59" s="10">
        <f>IF(COUNT(AM59:AM60)=2,ROUND((AM59/AM60-1)*100,4),"")</f>
        <v/>
      </c>
      <c r="BP59" s="10">
        <f>IF(COUNT(AT59:AT60)=2,ROUND((AT59/AT60-1)*100,4),"")</f>
        <v/>
      </c>
      <c r="BQ59" s="10">
        <f>IF(COUNT(BA59:BA60)=2,ROUND((BA59/BA60-1)*100,4),"")</f>
        <v/>
      </c>
      <c r="BR59" s="10">
        <f>IF(COUNT(BH59:BH60)=2,ROUND((BH59/BH60-1)*100,4),"")</f>
        <v/>
      </c>
      <c r="BS59" s="9" t="inlineStr"/>
      <c r="BT59" s="9" t="n">
        <v>15.77</v>
      </c>
      <c r="BU59" s="10">
        <f>IF(COUNT(BT59:BT60)=2,ROUND((BT59/BT60-1)*100,4),"")</f>
        <v/>
      </c>
      <c r="BV59" s="10" t="n">
        <v>-1.7445</v>
      </c>
      <c r="BW59" s="9" t="inlineStr"/>
      <c r="BX59" s="10">
        <f>IF(AND(BV59&gt;$BX$12,D59&lt;=$BX$13),D58,"")</f>
        <v/>
      </c>
      <c r="BY59" s="10">
        <f>IF(AND(BM59&lt;$BY$12,BN59&gt;$BY$13),D58,"")</f>
        <v/>
      </c>
      <c r="BZ59" s="10">
        <f>IF(AND(BK59&gt;$BZ$12,BL59&lt;$BZ$13,BM59&gt;$BZ$11),D58,"")</f>
        <v/>
      </c>
      <c r="CA59" s="10">
        <f>IF(BX59&lt;&gt;"",BX59,IF(BY59&lt;&gt;"",BY59,BZ59))</f>
        <v/>
      </c>
      <c r="CB59" s="10">
        <f>IF(AND(BQ59&gt;$CB$12,BR59&lt;$CB$13),E58,"")</f>
        <v/>
      </c>
      <c r="CC59" s="10">
        <f>IF(AND(BO59&lt;=$CC$12,E59&lt;$CC$13),E58,"")</f>
        <v/>
      </c>
      <c r="CD59" s="10">
        <f>IF(AND(BP59&gt;$CD$12,BQ59&gt;$CD$13),E58,"")</f>
        <v/>
      </c>
      <c r="CE59" s="10">
        <f>IF(CB59&lt;&gt;"",CB59,IF(CC59&lt;&gt;"",CC59,CD59))</f>
        <v/>
      </c>
    </row>
    <row r="60">
      <c r="A60" s="9" t="inlineStr">
        <is>
          <t>2026/06/01</t>
        </is>
      </c>
      <c r="B60" s="9" t="n">
        <v>176.92</v>
      </c>
      <c r="C60" s="9" t="n">
        <v>189.42</v>
      </c>
      <c r="D60" s="10">
        <f>IF(COUNT(B60:B61)=2,ROUND((B60/B61-1)*100,4),"")</f>
        <v/>
      </c>
      <c r="E60" s="10">
        <f>IF(COUNT(C60:C61)=2,ROUND((C60/C61-1)*100,4),"")</f>
        <v/>
      </c>
      <c r="F60" s="9" t="inlineStr"/>
      <c r="G60" s="9" t="n">
        <v>69.38</v>
      </c>
      <c r="H60" s="9" t="n">
        <v>70.51000000000001</v>
      </c>
      <c r="I60" s="9" t="n">
        <v>69.13</v>
      </c>
      <c r="J60" s="9" t="n">
        <v>70.08</v>
      </c>
      <c r="K60" s="9" t="n">
        <v>69.7176</v>
      </c>
      <c r="L60" s="9" t="n">
        <v>31731100</v>
      </c>
      <c r="M60" s="9" t="inlineStr"/>
      <c r="N60" s="9" t="n">
        <v>409.86</v>
      </c>
      <c r="O60" s="9" t="n">
        <v>412.61</v>
      </c>
      <c r="P60" s="9" t="n">
        <v>408.24</v>
      </c>
      <c r="Q60" s="9" t="n">
        <v>411.26</v>
      </c>
      <c r="R60" s="9" t="n">
        <v>411.26</v>
      </c>
      <c r="S60" s="9" t="n">
        <v>6158900</v>
      </c>
      <c r="T60" s="9" t="inlineStr"/>
      <c r="U60" s="9" t="n">
        <v>79.79000000000001</v>
      </c>
      <c r="V60" s="9" t="n">
        <v>79.88</v>
      </c>
      <c r="W60" s="9" t="n">
        <v>79.64</v>
      </c>
      <c r="X60" s="9" t="n">
        <v>79.84</v>
      </c>
      <c r="Y60" s="9" t="n">
        <v>79.08759999999999</v>
      </c>
      <c r="Z60" s="9" t="n">
        <v>32671000</v>
      </c>
      <c r="AA60" s="9" t="inlineStr"/>
      <c r="AB60" s="9" t="n">
        <v>109.87</v>
      </c>
      <c r="AC60" s="9" t="n">
        <v>109.99</v>
      </c>
      <c r="AD60" s="9" t="n">
        <v>109.76</v>
      </c>
      <c r="AE60" s="9" t="n">
        <v>109.98</v>
      </c>
      <c r="AF60" s="9" t="n">
        <v>108.1233</v>
      </c>
      <c r="AG60" s="9" t="n">
        <v>1843900</v>
      </c>
      <c r="AH60" s="9" t="inlineStr"/>
      <c r="AI60" s="9" t="n">
        <v>51.23</v>
      </c>
      <c r="AJ60" s="9" t="n">
        <v>51.6</v>
      </c>
      <c r="AK60" s="9" t="n">
        <v>51.19</v>
      </c>
      <c r="AL60" s="9" t="n">
        <v>51.43</v>
      </c>
      <c r="AM60" s="9" t="n">
        <v>51.2505</v>
      </c>
      <c r="AN60" s="9" t="n">
        <v>34507600</v>
      </c>
      <c r="AO60" s="9" t="inlineStr"/>
      <c r="AP60" s="9" t="n">
        <v>57.5</v>
      </c>
      <c r="AQ60" s="9" t="n">
        <v>57.53</v>
      </c>
      <c r="AR60" s="9" t="n">
        <v>57.46</v>
      </c>
      <c r="AS60" s="9" t="n">
        <v>57.51</v>
      </c>
      <c r="AT60" s="9" t="n">
        <v>57.51</v>
      </c>
      <c r="AU60" s="9" t="n">
        <v>241800</v>
      </c>
      <c r="AV60" s="9" t="inlineStr"/>
      <c r="AW60" s="9" t="n">
        <v>86.45</v>
      </c>
      <c r="AX60" s="9" t="n">
        <v>87.55</v>
      </c>
      <c r="AY60" s="9" t="n">
        <v>84.38</v>
      </c>
      <c r="AZ60" s="9" t="n">
        <v>86.68000000000001</v>
      </c>
      <c r="BA60" s="9" t="n">
        <v>86.68000000000001</v>
      </c>
      <c r="BB60" s="9" t="n">
        <v>26022900</v>
      </c>
      <c r="BC60" s="9" t="inlineStr"/>
      <c r="BD60" s="9" t="n">
        <v>115.425</v>
      </c>
      <c r="BE60" s="9" t="n">
        <v>116.045</v>
      </c>
      <c r="BF60" s="9" t="n">
        <v>114.815</v>
      </c>
      <c r="BG60" s="9" t="n">
        <v>115.61</v>
      </c>
      <c r="BH60" s="9" t="n">
        <v>115.31</v>
      </c>
      <c r="BI60" s="9" t="n">
        <v>5270300</v>
      </c>
      <c r="BJ60" s="9" t="inlineStr"/>
      <c r="BK60" s="10">
        <f>IF(COUNT(K60:K61)=2,ROUND((K60/K61-1)*100,4),"")</f>
        <v/>
      </c>
      <c r="BL60" s="10">
        <f>IF(COUNT(R60:R61)=2,ROUND((R60/R61-1)*100,4),"")</f>
        <v/>
      </c>
      <c r="BM60" s="10">
        <f>IF(COUNT(Y60:Y61)=2,ROUND((Y60/Y61-1)*100,4),"")</f>
        <v/>
      </c>
      <c r="BN60" s="10">
        <f>IF(COUNT(AF60:AF61)=2,ROUND((AF60/AF61-1)*100,4),"")</f>
        <v/>
      </c>
      <c r="BO60" s="10">
        <f>IF(COUNT(AM60:AM61)=2,ROUND((AM60/AM61-1)*100,4),"")</f>
        <v/>
      </c>
      <c r="BP60" s="10">
        <f>IF(COUNT(AT60:AT61)=2,ROUND((AT60/AT61-1)*100,4),"")</f>
        <v/>
      </c>
      <c r="BQ60" s="10">
        <f>IF(COUNT(BA60:BA61)=2,ROUND((BA60/BA61-1)*100,4),"")</f>
        <v/>
      </c>
      <c r="BR60" s="10">
        <f>IF(COUNT(BH60:BH61)=2,ROUND((BH60/BH61-1)*100,4),"")</f>
        <v/>
      </c>
      <c r="BS60" s="9" t="inlineStr"/>
      <c r="BT60" s="9" t="n">
        <v>16.05</v>
      </c>
      <c r="BU60" s="10">
        <f>IF(COUNT(BT60:BT61)=2,ROUND((BT60/BT61-1)*100,4),"")</f>
        <v/>
      </c>
      <c r="BV60" s="10" t="n">
        <v>4.765</v>
      </c>
      <c r="BW60" s="9" t="inlineStr"/>
      <c r="BX60" s="10">
        <f>IF(AND(BV60&gt;$BX$12,D60&lt;=$BX$13),D59,"")</f>
        <v/>
      </c>
      <c r="BY60" s="10">
        <f>IF(AND(BM60&lt;$BY$12,BN60&gt;$BY$13),D59,"")</f>
        <v/>
      </c>
      <c r="BZ60" s="10">
        <f>IF(AND(BK60&gt;$BZ$12,BL60&lt;$BZ$13,BM60&gt;$BZ$11),D59,"")</f>
        <v/>
      </c>
      <c r="CA60" s="10">
        <f>IF(BX60&lt;&gt;"",BX60,IF(BY60&lt;&gt;"",BY60,BZ60))</f>
        <v/>
      </c>
      <c r="CB60" s="10">
        <f>IF(AND(BQ60&gt;$CB$12,BR60&lt;$CB$13),E59,"")</f>
        <v/>
      </c>
      <c r="CC60" s="10">
        <f>IF(AND(BO60&lt;=$CC$12,E60&lt;$CC$13),E59,"")</f>
        <v/>
      </c>
      <c r="CD60" s="10">
        <f>IF(AND(BP60&gt;$CD$12,BQ60&gt;$CD$13),E59,"")</f>
        <v/>
      </c>
      <c r="CE60" s="10">
        <f>IF(CB60&lt;&gt;"",CB60,IF(CC60&lt;&gt;"",CC60,CD60))</f>
        <v/>
      </c>
    </row>
    <row r="61">
      <c r="A61" s="9" t="inlineStr">
        <is>
          <t>2026/05/29</t>
        </is>
      </c>
      <c r="B61" s="9" t="n">
        <v>174.92</v>
      </c>
      <c r="C61" s="9" t="n">
        <v>188.5</v>
      </c>
      <c r="D61" s="10">
        <f>IF(COUNT(B61:B62)=2,ROUND((B61/B62-1)*100,4),"")</f>
        <v/>
      </c>
      <c r="E61" s="10">
        <f>IF(COUNT(C61:C62)=2,ROUND((C61/C62-1)*100,4),"")</f>
        <v/>
      </c>
      <c r="F61" s="9" t="inlineStr"/>
      <c r="G61" s="9" t="n">
        <v>68.93000000000001</v>
      </c>
      <c r="H61" s="9" t="n">
        <v>69.11</v>
      </c>
      <c r="I61" s="9" t="n">
        <v>68.5</v>
      </c>
      <c r="J61" s="9" t="n">
        <v>68.59999999999999</v>
      </c>
      <c r="K61" s="9" t="n">
        <v>68.2453</v>
      </c>
      <c r="L61" s="9" t="n">
        <v>32143100</v>
      </c>
      <c r="M61" s="9" t="inlineStr"/>
      <c r="N61" s="9" t="n">
        <v>415.62</v>
      </c>
      <c r="O61" s="9" t="n">
        <v>421.82</v>
      </c>
      <c r="P61" s="9" t="n">
        <v>415.08</v>
      </c>
      <c r="Q61" s="9" t="n">
        <v>417.12</v>
      </c>
      <c r="R61" s="9" t="n">
        <v>417.12</v>
      </c>
      <c r="S61" s="9" t="n">
        <v>7705700</v>
      </c>
      <c r="T61" s="9" t="inlineStr"/>
      <c r="U61" s="9" t="n">
        <v>80.26000000000001</v>
      </c>
      <c r="V61" s="9" t="n">
        <v>80.36</v>
      </c>
      <c r="W61" s="9" t="n">
        <v>80.20999999999999</v>
      </c>
      <c r="X61" s="9" t="n">
        <v>80.31</v>
      </c>
      <c r="Y61" s="9" t="n">
        <v>79.1481</v>
      </c>
      <c r="Z61" s="9" t="n">
        <v>39142200</v>
      </c>
      <c r="AA61" s="9" t="inlineStr"/>
      <c r="AB61" s="9" t="n">
        <v>111.17</v>
      </c>
      <c r="AC61" s="9" t="n">
        <v>111.29</v>
      </c>
      <c r="AD61" s="9" t="n">
        <v>111.11</v>
      </c>
      <c r="AE61" s="9" t="n">
        <v>111.21</v>
      </c>
      <c r="AF61" s="9" t="n">
        <v>108.0761</v>
      </c>
      <c r="AG61" s="9" t="n">
        <v>3078300</v>
      </c>
      <c r="AH61" s="9" t="inlineStr"/>
      <c r="AI61" s="9" t="n">
        <v>51.28</v>
      </c>
      <c r="AJ61" s="9" t="n">
        <v>51.79</v>
      </c>
      <c r="AK61" s="9" t="n">
        <v>51.17</v>
      </c>
      <c r="AL61" s="9" t="n">
        <v>51.58</v>
      </c>
      <c r="AM61" s="9" t="n">
        <v>51.3999</v>
      </c>
      <c r="AN61" s="9" t="n">
        <v>34240300</v>
      </c>
      <c r="AO61" s="9" t="inlineStr"/>
      <c r="AP61" s="9" t="n">
        <v>57.62</v>
      </c>
      <c r="AQ61" s="9" t="n">
        <v>57.7</v>
      </c>
      <c r="AR61" s="9" t="n">
        <v>57.61</v>
      </c>
      <c r="AS61" s="9" t="n">
        <v>57.62</v>
      </c>
      <c r="AT61" s="9" t="n">
        <v>57.62</v>
      </c>
      <c r="AU61" s="9" t="n">
        <v>129800</v>
      </c>
      <c r="AV61" s="9" t="inlineStr"/>
      <c r="AW61" s="9" t="n">
        <v>87.38</v>
      </c>
      <c r="AX61" s="9" t="n">
        <v>90.36</v>
      </c>
      <c r="AY61" s="9" t="n">
        <v>86.65000000000001</v>
      </c>
      <c r="AZ61" s="9" t="n">
        <v>89.48999999999999</v>
      </c>
      <c r="BA61" s="9" t="n">
        <v>89.48999999999999</v>
      </c>
      <c r="BB61" s="9" t="n">
        <v>22277000</v>
      </c>
      <c r="BC61" s="9" t="inlineStr"/>
      <c r="BD61" s="9" t="n">
        <v>115.93</v>
      </c>
      <c r="BE61" s="9" t="n">
        <v>116.05</v>
      </c>
      <c r="BF61" s="9" t="n">
        <v>115.14</v>
      </c>
      <c r="BG61" s="9" t="n">
        <v>115.69</v>
      </c>
      <c r="BH61" s="9" t="n">
        <v>115.3898</v>
      </c>
      <c r="BI61" s="9" t="n">
        <v>5493800</v>
      </c>
      <c r="BJ61" s="9" t="inlineStr"/>
      <c r="BK61" s="10">
        <f>IF(COUNT(K61:K62)=2,ROUND((K61/K62-1)*100,4),"")</f>
        <v/>
      </c>
      <c r="BL61" s="10">
        <f>IF(COUNT(R61:R62)=2,ROUND((R61/R62-1)*100,4),"")</f>
        <v/>
      </c>
      <c r="BM61" s="10">
        <f>IF(COUNT(Y61:Y62)=2,ROUND((Y61/Y62-1)*100,4),"")</f>
        <v/>
      </c>
      <c r="BN61" s="10">
        <f>IF(COUNT(AF61:AF62)=2,ROUND((AF61/AF62-1)*100,4),"")</f>
        <v/>
      </c>
      <c r="BO61" s="10">
        <f>IF(COUNT(AM61:AM62)=2,ROUND((AM61/AM62-1)*100,4),"")</f>
        <v/>
      </c>
      <c r="BP61" s="10">
        <f>IF(COUNT(AT61:AT62)=2,ROUND((AT61/AT62-1)*100,4),"")</f>
        <v/>
      </c>
      <c r="BQ61" s="10">
        <f>IF(COUNT(BA61:BA62)=2,ROUND((BA61/BA62-1)*100,4),"")</f>
        <v/>
      </c>
      <c r="BR61" s="10">
        <f>IF(COUNT(BH61:BH62)=2,ROUND((BH61/BH62-1)*100,4),"")</f>
        <v/>
      </c>
      <c r="BS61" s="9" t="inlineStr"/>
      <c r="BT61" s="9" t="n">
        <v>15.32</v>
      </c>
      <c r="BU61" s="10">
        <f>IF(COUNT(BT61:BT62)=2,ROUND((BT61/BT62-1)*100,4),"")</f>
        <v/>
      </c>
      <c r="BV61" s="10" t="n">
        <v>-2.6684</v>
      </c>
      <c r="BW61" s="9" t="inlineStr"/>
      <c r="BX61" s="10">
        <f>IF(AND(BV61&gt;$BX$12,D61&lt;=$BX$13),D60,"")</f>
        <v/>
      </c>
      <c r="BY61" s="10">
        <f>IF(AND(BM61&lt;$BY$12,BN61&gt;$BY$13),D60,"")</f>
        <v/>
      </c>
      <c r="BZ61" s="10">
        <f>IF(AND(BK61&gt;$BZ$12,BL61&lt;$BZ$13,BM61&gt;$BZ$11),D60,"")</f>
        <v/>
      </c>
      <c r="CA61" s="10">
        <f>IF(BX61&lt;&gt;"",BX61,IF(BY61&lt;&gt;"",BY61,BZ61))</f>
        <v/>
      </c>
      <c r="CB61" s="10">
        <f>IF(AND(BQ61&gt;$CB$12,BR61&lt;$CB$13),E60,"")</f>
        <v/>
      </c>
      <c r="CC61" s="10">
        <f>IF(AND(BO61&lt;=$CC$12,E61&lt;$CC$13),E60,"")</f>
        <v/>
      </c>
      <c r="CD61" s="10">
        <f>IF(AND(BP61&gt;$CD$12,BQ61&gt;$CD$13),E60,"")</f>
        <v/>
      </c>
      <c r="CE61" s="10">
        <f>IF(CB61&lt;&gt;"",CB61,IF(CC61&lt;&gt;"",CC61,CD61))</f>
        <v/>
      </c>
    </row>
    <row r="62">
      <c r="A62" s="9" t="inlineStr">
        <is>
          <t>2026/05/28</t>
        </is>
      </c>
      <c r="B62" s="9" t="n">
        <v>173.68</v>
      </c>
      <c r="C62" s="9" t="n">
        <v>187.68</v>
      </c>
      <c r="D62" s="10">
        <f>IF(COUNT(B62:B63)=2,ROUND((B62/B63-1)*100,4),"")</f>
        <v/>
      </c>
      <c r="E62" s="10">
        <f>IF(COUNT(C62:C63)=2,ROUND((C62/C63-1)*100,4),"")</f>
        <v/>
      </c>
      <c r="F62" s="9" t="inlineStr"/>
      <c r="G62" s="9" t="n">
        <v>67.65000000000001</v>
      </c>
      <c r="H62" s="9" t="n">
        <v>68.77</v>
      </c>
      <c r="I62" s="9" t="n">
        <v>67.43000000000001</v>
      </c>
      <c r="J62" s="9" t="n">
        <v>68.61</v>
      </c>
      <c r="K62" s="9" t="n">
        <v>68.2552</v>
      </c>
      <c r="L62" s="9" t="n">
        <v>33058600</v>
      </c>
      <c r="M62" s="9" t="inlineStr"/>
      <c r="N62" s="9" t="n">
        <v>406.48</v>
      </c>
      <c r="O62" s="9" t="n">
        <v>414.51</v>
      </c>
      <c r="P62" s="9" t="n">
        <v>405.41</v>
      </c>
      <c r="Q62" s="9" t="n">
        <v>412.77</v>
      </c>
      <c r="R62" s="9" t="n">
        <v>412.77</v>
      </c>
      <c r="S62" s="9" t="n">
        <v>7184100</v>
      </c>
      <c r="T62" s="9" t="inlineStr"/>
      <c r="U62" s="9" t="n">
        <v>80.08</v>
      </c>
      <c r="V62" s="9" t="n">
        <v>80.27</v>
      </c>
      <c r="W62" s="9" t="n">
        <v>80.04000000000001</v>
      </c>
      <c r="X62" s="9" t="n">
        <v>80.23</v>
      </c>
      <c r="Y62" s="9" t="n">
        <v>79.0692</v>
      </c>
      <c r="Z62" s="9" t="n">
        <v>32001600</v>
      </c>
      <c r="AA62" s="9" t="inlineStr"/>
      <c r="AB62" s="9" t="n">
        <v>111.06</v>
      </c>
      <c r="AC62" s="9" t="n">
        <v>111.27</v>
      </c>
      <c r="AD62" s="9" t="n">
        <v>110.97</v>
      </c>
      <c r="AE62" s="9" t="n">
        <v>111.18</v>
      </c>
      <c r="AF62" s="9" t="n">
        <v>108.047</v>
      </c>
      <c r="AG62" s="9" t="n">
        <v>1702800</v>
      </c>
      <c r="AH62" s="9" t="inlineStr"/>
      <c r="AI62" s="9" t="n">
        <v>51.19</v>
      </c>
      <c r="AJ62" s="9" t="n">
        <v>51.5</v>
      </c>
      <c r="AK62" s="9" t="n">
        <v>51.02</v>
      </c>
      <c r="AL62" s="9" t="n">
        <v>51.27</v>
      </c>
      <c r="AM62" s="9" t="n">
        <v>51.091</v>
      </c>
      <c r="AN62" s="9" t="n">
        <v>40564600</v>
      </c>
      <c r="AO62" s="9" t="inlineStr"/>
      <c r="AP62" s="9" t="n">
        <v>57.57</v>
      </c>
      <c r="AQ62" s="9" t="n">
        <v>57.68</v>
      </c>
      <c r="AR62" s="9" t="n">
        <v>57.56</v>
      </c>
      <c r="AS62" s="9" t="n">
        <v>57.65</v>
      </c>
      <c r="AT62" s="9" t="n">
        <v>57.65</v>
      </c>
      <c r="AU62" s="9" t="n">
        <v>109900</v>
      </c>
      <c r="AV62" s="9" t="inlineStr"/>
      <c r="AW62" s="9" t="n">
        <v>84.53</v>
      </c>
      <c r="AX62" s="9" t="n">
        <v>88</v>
      </c>
      <c r="AY62" s="9" t="n">
        <v>83.31999999999999</v>
      </c>
      <c r="AZ62" s="9" t="n">
        <v>87.18000000000001</v>
      </c>
      <c r="BA62" s="9" t="n">
        <v>87.18000000000001</v>
      </c>
      <c r="BB62" s="9" t="n">
        <v>20959900</v>
      </c>
      <c r="BC62" s="9" t="inlineStr"/>
      <c r="BD62" s="9" t="n">
        <v>116.1</v>
      </c>
      <c r="BE62" s="9" t="n">
        <v>116.84</v>
      </c>
      <c r="BF62" s="9" t="n">
        <v>115.55</v>
      </c>
      <c r="BG62" s="9" t="n">
        <v>116.67</v>
      </c>
      <c r="BH62" s="9" t="n">
        <v>116.3673</v>
      </c>
      <c r="BI62" s="9" t="n">
        <v>4528300</v>
      </c>
      <c r="BJ62" s="9" t="inlineStr"/>
      <c r="BK62" s="10">
        <f>IF(COUNT(K62:K63)=2,ROUND((K62/K63-1)*100,4),"")</f>
        <v/>
      </c>
      <c r="BL62" s="10">
        <f>IF(COUNT(R62:R63)=2,ROUND((R62/R63-1)*100,4),"")</f>
        <v/>
      </c>
      <c r="BM62" s="10">
        <f>IF(COUNT(Y62:Y63)=2,ROUND((Y62/Y63-1)*100,4),"")</f>
        <v/>
      </c>
      <c r="BN62" s="10">
        <f>IF(COUNT(AF62:AF63)=2,ROUND((AF62/AF63-1)*100,4),"")</f>
        <v/>
      </c>
      <c r="BO62" s="10">
        <f>IF(COUNT(AM62:AM63)=2,ROUND((AM62/AM63-1)*100,4),"")</f>
        <v/>
      </c>
      <c r="BP62" s="10">
        <f>IF(COUNT(AT62:AT63)=2,ROUND((AT62/AT63-1)*100,4),"")</f>
        <v/>
      </c>
      <c r="BQ62" s="10">
        <f>IF(COUNT(BA62:BA63)=2,ROUND((BA62/BA63-1)*100,4),"")</f>
        <v/>
      </c>
      <c r="BR62" s="10">
        <f>IF(COUNT(BH62:BH63)=2,ROUND((BH62/BH63-1)*100,4),"")</f>
        <v/>
      </c>
      <c r="BS62" s="9" t="inlineStr"/>
      <c r="BT62" s="9" t="n">
        <v>15.74</v>
      </c>
      <c r="BU62" s="10">
        <f>IF(COUNT(BT62:BT63)=2,ROUND((BT62/BT63-1)*100,4),"")</f>
        <v/>
      </c>
      <c r="BV62" s="10" t="n">
        <v>-3.3763</v>
      </c>
      <c r="BW62" s="9" t="inlineStr"/>
      <c r="BX62" s="10">
        <f>IF(AND(BV62&gt;$BX$12,D62&lt;=$BX$13),D61,"")</f>
        <v/>
      </c>
      <c r="BY62" s="10">
        <f>IF(AND(BM62&lt;$BY$12,BN62&gt;$BY$13),D61,"")</f>
        <v/>
      </c>
      <c r="BZ62" s="10">
        <f>IF(AND(BK62&gt;$BZ$12,BL62&lt;$BZ$13,BM62&gt;$BZ$11),D61,"")</f>
        <v/>
      </c>
      <c r="CA62" s="10">
        <f>IF(BX62&lt;&gt;"",BX62,IF(BY62&lt;&gt;"",BY62,BZ62))</f>
        <v/>
      </c>
      <c r="CB62" s="10">
        <f>IF(AND(BQ62&gt;$CB$12,BR62&lt;$CB$13),E61,"")</f>
        <v/>
      </c>
      <c r="CC62" s="10">
        <f>IF(AND(BO62&lt;=$CC$12,E62&lt;$CC$13),E61,"")</f>
        <v/>
      </c>
      <c r="CD62" s="10">
        <f>IF(AND(BP62&gt;$CD$12,BQ62&gt;$CD$13),E61,"")</f>
        <v/>
      </c>
      <c r="CE62" s="10">
        <f>IF(CB62&lt;&gt;"",CB62,IF(CC62&lt;&gt;"",CC62,CD62))</f>
        <v/>
      </c>
    </row>
    <row r="63">
      <c r="A63" s="9" t="inlineStr">
        <is>
          <t>2026/05/27</t>
        </is>
      </c>
      <c r="B63" s="9" t="n">
        <v>170.84</v>
      </c>
      <c r="C63" s="9" t="n">
        <v>185.59</v>
      </c>
      <c r="D63" s="10">
        <f>IF(COUNT(B63:B64)=2,ROUND((B63/B64-1)*100,4),"")</f>
        <v/>
      </c>
      <c r="E63" s="10">
        <f>IF(COUNT(C63:C64)=2,ROUND((C63/C64-1)*100,4),"")</f>
        <v/>
      </c>
      <c r="F63" s="9" t="inlineStr"/>
      <c r="G63" s="9" t="n">
        <v>68.76000000000001</v>
      </c>
      <c r="H63" s="9" t="n">
        <v>68.95999999999999</v>
      </c>
      <c r="I63" s="9" t="n">
        <v>67.94</v>
      </c>
      <c r="J63" s="9" t="n">
        <v>68.39</v>
      </c>
      <c r="K63" s="9" t="n">
        <v>68.0364</v>
      </c>
      <c r="L63" s="9" t="n">
        <v>31991500</v>
      </c>
      <c r="M63" s="9" t="inlineStr"/>
      <c r="N63" s="9" t="n">
        <v>404.34</v>
      </c>
      <c r="O63" s="9" t="n">
        <v>409.25</v>
      </c>
      <c r="P63" s="9" t="n">
        <v>404.3</v>
      </c>
      <c r="Q63" s="9" t="n">
        <v>408.49</v>
      </c>
      <c r="R63" s="9" t="n">
        <v>408.49</v>
      </c>
      <c r="S63" s="9" t="n">
        <v>6624600</v>
      </c>
      <c r="T63" s="9" t="inlineStr"/>
      <c r="U63" s="9" t="n">
        <v>80.17</v>
      </c>
      <c r="V63" s="9" t="n">
        <v>80.20999999999999</v>
      </c>
      <c r="W63" s="9" t="n">
        <v>80.08</v>
      </c>
      <c r="X63" s="9" t="n">
        <v>80.13</v>
      </c>
      <c r="Y63" s="9" t="n">
        <v>78.97069999999999</v>
      </c>
      <c r="Z63" s="9" t="n">
        <v>22523800</v>
      </c>
      <c r="AA63" s="9" t="inlineStr"/>
      <c r="AB63" s="9" t="n">
        <v>110.86</v>
      </c>
      <c r="AC63" s="9" t="n">
        <v>111.01</v>
      </c>
      <c r="AD63" s="9" t="n">
        <v>110.83</v>
      </c>
      <c r="AE63" s="9" t="n">
        <v>110.88</v>
      </c>
      <c r="AF63" s="9" t="n">
        <v>107.7554</v>
      </c>
      <c r="AG63" s="9" t="n">
        <v>1961900</v>
      </c>
      <c r="AH63" s="9" t="inlineStr"/>
      <c r="AI63" s="9" t="n">
        <v>51.74</v>
      </c>
      <c r="AJ63" s="9" t="n">
        <v>51.99</v>
      </c>
      <c r="AK63" s="9" t="n">
        <v>51.3</v>
      </c>
      <c r="AL63" s="9" t="n">
        <v>51.42</v>
      </c>
      <c r="AM63" s="9" t="n">
        <v>51.2405</v>
      </c>
      <c r="AN63" s="9" t="n">
        <v>45239100</v>
      </c>
      <c r="AO63" s="9" t="inlineStr"/>
      <c r="AP63" s="9" t="n">
        <v>57.58</v>
      </c>
      <c r="AQ63" s="9" t="n">
        <v>57.62</v>
      </c>
      <c r="AR63" s="9" t="n">
        <v>57.53</v>
      </c>
      <c r="AS63" s="9" t="n">
        <v>57.54</v>
      </c>
      <c r="AT63" s="9" t="n">
        <v>57.54</v>
      </c>
      <c r="AU63" s="9" t="n">
        <v>107100</v>
      </c>
      <c r="AV63" s="9" t="inlineStr"/>
      <c r="AW63" s="9" t="n">
        <v>85.84</v>
      </c>
      <c r="AX63" s="9" t="n">
        <v>87.34999999999999</v>
      </c>
      <c r="AY63" s="9" t="n">
        <v>85.34</v>
      </c>
      <c r="AZ63" s="9" t="n">
        <v>85.44</v>
      </c>
      <c r="BA63" s="9" t="n">
        <v>85.44</v>
      </c>
      <c r="BB63" s="9" t="n">
        <v>19392200</v>
      </c>
      <c r="BC63" s="9" t="inlineStr"/>
      <c r="BD63" s="9" t="n">
        <v>115.23</v>
      </c>
      <c r="BE63" s="9" t="n">
        <v>117.055</v>
      </c>
      <c r="BF63" s="9" t="n">
        <v>115.16</v>
      </c>
      <c r="BG63" s="9" t="n">
        <v>116.26</v>
      </c>
      <c r="BH63" s="9" t="n">
        <v>115.9583</v>
      </c>
      <c r="BI63" s="9" t="n">
        <v>5747800</v>
      </c>
      <c r="BJ63" s="9" t="inlineStr"/>
      <c r="BK63" s="10">
        <f>IF(COUNT(K63:K64)=2,ROUND((K63/K64-1)*100,4),"")</f>
        <v/>
      </c>
      <c r="BL63" s="10">
        <f>IF(COUNT(R63:R64)=2,ROUND((R63/R64-1)*100,4),"")</f>
        <v/>
      </c>
      <c r="BM63" s="10">
        <f>IF(COUNT(Y63:Y64)=2,ROUND((Y63/Y64-1)*100,4),"")</f>
        <v/>
      </c>
      <c r="BN63" s="10">
        <f>IF(COUNT(AF63:AF64)=2,ROUND((AF63/AF64-1)*100,4),"")</f>
        <v/>
      </c>
      <c r="BO63" s="10">
        <f>IF(COUNT(AM63:AM64)=2,ROUND((AM63/AM64-1)*100,4),"")</f>
        <v/>
      </c>
      <c r="BP63" s="10">
        <f>IF(COUNT(AT63:AT64)=2,ROUND((AT63/AT64-1)*100,4),"")</f>
        <v/>
      </c>
      <c r="BQ63" s="10">
        <f>IF(COUNT(BA63:BA64)=2,ROUND((BA63/BA64-1)*100,4),"")</f>
        <v/>
      </c>
      <c r="BR63" s="10">
        <f>IF(COUNT(BH63:BH64)=2,ROUND((BH63/BH64-1)*100,4),"")</f>
        <v/>
      </c>
      <c r="BS63" s="9" t="inlineStr"/>
      <c r="BT63" s="9" t="n">
        <v>16.29</v>
      </c>
      <c r="BU63" s="10">
        <f>IF(COUNT(BT63:BT64)=2,ROUND((BT63/BT64-1)*100,4),"")</f>
        <v/>
      </c>
      <c r="BV63" s="10" t="n">
        <v>-4.2328</v>
      </c>
      <c r="BW63" s="9" t="inlineStr"/>
      <c r="BX63" s="10">
        <f>IF(AND(BV63&gt;$BX$12,D63&lt;=$BX$13),D62,"")</f>
        <v/>
      </c>
      <c r="BY63" s="10">
        <f>IF(AND(BM63&lt;$BY$12,BN63&gt;$BY$13),D62,"")</f>
        <v/>
      </c>
      <c r="BZ63" s="10">
        <f>IF(AND(BK63&gt;$BZ$12,BL63&lt;$BZ$13,BM63&gt;$BZ$11),D62,"")</f>
        <v/>
      </c>
      <c r="CA63" s="10">
        <f>IF(BX63&lt;&gt;"",BX63,IF(BY63&lt;&gt;"",BY63,BZ63))</f>
        <v/>
      </c>
      <c r="CB63" s="10">
        <f>IF(AND(BQ63&gt;$CB$12,BR63&lt;$CB$13),E62,"")</f>
        <v/>
      </c>
      <c r="CC63" s="10">
        <f>IF(AND(BO63&lt;=$CC$12,E63&lt;$CC$13),E62,"")</f>
        <v/>
      </c>
      <c r="CD63" s="10">
        <f>IF(AND(BP63&gt;$CD$12,BQ63&gt;$CD$13),E62,"")</f>
        <v/>
      </c>
      <c r="CE63" s="10">
        <f>IF(CB63&lt;&gt;"",CB63,IF(CC63&lt;&gt;"",CC63,CD63))</f>
        <v/>
      </c>
    </row>
    <row r="64">
      <c r="A64" s="9" t="inlineStr">
        <is>
          <t>2026/05/26</t>
        </is>
      </c>
      <c r="B64" s="9" t="n">
        <v>171.19</v>
      </c>
      <c r="C64" s="9" t="n">
        <v>185.57</v>
      </c>
      <c r="D64" s="10">
        <f>IF(COUNT(B64:B65)=2,ROUND((B64/B65-1)*100,4),"")</f>
        <v/>
      </c>
      <c r="E64" s="10">
        <f>IF(COUNT(C64:C65)=2,ROUND((C64/C65-1)*100,4),"")</f>
        <v/>
      </c>
      <c r="F64" s="9" t="inlineStr"/>
      <c r="G64" s="9" t="n">
        <v>67.72</v>
      </c>
      <c r="H64" s="9" t="n">
        <v>68.5</v>
      </c>
      <c r="I64" s="9" t="n">
        <v>67.69</v>
      </c>
      <c r="J64" s="9" t="n">
        <v>68.40000000000001</v>
      </c>
      <c r="K64" s="9" t="n">
        <v>68.0463</v>
      </c>
      <c r="L64" s="9" t="n">
        <v>25457000</v>
      </c>
      <c r="M64" s="9" t="inlineStr"/>
      <c r="N64" s="9" t="n">
        <v>415.16</v>
      </c>
      <c r="O64" s="9" t="n">
        <v>415.98</v>
      </c>
      <c r="P64" s="9" t="n">
        <v>411.5</v>
      </c>
      <c r="Q64" s="9" t="n">
        <v>414</v>
      </c>
      <c r="R64" s="9" t="n">
        <v>414</v>
      </c>
      <c r="S64" s="9" t="n">
        <v>5098400</v>
      </c>
      <c r="T64" s="9" t="inlineStr"/>
      <c r="U64" s="9" t="n">
        <v>80.14</v>
      </c>
      <c r="V64" s="9" t="n">
        <v>80.19</v>
      </c>
      <c r="W64" s="9" t="n">
        <v>80.04000000000001</v>
      </c>
      <c r="X64" s="9" t="n">
        <v>80.18000000000001</v>
      </c>
      <c r="Y64" s="9" t="n">
        <v>79.01990000000001</v>
      </c>
      <c r="Z64" s="9" t="n">
        <v>30406100</v>
      </c>
      <c r="AA64" s="9" t="inlineStr"/>
      <c r="AB64" s="9" t="n">
        <v>110.7</v>
      </c>
      <c r="AC64" s="9" t="n">
        <v>110.84</v>
      </c>
      <c r="AD64" s="9" t="n">
        <v>110.63</v>
      </c>
      <c r="AE64" s="9" t="n">
        <v>110.82</v>
      </c>
      <c r="AF64" s="9" t="n">
        <v>107.6971</v>
      </c>
      <c r="AG64" s="9" t="n">
        <v>2183700</v>
      </c>
      <c r="AH64" s="9" t="inlineStr"/>
      <c r="AI64" s="9" t="n">
        <v>52</v>
      </c>
      <c r="AJ64" s="9" t="n">
        <v>52.23</v>
      </c>
      <c r="AK64" s="9" t="n">
        <v>51.72</v>
      </c>
      <c r="AL64" s="9" t="n">
        <v>51.85</v>
      </c>
      <c r="AM64" s="9" t="n">
        <v>51.669</v>
      </c>
      <c r="AN64" s="9" t="n">
        <v>24530200</v>
      </c>
      <c r="AO64" s="9" t="inlineStr"/>
      <c r="AP64" s="9" t="n">
        <v>57.63</v>
      </c>
      <c r="AQ64" s="9" t="n">
        <v>57.66</v>
      </c>
      <c r="AR64" s="9" t="n">
        <v>57.61</v>
      </c>
      <c r="AS64" s="9" t="n">
        <v>57.63</v>
      </c>
      <c r="AT64" s="9" t="n">
        <v>57.63</v>
      </c>
      <c r="AU64" s="9" t="n">
        <v>69400</v>
      </c>
      <c r="AV64" s="9" t="inlineStr"/>
      <c r="AW64" s="9" t="n">
        <v>87.04000000000001</v>
      </c>
      <c r="AX64" s="9" t="n">
        <v>88.56999999999999</v>
      </c>
      <c r="AY64" s="9" t="n">
        <v>86.93000000000001</v>
      </c>
      <c r="AZ64" s="9" t="n">
        <v>88.5</v>
      </c>
      <c r="BA64" s="9" t="n">
        <v>88.5</v>
      </c>
      <c r="BB64" s="9" t="n">
        <v>21638800</v>
      </c>
      <c r="BC64" s="9" t="inlineStr"/>
      <c r="BD64" s="9" t="n">
        <v>115.63</v>
      </c>
      <c r="BE64" s="9" t="n">
        <v>116.075</v>
      </c>
      <c r="BF64" s="9" t="n">
        <v>115.07</v>
      </c>
      <c r="BG64" s="9" t="n">
        <v>115.55</v>
      </c>
      <c r="BH64" s="9" t="n">
        <v>115.2502</v>
      </c>
      <c r="BI64" s="9" t="n">
        <v>4191600</v>
      </c>
      <c r="BJ64" s="9" t="inlineStr"/>
      <c r="BK64" s="10">
        <f>IF(COUNT(K64:K65)=2,ROUND((K64/K65-1)*100,4),"")</f>
        <v/>
      </c>
      <c r="BL64" s="10">
        <f>IF(COUNT(R64:R65)=2,ROUND((R64/R65-1)*100,4),"")</f>
        <v/>
      </c>
      <c r="BM64" s="10">
        <f>IF(COUNT(Y64:Y65)=2,ROUND((Y64/Y65-1)*100,4),"")</f>
        <v/>
      </c>
      <c r="BN64" s="10">
        <f>IF(COUNT(AF64:AF65)=2,ROUND((AF64/AF65-1)*100,4),"")</f>
        <v/>
      </c>
      <c r="BO64" s="10">
        <f>IF(COUNT(AM64:AM65)=2,ROUND((AM64/AM65-1)*100,4),"")</f>
        <v/>
      </c>
      <c r="BP64" s="10">
        <f>IF(COUNT(AT64:AT65)=2,ROUND((AT64/AT65-1)*100,4),"")</f>
        <v/>
      </c>
      <c r="BQ64" s="10">
        <f>IF(COUNT(BA64:BA65)=2,ROUND((BA64/BA65-1)*100,4),"")</f>
        <v/>
      </c>
      <c r="BR64" s="10">
        <f>IF(COUNT(BH64:BH65)=2,ROUND((BH64/BH65-1)*100,4),"")</f>
        <v/>
      </c>
      <c r="BS64" s="9" t="inlineStr"/>
      <c r="BT64" s="9" t="n">
        <v>17.01</v>
      </c>
      <c r="BU64" s="10">
        <f>IF(COUNT(BT64:BT65)=2,ROUND((BT64/BT65-1)*100,4),"")</f>
        <v/>
      </c>
      <c r="BV64" s="10" t="n">
        <v>1.8563</v>
      </c>
      <c r="BW64" s="9" t="inlineStr"/>
      <c r="BX64" s="10">
        <f>IF(AND(BV64&gt;$BX$12,D64&lt;=$BX$13),D63,"")</f>
        <v/>
      </c>
      <c r="BY64" s="10">
        <f>IF(AND(BM64&lt;$BY$12,BN64&gt;$BY$13),D63,"")</f>
        <v/>
      </c>
      <c r="BZ64" s="10">
        <f>IF(AND(BK64&gt;$BZ$12,BL64&lt;$BZ$13,BM64&gt;$BZ$11),D63,"")</f>
        <v/>
      </c>
      <c r="CA64" s="10">
        <f>IF(BX64&lt;&gt;"",BX64,IF(BY64&lt;&gt;"",BY64,BZ64))</f>
        <v/>
      </c>
      <c r="CB64" s="10">
        <f>IF(AND(BQ64&gt;$CB$12,BR64&lt;$CB$13),E63,"")</f>
        <v/>
      </c>
      <c r="CC64" s="10">
        <f>IF(AND(BO64&lt;=$CC$12,E64&lt;$CC$13),E63,"")</f>
        <v/>
      </c>
      <c r="CD64" s="10">
        <f>IF(AND(BP64&gt;$CD$12,BQ64&gt;$CD$13),E63,"")</f>
        <v/>
      </c>
      <c r="CE64" s="10">
        <f>IF(CB64&lt;&gt;"",CB64,IF(CC64&lt;&gt;"",CC64,CD64))</f>
        <v/>
      </c>
    </row>
    <row r="65">
      <c r="A65" s="9" t="inlineStr">
        <is>
          <t>2026/05/22</t>
        </is>
      </c>
      <c r="B65" s="9" t="n">
        <v>165.46</v>
      </c>
      <c r="C65" s="9" t="n">
        <v>183.39</v>
      </c>
      <c r="D65" s="10">
        <f>IF(COUNT(B65:B66)=2,ROUND((B65/B66-1)*100,4),"")</f>
        <v/>
      </c>
      <c r="E65" s="10">
        <f>IF(COUNT(C65:C66)=2,ROUND((C65/C66-1)*100,4),"")</f>
        <v/>
      </c>
      <c r="F65" s="9" t="inlineStr"/>
      <c r="G65" s="9" t="n">
        <v>66</v>
      </c>
      <c r="H65" s="9" t="n">
        <v>66.39</v>
      </c>
      <c r="I65" s="9" t="n">
        <v>65.73999999999999</v>
      </c>
      <c r="J65" s="9" t="n">
        <v>65.88</v>
      </c>
      <c r="K65" s="9" t="n">
        <v>65.5393</v>
      </c>
      <c r="L65" s="9" t="n">
        <v>30851000</v>
      </c>
      <c r="M65" s="9" t="inlineStr"/>
      <c r="N65" s="9" t="n">
        <v>415.17</v>
      </c>
      <c r="O65" s="9" t="n">
        <v>415.68</v>
      </c>
      <c r="P65" s="9" t="n">
        <v>412</v>
      </c>
      <c r="Q65" s="9" t="n">
        <v>413.82</v>
      </c>
      <c r="R65" s="9" t="n">
        <v>413.82</v>
      </c>
      <c r="S65" s="9" t="n">
        <v>5528400</v>
      </c>
      <c r="T65" s="9" t="inlineStr"/>
      <c r="U65" s="9" t="n">
        <v>80.01000000000001</v>
      </c>
      <c r="V65" s="9" t="n">
        <v>80.02</v>
      </c>
      <c r="W65" s="9" t="n">
        <v>79.84</v>
      </c>
      <c r="X65" s="9" t="n">
        <v>79.91</v>
      </c>
      <c r="Y65" s="9" t="n">
        <v>78.7539</v>
      </c>
      <c r="Z65" s="9" t="n">
        <v>22429400</v>
      </c>
      <c r="AA65" s="9" t="inlineStr"/>
      <c r="AB65" s="9" t="n">
        <v>110.51</v>
      </c>
      <c r="AC65" s="9" t="n">
        <v>110.54</v>
      </c>
      <c r="AD65" s="9" t="n">
        <v>110.12</v>
      </c>
      <c r="AE65" s="9" t="n">
        <v>110.38</v>
      </c>
      <c r="AF65" s="9" t="n">
        <v>107.2695</v>
      </c>
      <c r="AG65" s="9" t="n">
        <v>1410800</v>
      </c>
      <c r="AH65" s="9" t="inlineStr"/>
      <c r="AI65" s="9" t="n">
        <v>51.9</v>
      </c>
      <c r="AJ65" s="9" t="n">
        <v>52.17</v>
      </c>
      <c r="AK65" s="9" t="n">
        <v>51.84</v>
      </c>
      <c r="AL65" s="9" t="n">
        <v>51.94</v>
      </c>
      <c r="AM65" s="9" t="n">
        <v>51.7587</v>
      </c>
      <c r="AN65" s="9" t="n">
        <v>23308000</v>
      </c>
      <c r="AO65" s="9" t="inlineStr"/>
      <c r="AP65" s="9" t="n">
        <v>57.74</v>
      </c>
      <c r="AQ65" s="9" t="n">
        <v>57.74</v>
      </c>
      <c r="AR65" s="9" t="n">
        <v>57.67</v>
      </c>
      <c r="AS65" s="9" t="n">
        <v>57.7</v>
      </c>
      <c r="AT65" s="9" t="n">
        <v>57.7</v>
      </c>
      <c r="AU65" s="9" t="n">
        <v>66500</v>
      </c>
      <c r="AV65" s="9" t="inlineStr"/>
      <c r="AW65" s="9" t="n">
        <v>85.61</v>
      </c>
      <c r="AX65" s="9" t="n">
        <v>86.14</v>
      </c>
      <c r="AY65" s="9" t="n">
        <v>83.95</v>
      </c>
      <c r="AZ65" s="9" t="n">
        <v>85.02</v>
      </c>
      <c r="BA65" s="9" t="n">
        <v>85.02</v>
      </c>
      <c r="BB65" s="9" t="n">
        <v>14638800</v>
      </c>
      <c r="BC65" s="9" t="inlineStr"/>
      <c r="BD65" s="9" t="n">
        <v>116.41</v>
      </c>
      <c r="BE65" s="9" t="n">
        <v>116.73</v>
      </c>
      <c r="BF65" s="9" t="n">
        <v>115.235</v>
      </c>
      <c r="BG65" s="9" t="n">
        <v>115.46</v>
      </c>
      <c r="BH65" s="9" t="n">
        <v>115.1604</v>
      </c>
      <c r="BI65" s="9" t="n">
        <v>4108700</v>
      </c>
      <c r="BJ65" s="9" t="inlineStr"/>
      <c r="BK65" s="10">
        <f>IF(COUNT(K65:K66)=2,ROUND((K65/K66-1)*100,4),"")</f>
        <v/>
      </c>
      <c r="BL65" s="10">
        <f>IF(COUNT(R65:R66)=2,ROUND((R65/R66-1)*100,4),"")</f>
        <v/>
      </c>
      <c r="BM65" s="10">
        <f>IF(COUNT(Y65:Y66)=2,ROUND((Y65/Y66-1)*100,4),"")</f>
        <v/>
      </c>
      <c r="BN65" s="10">
        <f>IF(COUNT(AF65:AF66)=2,ROUND((AF65/AF66-1)*100,4),"")</f>
        <v/>
      </c>
      <c r="BO65" s="10">
        <f>IF(COUNT(AM65:AM66)=2,ROUND((AM65/AM66-1)*100,4),"")</f>
        <v/>
      </c>
      <c r="BP65" s="10">
        <f>IF(COUNT(AT65:AT66)=2,ROUND((AT65/AT66-1)*100,4),"")</f>
        <v/>
      </c>
      <c r="BQ65" s="10">
        <f>IF(COUNT(BA65:BA66)=2,ROUND((BA65/BA66-1)*100,4),"")</f>
        <v/>
      </c>
      <c r="BR65" s="10">
        <f>IF(COUNT(BH65:BH66)=2,ROUND((BH65/BH66-1)*100,4),"")</f>
        <v/>
      </c>
      <c r="BS65" s="9" t="inlineStr"/>
      <c r="BT65" s="9" t="n">
        <v>16.7</v>
      </c>
      <c r="BU65" s="10">
        <f>IF(COUNT(BT65:BT66)=2,ROUND((BT65/BT66-1)*100,4),"")</f>
        <v/>
      </c>
      <c r="BV65" s="10" t="n">
        <v>-0.358</v>
      </c>
      <c r="BW65" s="9" t="inlineStr"/>
      <c r="BX65" s="10">
        <f>IF(AND(BV65&gt;$BX$12,D65&lt;=$BX$13),D64,"")</f>
        <v/>
      </c>
      <c r="BY65" s="10">
        <f>IF(AND(BM65&lt;$BY$12,BN65&gt;$BY$13),D64,"")</f>
        <v/>
      </c>
      <c r="BZ65" s="10">
        <f>IF(AND(BK65&gt;$BZ$12,BL65&lt;$BZ$13,BM65&gt;$BZ$11),D64,"")</f>
        <v/>
      </c>
      <c r="CA65" s="10">
        <f>IF(BX65&lt;&gt;"",BX65,IF(BY65&lt;&gt;"",BY65,BZ65))</f>
        <v/>
      </c>
      <c r="CB65" s="10">
        <f>IF(AND(BQ65&gt;$CB$12,BR65&lt;$CB$13),E64,"")</f>
        <v/>
      </c>
      <c r="CC65" s="10">
        <f>IF(AND(BO65&lt;=$CC$12,E65&lt;$CC$13),E64,"")</f>
        <v/>
      </c>
      <c r="CD65" s="10">
        <f>IF(AND(BP65&gt;$CD$12,BQ65&gt;$CD$13),E64,"")</f>
        <v/>
      </c>
      <c r="CE65" s="10">
        <f>IF(CB65&lt;&gt;"",CB65,IF(CC65&lt;&gt;"",CC65,CD65))</f>
        <v/>
      </c>
    </row>
    <row r="66">
      <c r="A66" s="9" t="inlineStr">
        <is>
          <t>2026/05/21</t>
        </is>
      </c>
      <c r="B66" s="9" t="n">
        <v>164.1</v>
      </c>
      <c r="C66" s="9" t="n">
        <v>182.04</v>
      </c>
      <c r="D66" s="10">
        <f>IF(COUNT(B66:B67)=2,ROUND((B66/B67-1)*100,4),"")</f>
        <v/>
      </c>
      <c r="E66" s="10">
        <f>IF(COUNT(C66:C67)=2,ROUND((C66/C67-1)*100,4),"")</f>
        <v/>
      </c>
      <c r="F66" s="9" t="inlineStr"/>
      <c r="G66" s="9" t="n">
        <v>65.23</v>
      </c>
      <c r="H66" s="9" t="n">
        <v>66.34999999999999</v>
      </c>
      <c r="I66" s="9" t="n">
        <v>65.05</v>
      </c>
      <c r="J66" s="9" t="n">
        <v>66.03</v>
      </c>
      <c r="K66" s="9" t="n">
        <v>65.68859999999999</v>
      </c>
      <c r="L66" s="9" t="n">
        <v>28726400</v>
      </c>
      <c r="M66" s="9" t="inlineStr"/>
      <c r="N66" s="9" t="n">
        <v>413.14</v>
      </c>
      <c r="O66" s="9" t="n">
        <v>418.42</v>
      </c>
      <c r="P66" s="9" t="n">
        <v>411.95</v>
      </c>
      <c r="Q66" s="9" t="n">
        <v>416.99</v>
      </c>
      <c r="R66" s="9" t="n">
        <v>416.99</v>
      </c>
      <c r="S66" s="9" t="n">
        <v>4679900</v>
      </c>
      <c r="T66" s="9" t="inlineStr"/>
      <c r="U66" s="9" t="n">
        <v>79.75</v>
      </c>
      <c r="V66" s="9" t="n">
        <v>79.98999999999999</v>
      </c>
      <c r="W66" s="9" t="n">
        <v>79.65000000000001</v>
      </c>
      <c r="X66" s="9" t="n">
        <v>79.90000000000001</v>
      </c>
      <c r="Y66" s="9" t="n">
        <v>78.744</v>
      </c>
      <c r="Z66" s="9" t="n">
        <v>37584600</v>
      </c>
      <c r="AA66" s="9" t="inlineStr"/>
      <c r="AB66" s="9" t="n">
        <v>110.3</v>
      </c>
      <c r="AC66" s="9" t="n">
        <v>110.39</v>
      </c>
      <c r="AD66" s="9" t="n">
        <v>110.15</v>
      </c>
      <c r="AE66" s="9" t="n">
        <v>110.37</v>
      </c>
      <c r="AF66" s="9" t="n">
        <v>107.2598</v>
      </c>
      <c r="AG66" s="9" t="n">
        <v>2792500</v>
      </c>
      <c r="AH66" s="9" t="inlineStr"/>
      <c r="AI66" s="9" t="n">
        <v>51.46</v>
      </c>
      <c r="AJ66" s="9" t="n">
        <v>51.83</v>
      </c>
      <c r="AK66" s="9" t="n">
        <v>51.21</v>
      </c>
      <c r="AL66" s="9" t="n">
        <v>51.73</v>
      </c>
      <c r="AM66" s="9" t="n">
        <v>51.5494</v>
      </c>
      <c r="AN66" s="9" t="n">
        <v>33344200</v>
      </c>
      <c r="AO66" s="9" t="inlineStr"/>
      <c r="AP66" s="9" t="n">
        <v>57.63</v>
      </c>
      <c r="AQ66" s="9" t="n">
        <v>57.8</v>
      </c>
      <c r="AR66" s="9" t="n">
        <v>57.58</v>
      </c>
      <c r="AS66" s="9" t="n">
        <v>57.77</v>
      </c>
      <c r="AT66" s="9" t="n">
        <v>57.77</v>
      </c>
      <c r="AU66" s="9" t="n">
        <v>91600</v>
      </c>
      <c r="AV66" s="9" t="inlineStr"/>
      <c r="AW66" s="9" t="n">
        <v>84.45999999999999</v>
      </c>
      <c r="AX66" s="9" t="n">
        <v>87.66</v>
      </c>
      <c r="AY66" s="9" t="n">
        <v>84.11</v>
      </c>
      <c r="AZ66" s="9" t="n">
        <v>85.98999999999999</v>
      </c>
      <c r="BA66" s="9" t="n">
        <v>85.98999999999999</v>
      </c>
      <c r="BB66" s="9" t="n">
        <v>17092600</v>
      </c>
      <c r="BC66" s="9" t="inlineStr"/>
      <c r="BD66" s="9" t="n">
        <v>115.47</v>
      </c>
      <c r="BE66" s="9" t="n">
        <v>116.855</v>
      </c>
      <c r="BF66" s="9" t="n">
        <v>114.99</v>
      </c>
      <c r="BG66" s="9" t="n">
        <v>116.1</v>
      </c>
      <c r="BH66" s="9" t="n">
        <v>115.7987</v>
      </c>
      <c r="BI66" s="9" t="n">
        <v>4855400</v>
      </c>
      <c r="BJ66" s="9" t="inlineStr"/>
      <c r="BK66" s="10">
        <f>IF(COUNT(K66:K67)=2,ROUND((K66/K67-1)*100,4),"")</f>
        <v/>
      </c>
      <c r="BL66" s="10">
        <f>IF(COUNT(R66:R67)=2,ROUND((R66/R67-1)*100,4),"")</f>
        <v/>
      </c>
      <c r="BM66" s="10">
        <f>IF(COUNT(Y66:Y67)=2,ROUND((Y66/Y67-1)*100,4),"")</f>
        <v/>
      </c>
      <c r="BN66" s="10">
        <f>IF(COUNT(AF66:AF67)=2,ROUND((AF66/AF67-1)*100,4),"")</f>
        <v/>
      </c>
      <c r="BO66" s="10">
        <f>IF(COUNT(AM66:AM67)=2,ROUND((AM66/AM67-1)*100,4),"")</f>
        <v/>
      </c>
      <c r="BP66" s="10">
        <f>IF(COUNT(AT66:AT67)=2,ROUND((AT66/AT67-1)*100,4),"")</f>
        <v/>
      </c>
      <c r="BQ66" s="10">
        <f>IF(COUNT(BA66:BA67)=2,ROUND((BA66/BA67-1)*100,4),"")</f>
        <v/>
      </c>
      <c r="BR66" s="10">
        <f>IF(COUNT(BH66:BH67)=2,ROUND((BH66/BH67-1)*100,4),"")</f>
        <v/>
      </c>
      <c r="BS66" s="9" t="inlineStr"/>
      <c r="BT66" s="9" t="n">
        <v>16.76</v>
      </c>
      <c r="BU66" s="10">
        <f>IF(COUNT(BT66:BT67)=2,ROUND((BT66/BT67-1)*100,4),"")</f>
        <v/>
      </c>
      <c r="BV66" s="10" t="n">
        <v>-3.8991</v>
      </c>
      <c r="BW66" s="9" t="inlineStr"/>
      <c r="BX66" s="10">
        <f>IF(AND(BV66&gt;$BX$12,D66&lt;=$BX$13),D65,"")</f>
        <v/>
      </c>
      <c r="BY66" s="10">
        <f>IF(AND(BM66&lt;$BY$12,BN66&gt;$BY$13),D65,"")</f>
        <v/>
      </c>
      <c r="BZ66" s="10">
        <f>IF(AND(BK66&gt;$BZ$12,BL66&lt;$BZ$13,BM66&gt;$BZ$11),D65,"")</f>
        <v/>
      </c>
      <c r="CA66" s="10">
        <f>IF(BX66&lt;&gt;"",BX66,IF(BY66&lt;&gt;"",BY66,BZ66))</f>
        <v/>
      </c>
      <c r="CB66" s="10">
        <f>IF(AND(BQ66&gt;$CB$12,BR66&lt;$CB$13),E65,"")</f>
        <v/>
      </c>
      <c r="CC66" s="10">
        <f>IF(AND(BO66&lt;=$CC$12,E66&lt;$CC$13),E65,"")</f>
        <v/>
      </c>
      <c r="CD66" s="10">
        <f>IF(AND(BP66&gt;$CD$12,BQ66&gt;$CD$13),E65,"")</f>
        <v/>
      </c>
      <c r="CE66" s="10">
        <f>IF(CB66&lt;&gt;"",CB66,IF(CC66&lt;&gt;"",CC66,CD66))</f>
        <v/>
      </c>
    </row>
    <row r="67">
      <c r="A67" s="9" t="inlineStr">
        <is>
          <t>2026/05/20</t>
        </is>
      </c>
      <c r="B67" s="9" t="n">
        <v>163.44</v>
      </c>
      <c r="C67" s="9" t="n">
        <v>181.4</v>
      </c>
      <c r="D67" s="10">
        <f>IF(COUNT(B67:B68)=2,ROUND((B67/B68-1)*100,4),"")</f>
        <v/>
      </c>
      <c r="E67" s="10">
        <f>IF(COUNT(C67:C68)=2,ROUND((C67/C68-1)*100,4),"")</f>
        <v/>
      </c>
      <c r="F67" s="9" t="inlineStr"/>
      <c r="G67" s="9" t="n">
        <v>64.48999999999999</v>
      </c>
      <c r="H67" s="9" t="n">
        <v>65.56</v>
      </c>
      <c r="I67" s="9" t="n">
        <v>64.40000000000001</v>
      </c>
      <c r="J67" s="9" t="n">
        <v>65.45999999999999</v>
      </c>
      <c r="K67" s="9" t="n">
        <v>65.1215</v>
      </c>
      <c r="L67" s="9" t="n">
        <v>32484700</v>
      </c>
      <c r="M67" s="9" t="inlineStr"/>
      <c r="N67" s="9" t="n">
        <v>412.14</v>
      </c>
      <c r="O67" s="9" t="n">
        <v>417.99</v>
      </c>
      <c r="P67" s="9" t="n">
        <v>410.08</v>
      </c>
      <c r="Q67" s="9" t="n">
        <v>417.4</v>
      </c>
      <c r="R67" s="9" t="n">
        <v>417.4</v>
      </c>
      <c r="S67" s="9" t="n">
        <v>6005000</v>
      </c>
      <c r="T67" s="9" t="inlineStr"/>
      <c r="U67" s="9" t="n">
        <v>79.5</v>
      </c>
      <c r="V67" s="9" t="n">
        <v>79.87</v>
      </c>
      <c r="W67" s="9" t="n">
        <v>79.40000000000001</v>
      </c>
      <c r="X67" s="9" t="n">
        <v>79.86</v>
      </c>
      <c r="Y67" s="9" t="n">
        <v>78.7046</v>
      </c>
      <c r="Z67" s="9" t="n">
        <v>58906300</v>
      </c>
      <c r="AA67" s="9" t="inlineStr"/>
      <c r="AB67" s="9" t="n">
        <v>110.11</v>
      </c>
      <c r="AC67" s="9" t="n">
        <v>110.45</v>
      </c>
      <c r="AD67" s="9" t="n">
        <v>110.1</v>
      </c>
      <c r="AE67" s="9" t="n">
        <v>110.37</v>
      </c>
      <c r="AF67" s="9" t="n">
        <v>107.2598</v>
      </c>
      <c r="AG67" s="9" t="n">
        <v>2915600</v>
      </c>
      <c r="AH67" s="9" t="inlineStr"/>
      <c r="AI67" s="9" t="n">
        <v>51.23</v>
      </c>
      <c r="AJ67" s="9" t="n">
        <v>51.71</v>
      </c>
      <c r="AK67" s="9" t="n">
        <v>50.78</v>
      </c>
      <c r="AL67" s="9" t="n">
        <v>51.66</v>
      </c>
      <c r="AM67" s="9" t="n">
        <v>51.4797</v>
      </c>
      <c r="AN67" s="9" t="n">
        <v>42148400</v>
      </c>
      <c r="AO67" s="9" t="inlineStr"/>
      <c r="AP67" s="9" t="n">
        <v>57.71</v>
      </c>
      <c r="AQ67" s="9" t="n">
        <v>57.9</v>
      </c>
      <c r="AR67" s="9" t="n">
        <v>57.68</v>
      </c>
      <c r="AS67" s="9" t="n">
        <v>57.78</v>
      </c>
      <c r="AT67" s="9" t="n">
        <v>57.78</v>
      </c>
      <c r="AU67" s="9" t="n">
        <v>88100</v>
      </c>
      <c r="AV67" s="9" t="inlineStr"/>
      <c r="AW67" s="9" t="n">
        <v>84.58</v>
      </c>
      <c r="AX67" s="9" t="n">
        <v>86.94</v>
      </c>
      <c r="AY67" s="9" t="n">
        <v>83.67</v>
      </c>
      <c r="AZ67" s="9" t="n">
        <v>86.36</v>
      </c>
      <c r="BA67" s="9" t="n">
        <v>86.36</v>
      </c>
      <c r="BB67" s="9" t="n">
        <v>20430700</v>
      </c>
      <c r="BC67" s="9" t="inlineStr"/>
      <c r="BD67" s="9" t="n">
        <v>115.65</v>
      </c>
      <c r="BE67" s="9" t="n">
        <v>116.215</v>
      </c>
      <c r="BF67" s="9" t="n">
        <v>114.81</v>
      </c>
      <c r="BG67" s="9" t="n">
        <v>116.1</v>
      </c>
      <c r="BH67" s="9" t="n">
        <v>115.7987</v>
      </c>
      <c r="BI67" s="9" t="n">
        <v>5148800</v>
      </c>
      <c r="BJ67" s="9" t="inlineStr"/>
      <c r="BK67" s="10">
        <f>IF(COUNT(K67:K68)=2,ROUND((K67/K68-1)*100,4),"")</f>
        <v/>
      </c>
      <c r="BL67" s="10">
        <f>IF(COUNT(R67:R68)=2,ROUND((R67/R68-1)*100,4),"")</f>
        <v/>
      </c>
      <c r="BM67" s="10">
        <f>IF(COUNT(Y67:Y68)=2,ROUND((Y67/Y68-1)*100,4),"")</f>
        <v/>
      </c>
      <c r="BN67" s="10">
        <f>IF(COUNT(AF67:AF68)=2,ROUND((AF67/AF68-1)*100,4),"")</f>
        <v/>
      </c>
      <c r="BO67" s="10">
        <f>IF(COUNT(AM67:AM68)=2,ROUND((AM67/AM68-1)*100,4),"")</f>
        <v/>
      </c>
      <c r="BP67" s="10">
        <f>IF(COUNT(AT67:AT68)=2,ROUND((AT67/AT68-1)*100,4),"")</f>
        <v/>
      </c>
      <c r="BQ67" s="10">
        <f>IF(COUNT(BA67:BA68)=2,ROUND((BA67/BA68-1)*100,4),"")</f>
        <v/>
      </c>
      <c r="BR67" s="10">
        <f>IF(COUNT(BH67:BH68)=2,ROUND((BH67/BH68-1)*100,4),"")</f>
        <v/>
      </c>
      <c r="BS67" s="9" t="inlineStr"/>
      <c r="BT67" s="9" t="n">
        <v>17.44</v>
      </c>
      <c r="BU67" s="10">
        <f>IF(COUNT(BT67:BT68)=2,ROUND((BT67/BT68-1)*100,4),"")</f>
        <v/>
      </c>
      <c r="BV67" s="10" t="n">
        <v>-3.433</v>
      </c>
      <c r="BW67" s="9" t="inlineStr"/>
      <c r="BX67" s="10">
        <f>IF(AND(BV67&gt;$BX$12,D67&lt;=$BX$13),D66,"")</f>
        <v/>
      </c>
      <c r="BY67" s="10">
        <f>IF(AND(BM67&lt;$BY$12,BN67&gt;$BY$13),D66,"")</f>
        <v/>
      </c>
      <c r="BZ67" s="10">
        <f>IF(AND(BK67&gt;$BZ$12,BL67&lt;$BZ$13,BM67&gt;$BZ$11),D66,"")</f>
        <v/>
      </c>
      <c r="CA67" s="10">
        <f>IF(BX67&lt;&gt;"",BX67,IF(BY67&lt;&gt;"",BY67,BZ67))</f>
        <v/>
      </c>
      <c r="CB67" s="10">
        <f>IF(AND(BQ67&gt;$CB$12,BR67&lt;$CB$13),E66,"")</f>
        <v/>
      </c>
      <c r="CC67" s="10">
        <f>IF(AND(BO67&lt;=$CC$12,E67&lt;$CC$13),E66,"")</f>
        <v/>
      </c>
      <c r="CD67" s="10">
        <f>IF(AND(BP67&gt;$CD$12,BQ67&gt;$CD$13),E66,"")</f>
        <v/>
      </c>
      <c r="CE67" s="10">
        <f>IF(CB67&lt;&gt;"",CB67,IF(CC67&lt;&gt;"",CC67,CD67))</f>
        <v/>
      </c>
    </row>
    <row r="68">
      <c r="A68" s="9" t="inlineStr">
        <is>
          <t>2026/05/19</t>
        </is>
      </c>
      <c r="B68" s="9" t="n">
        <v>158.19</v>
      </c>
      <c r="C68" s="9" t="n">
        <v>177.64</v>
      </c>
      <c r="D68" s="10">
        <f>IF(COUNT(B68:B69)=2,ROUND((B68/B69-1)*100,4),"")</f>
        <v/>
      </c>
      <c r="E68" s="10">
        <f>IF(COUNT(C68:C69)=2,ROUND((C68/C69-1)*100,4),"")</f>
        <v/>
      </c>
      <c r="F68" s="9" t="inlineStr"/>
      <c r="G68" s="9" t="n">
        <v>63.62</v>
      </c>
      <c r="H68" s="9" t="n">
        <v>64.84999999999999</v>
      </c>
      <c r="I68" s="9" t="n">
        <v>63.48</v>
      </c>
      <c r="J68" s="9" t="n">
        <v>64.26000000000001</v>
      </c>
      <c r="K68" s="9" t="n">
        <v>63.9277</v>
      </c>
      <c r="L68" s="9" t="n">
        <v>37009400</v>
      </c>
      <c r="M68" s="9" t="inlineStr"/>
      <c r="N68" s="9" t="n">
        <v>412.45</v>
      </c>
      <c r="O68" s="9" t="n">
        <v>414.47</v>
      </c>
      <c r="P68" s="9" t="n">
        <v>409.88</v>
      </c>
      <c r="Q68" s="9" t="n">
        <v>411.5</v>
      </c>
      <c r="R68" s="9" t="n">
        <v>411.5</v>
      </c>
      <c r="S68" s="9" t="n">
        <v>5419400</v>
      </c>
      <c r="T68" s="9" t="inlineStr"/>
      <c r="U68" s="9" t="n">
        <v>79.41</v>
      </c>
      <c r="V68" s="9" t="n">
        <v>79.45</v>
      </c>
      <c r="W68" s="9" t="n">
        <v>79.23</v>
      </c>
      <c r="X68" s="9" t="n">
        <v>79.34999999999999</v>
      </c>
      <c r="Y68" s="9" t="n">
        <v>78.202</v>
      </c>
      <c r="Z68" s="9" t="n">
        <v>42904700</v>
      </c>
      <c r="AA68" s="9" t="inlineStr"/>
      <c r="AB68" s="9" t="n">
        <v>110.15</v>
      </c>
      <c r="AC68" s="9" t="n">
        <v>110.27</v>
      </c>
      <c r="AD68" s="9" t="n">
        <v>109.94</v>
      </c>
      <c r="AE68" s="9" t="n">
        <v>110.11</v>
      </c>
      <c r="AF68" s="9" t="n">
        <v>107.0071</v>
      </c>
      <c r="AG68" s="9" t="n">
        <v>2623600</v>
      </c>
      <c r="AH68" s="9" t="inlineStr"/>
      <c r="AI68" s="9" t="n">
        <v>51.63</v>
      </c>
      <c r="AJ68" s="9" t="n">
        <v>51.79</v>
      </c>
      <c r="AK68" s="9" t="n">
        <v>51.05</v>
      </c>
      <c r="AL68" s="9" t="n">
        <v>51.1</v>
      </c>
      <c r="AM68" s="9" t="n">
        <v>50.9216</v>
      </c>
      <c r="AN68" s="9" t="n">
        <v>35956300</v>
      </c>
      <c r="AO68" s="9" t="inlineStr"/>
      <c r="AP68" s="9" t="n">
        <v>57.7</v>
      </c>
      <c r="AQ68" s="9" t="n">
        <v>57.83</v>
      </c>
      <c r="AR68" s="9" t="n">
        <v>57.67</v>
      </c>
      <c r="AS68" s="9" t="n">
        <v>57.72</v>
      </c>
      <c r="AT68" s="9" t="n">
        <v>57.72</v>
      </c>
      <c r="AU68" s="9" t="n">
        <v>210200</v>
      </c>
      <c r="AV68" s="9" t="inlineStr"/>
      <c r="AW68" s="9" t="n">
        <v>85.55</v>
      </c>
      <c r="AX68" s="9" t="n">
        <v>85.59999999999999</v>
      </c>
      <c r="AY68" s="9" t="n">
        <v>83.34999999999999</v>
      </c>
      <c r="AZ68" s="9" t="n">
        <v>83.78</v>
      </c>
      <c r="BA68" s="9" t="n">
        <v>83.78</v>
      </c>
      <c r="BB68" s="9" t="n">
        <v>21922200</v>
      </c>
      <c r="BC68" s="9" t="inlineStr"/>
      <c r="BD68" s="9" t="n">
        <v>116.95</v>
      </c>
      <c r="BE68" s="9" t="n">
        <v>117.14</v>
      </c>
      <c r="BF68" s="9" t="n">
        <v>115.715</v>
      </c>
      <c r="BG68" s="9" t="n">
        <v>115.85</v>
      </c>
      <c r="BH68" s="9" t="n">
        <v>115.5494</v>
      </c>
      <c r="BI68" s="9" t="n">
        <v>5163900</v>
      </c>
      <c r="BJ68" s="9" t="inlineStr"/>
      <c r="BK68" s="10">
        <f>IF(COUNT(K68:K69)=2,ROUND((K68/K69-1)*100,4),"")</f>
        <v/>
      </c>
      <c r="BL68" s="10">
        <f>IF(COUNT(R68:R69)=2,ROUND((R68/R69-1)*100,4),"")</f>
        <v/>
      </c>
      <c r="BM68" s="10">
        <f>IF(COUNT(Y68:Y69)=2,ROUND((Y68/Y69-1)*100,4),"")</f>
        <v/>
      </c>
      <c r="BN68" s="10">
        <f>IF(COUNT(AF68:AF69)=2,ROUND((AF68/AF69-1)*100,4),"")</f>
        <v/>
      </c>
      <c r="BO68" s="10">
        <f>IF(COUNT(AM68:AM69)=2,ROUND((AM68/AM69-1)*100,4),"")</f>
        <v/>
      </c>
      <c r="BP68" s="10">
        <f>IF(COUNT(AT68:AT69)=2,ROUND((AT68/AT69-1)*100,4),"")</f>
        <v/>
      </c>
      <c r="BQ68" s="10">
        <f>IF(COUNT(BA68:BA69)=2,ROUND((BA68/BA69-1)*100,4),"")</f>
        <v/>
      </c>
      <c r="BR68" s="10">
        <f>IF(COUNT(BH68:BH69)=2,ROUND((BH68/BH69-1)*100,4),"")</f>
        <v/>
      </c>
      <c r="BS68" s="9" t="inlineStr"/>
      <c r="BT68" s="9" t="n">
        <v>18.06</v>
      </c>
      <c r="BU68" s="10">
        <f>IF(COUNT(BT68:BT69)=2,ROUND((BT68/BT69-1)*100,4),"")</f>
        <v/>
      </c>
      <c r="BV68" s="10" t="n">
        <v>1.3468</v>
      </c>
      <c r="BW68" s="9" t="inlineStr"/>
      <c r="BX68" s="10">
        <f>IF(AND(BV68&gt;$BX$12,D68&lt;=$BX$13),D67,"")</f>
        <v/>
      </c>
      <c r="BY68" s="10">
        <f>IF(AND(BM68&lt;$BY$12,BN68&gt;$BY$13),D67,"")</f>
        <v/>
      </c>
      <c r="BZ68" s="10">
        <f>IF(AND(BK68&gt;$BZ$12,BL68&lt;$BZ$13,BM68&gt;$BZ$11),D67,"")</f>
        <v/>
      </c>
      <c r="CA68" s="10">
        <f>IF(BX68&lt;&gt;"",BX68,IF(BY68&lt;&gt;"",BY68,BZ68))</f>
        <v/>
      </c>
      <c r="CB68" s="10">
        <f>IF(AND(BQ68&gt;$CB$12,BR68&lt;$CB$13),E67,"")</f>
        <v/>
      </c>
      <c r="CC68" s="10">
        <f>IF(AND(BO68&lt;=$CC$12,E68&lt;$CC$13),E67,"")</f>
        <v/>
      </c>
      <c r="CD68" s="10">
        <f>IF(AND(BP68&gt;$CD$12,BQ68&gt;$CD$13),E67,"")</f>
        <v/>
      </c>
      <c r="CE68" s="10">
        <f>IF(CB68&lt;&gt;"",CB68,IF(CC68&lt;&gt;"",CC68,CD68))</f>
        <v/>
      </c>
    </row>
    <row r="69">
      <c r="A69" s="9" t="inlineStr">
        <is>
          <t>2026/05/18</t>
        </is>
      </c>
      <c r="B69" s="9" t="n">
        <v>160.16</v>
      </c>
      <c r="C69" s="9" t="n">
        <v>180.04</v>
      </c>
      <c r="D69" s="10">
        <f>IF(COUNT(B69:B70)=2,ROUND((B69/B70-1)*100,4),"")</f>
        <v/>
      </c>
      <c r="E69" s="10">
        <f>IF(COUNT(C69:C70)=2,ROUND((C69/C70-1)*100,4),"")</f>
        <v/>
      </c>
      <c r="F69" s="9" t="inlineStr"/>
      <c r="G69" s="9" t="n">
        <v>65.66</v>
      </c>
      <c r="H69" s="9" t="n">
        <v>65.76000000000001</v>
      </c>
      <c r="I69" s="9" t="n">
        <v>64.38</v>
      </c>
      <c r="J69" s="9" t="n">
        <v>64.97</v>
      </c>
      <c r="K69" s="9" t="n">
        <v>64.634</v>
      </c>
      <c r="L69" s="9" t="n">
        <v>37739800</v>
      </c>
      <c r="M69" s="9" t="inlineStr"/>
      <c r="N69" s="9" t="n">
        <v>419.82</v>
      </c>
      <c r="O69" s="9" t="n">
        <v>420.93</v>
      </c>
      <c r="P69" s="9" t="n">
        <v>416.06</v>
      </c>
      <c r="Q69" s="9" t="n">
        <v>418.43</v>
      </c>
      <c r="R69" s="9" t="n">
        <v>418.43</v>
      </c>
      <c r="S69" s="9" t="n">
        <v>5628300</v>
      </c>
      <c r="T69" s="9" t="inlineStr"/>
      <c r="U69" s="9" t="n">
        <v>79.63</v>
      </c>
      <c r="V69" s="9" t="n">
        <v>79.7</v>
      </c>
      <c r="W69" s="9" t="n">
        <v>79.44</v>
      </c>
      <c r="X69" s="9" t="n">
        <v>79.54000000000001</v>
      </c>
      <c r="Y69" s="9" t="n">
        <v>78.3892</v>
      </c>
      <c r="Z69" s="9" t="n">
        <v>38596100</v>
      </c>
      <c r="AA69" s="9" t="inlineStr"/>
      <c r="AB69" s="9" t="n">
        <v>110.58</v>
      </c>
      <c r="AC69" s="9" t="n">
        <v>110.66</v>
      </c>
      <c r="AD69" s="9" t="n">
        <v>110.39</v>
      </c>
      <c r="AE69" s="9" t="n">
        <v>110.48</v>
      </c>
      <c r="AF69" s="9" t="n">
        <v>107.3667</v>
      </c>
      <c r="AG69" s="9" t="n">
        <v>2490200</v>
      </c>
      <c r="AH69" s="9" t="inlineStr"/>
      <c r="AI69" s="9" t="n">
        <v>51.01</v>
      </c>
      <c r="AJ69" s="9" t="n">
        <v>51.8</v>
      </c>
      <c r="AK69" s="9" t="n">
        <v>50.97</v>
      </c>
      <c r="AL69" s="9" t="n">
        <v>51.74</v>
      </c>
      <c r="AM69" s="9" t="n">
        <v>51.5594</v>
      </c>
      <c r="AN69" s="9" t="n">
        <v>32974600</v>
      </c>
      <c r="AO69" s="9" t="inlineStr"/>
      <c r="AP69" s="9" t="n">
        <v>57.84</v>
      </c>
      <c r="AQ69" s="9" t="n">
        <v>57.89</v>
      </c>
      <c r="AR69" s="9" t="n">
        <v>57.73</v>
      </c>
      <c r="AS69" s="9" t="n">
        <v>57.8</v>
      </c>
      <c r="AT69" s="9" t="n">
        <v>57.8</v>
      </c>
      <c r="AU69" s="9" t="n">
        <v>187800</v>
      </c>
      <c r="AV69" s="9" t="inlineStr"/>
      <c r="AW69" s="9" t="n">
        <v>88.65000000000001</v>
      </c>
      <c r="AX69" s="9" t="n">
        <v>89.53</v>
      </c>
      <c r="AY69" s="9" t="n">
        <v>86.39</v>
      </c>
      <c r="AZ69" s="9" t="n">
        <v>87.14</v>
      </c>
      <c r="BA69" s="9" t="n">
        <v>87.14</v>
      </c>
      <c r="BB69" s="9" t="n">
        <v>16998000</v>
      </c>
      <c r="BC69" s="9" t="inlineStr"/>
      <c r="BD69" s="9" t="n">
        <v>116.04</v>
      </c>
      <c r="BE69" s="9" t="n">
        <v>117.82</v>
      </c>
      <c r="BF69" s="9" t="n">
        <v>115.85</v>
      </c>
      <c r="BG69" s="9" t="n">
        <v>116.98</v>
      </c>
      <c r="BH69" s="9" t="n">
        <v>116.6765</v>
      </c>
      <c r="BI69" s="9" t="n">
        <v>5125600</v>
      </c>
      <c r="BJ69" s="9" t="inlineStr"/>
      <c r="BK69" s="10">
        <f>IF(COUNT(K69:K70)=2,ROUND((K69/K70-1)*100,4),"")</f>
        <v/>
      </c>
      <c r="BL69" s="10">
        <f>IF(COUNT(R69:R70)=2,ROUND((R69/R70-1)*100,4),"")</f>
        <v/>
      </c>
      <c r="BM69" s="10">
        <f>IF(COUNT(Y69:Y70)=2,ROUND((Y69/Y70-1)*100,4),"")</f>
        <v/>
      </c>
      <c r="BN69" s="10">
        <f>IF(COUNT(AF69:AF70)=2,ROUND((AF69/AF70-1)*100,4),"")</f>
        <v/>
      </c>
      <c r="BO69" s="10">
        <f>IF(COUNT(AM69:AM70)=2,ROUND((AM69/AM70-1)*100,4),"")</f>
        <v/>
      </c>
      <c r="BP69" s="10">
        <f>IF(COUNT(AT69:AT70)=2,ROUND((AT69/AT70-1)*100,4),"")</f>
        <v/>
      </c>
      <c r="BQ69" s="10">
        <f>IF(COUNT(BA69:BA70)=2,ROUND((BA69/BA70-1)*100,4),"")</f>
        <v/>
      </c>
      <c r="BR69" s="10">
        <f>IF(COUNT(BH69:BH70)=2,ROUND((BH69/BH70-1)*100,4),"")</f>
        <v/>
      </c>
      <c r="BS69" s="9" t="inlineStr"/>
      <c r="BT69" s="9" t="n">
        <v>17.82</v>
      </c>
      <c r="BU69" s="10">
        <f>IF(COUNT(BT69:BT70)=2,ROUND((BT69/BT70-1)*100,4),"")</f>
        <v/>
      </c>
      <c r="BV69" s="10" t="n">
        <v>-3.3098</v>
      </c>
      <c r="BW69" s="9" t="inlineStr"/>
      <c r="BX69" s="10">
        <f>IF(AND(BV69&gt;$BX$12,D69&lt;=$BX$13),D68,"")</f>
        <v/>
      </c>
      <c r="BY69" s="10">
        <f>IF(AND(BM69&lt;$BY$12,BN69&gt;$BY$13),D68,"")</f>
        <v/>
      </c>
      <c r="BZ69" s="10">
        <f>IF(AND(BK69&gt;$BZ$12,BL69&lt;$BZ$13,BM69&gt;$BZ$11),D68,"")</f>
        <v/>
      </c>
      <c r="CA69" s="10">
        <f>IF(BX69&lt;&gt;"",BX69,IF(BY69&lt;&gt;"",BY69,BZ69))</f>
        <v/>
      </c>
      <c r="CB69" s="10">
        <f>IF(AND(BQ69&gt;$CB$12,BR69&lt;$CB$13),E68,"")</f>
        <v/>
      </c>
      <c r="CC69" s="10">
        <f>IF(AND(BO69&lt;=$CC$12,E69&lt;$CC$13),E68,"")</f>
        <v/>
      </c>
      <c r="CD69" s="10">
        <f>IF(AND(BP69&gt;$CD$12,BQ69&gt;$CD$13),E68,"")</f>
        <v/>
      </c>
      <c r="CE69" s="10">
        <f>IF(CB69&lt;&gt;"",CB69,IF(CC69&lt;&gt;"",CC69,CD69))</f>
        <v/>
      </c>
    </row>
    <row r="70">
      <c r="A70" s="9" t="inlineStr">
        <is>
          <t>2026/05/15</t>
        </is>
      </c>
      <c r="B70" s="9" t="n">
        <v>161.66</v>
      </c>
      <c r="C70" s="9" t="n">
        <v>180.37</v>
      </c>
      <c r="D70" s="10">
        <f>IF(COUNT(B70:B71)=2,ROUND((B70/B71-1)*100,4),"")</f>
        <v/>
      </c>
      <c r="E70" s="10">
        <f>IF(COUNT(C70:C71)=2,ROUND((C70/C71-1)*100,4),"")</f>
        <v/>
      </c>
      <c r="F70" s="9" t="inlineStr"/>
      <c r="G70" s="9" t="n">
        <v>65.23</v>
      </c>
      <c r="H70" s="9" t="n">
        <v>65.47</v>
      </c>
      <c r="I70" s="9" t="n">
        <v>64.72</v>
      </c>
      <c r="J70" s="9" t="n">
        <v>65.06999999999999</v>
      </c>
      <c r="K70" s="9" t="n">
        <v>64.73350000000001</v>
      </c>
      <c r="L70" s="9" t="n">
        <v>34830900</v>
      </c>
      <c r="M70" s="9" t="inlineStr"/>
      <c r="N70" s="9" t="n">
        <v>417.64</v>
      </c>
      <c r="O70" s="9" t="n">
        <v>419.25</v>
      </c>
      <c r="P70" s="9" t="n">
        <v>414.12</v>
      </c>
      <c r="Q70" s="9" t="n">
        <v>417.29</v>
      </c>
      <c r="R70" s="9" t="n">
        <v>417.29</v>
      </c>
      <c r="S70" s="9" t="n">
        <v>9360400</v>
      </c>
      <c r="T70" s="9" t="inlineStr"/>
      <c r="U70" s="9" t="n">
        <v>79.64</v>
      </c>
      <c r="V70" s="9" t="n">
        <v>79.69</v>
      </c>
      <c r="W70" s="9" t="n">
        <v>79.45999999999999</v>
      </c>
      <c r="X70" s="9" t="n">
        <v>79.45999999999999</v>
      </c>
      <c r="Y70" s="9" t="n">
        <v>78.3104</v>
      </c>
      <c r="Z70" s="9" t="n">
        <v>54466000</v>
      </c>
      <c r="AA70" s="9" t="inlineStr"/>
      <c r="AB70" s="9" t="n">
        <v>110.6</v>
      </c>
      <c r="AC70" s="9" t="n">
        <v>110.66</v>
      </c>
      <c r="AD70" s="9" t="n">
        <v>110.47</v>
      </c>
      <c r="AE70" s="9" t="n">
        <v>110.61</v>
      </c>
      <c r="AF70" s="9" t="n">
        <v>107.493</v>
      </c>
      <c r="AG70" s="9" t="n">
        <v>7481100</v>
      </c>
      <c r="AH70" s="9" t="inlineStr"/>
      <c r="AI70" s="9" t="n">
        <v>51.32</v>
      </c>
      <c r="AJ70" s="9" t="n">
        <v>51.5</v>
      </c>
      <c r="AK70" s="9" t="n">
        <v>51.04</v>
      </c>
      <c r="AL70" s="9" t="n">
        <v>51.1</v>
      </c>
      <c r="AM70" s="9" t="n">
        <v>50.9216</v>
      </c>
      <c r="AN70" s="9" t="n">
        <v>29789800</v>
      </c>
      <c r="AO70" s="9" t="inlineStr"/>
      <c r="AP70" s="9" t="n">
        <v>57.89</v>
      </c>
      <c r="AQ70" s="9" t="n">
        <v>57.93</v>
      </c>
      <c r="AR70" s="9" t="n">
        <v>57.85</v>
      </c>
      <c r="AS70" s="9" t="n">
        <v>57.85</v>
      </c>
      <c r="AT70" s="9" t="n">
        <v>57.85</v>
      </c>
      <c r="AU70" s="9" t="n">
        <v>317900</v>
      </c>
      <c r="AV70" s="9" t="inlineStr"/>
      <c r="AW70" s="9" t="n">
        <v>89.5</v>
      </c>
      <c r="AX70" s="9" t="n">
        <v>89.55</v>
      </c>
      <c r="AY70" s="9" t="n">
        <v>86.83</v>
      </c>
      <c r="AZ70" s="9" t="n">
        <v>87.34999999999999</v>
      </c>
      <c r="BA70" s="9" t="n">
        <v>87.34999999999999</v>
      </c>
      <c r="BB70" s="9" t="n">
        <v>38654700</v>
      </c>
      <c r="BC70" s="9" t="inlineStr"/>
      <c r="BD70" s="9" t="n">
        <v>116.91</v>
      </c>
      <c r="BE70" s="9" t="n">
        <v>117.04</v>
      </c>
      <c r="BF70" s="9" t="n">
        <v>115.98</v>
      </c>
      <c r="BG70" s="9" t="n">
        <v>116.08</v>
      </c>
      <c r="BH70" s="9" t="n">
        <v>115.7788</v>
      </c>
      <c r="BI70" s="9" t="n">
        <v>4295100</v>
      </c>
      <c r="BJ70" s="9" t="inlineStr"/>
      <c r="BK70" s="10">
        <f>IF(COUNT(K70:K71)=2,ROUND((K70/K71-1)*100,4),"")</f>
        <v/>
      </c>
      <c r="BL70" s="10">
        <f>IF(COUNT(R70:R71)=2,ROUND((R70/R71-1)*100,4),"")</f>
        <v/>
      </c>
      <c r="BM70" s="10">
        <f>IF(COUNT(Y70:Y71)=2,ROUND((Y70/Y71-1)*100,4),"")</f>
        <v/>
      </c>
      <c r="BN70" s="10">
        <f>IF(COUNT(AF70:AF71)=2,ROUND((AF70/AF71-1)*100,4),"")</f>
        <v/>
      </c>
      <c r="BO70" s="10">
        <f>IF(COUNT(AM70:AM71)=2,ROUND((AM70/AM71-1)*100,4),"")</f>
        <v/>
      </c>
      <c r="BP70" s="10">
        <f>IF(COUNT(AT70:AT71)=2,ROUND((AT70/AT71-1)*100,4),"")</f>
        <v/>
      </c>
      <c r="BQ70" s="10">
        <f>IF(COUNT(BA70:BA71)=2,ROUND((BA70/BA71-1)*100,4),"")</f>
        <v/>
      </c>
      <c r="BR70" s="10">
        <f>IF(COUNT(BH70:BH71)=2,ROUND((BH70/BH71-1)*100,4),"")</f>
        <v/>
      </c>
      <c r="BS70" s="9" t="inlineStr"/>
      <c r="BT70" s="9" t="n">
        <v>18.43</v>
      </c>
      <c r="BU70" s="10">
        <f>IF(COUNT(BT70:BT71)=2,ROUND((BT70/BT71-1)*100,4),"")</f>
        <v/>
      </c>
      <c r="BV70" s="10" t="n">
        <v>6.7787</v>
      </c>
      <c r="BW70" s="9" t="inlineStr"/>
      <c r="BX70" s="10">
        <f>IF(AND(BV70&gt;$BX$12,D70&lt;=$BX$13),D69,"")</f>
        <v/>
      </c>
      <c r="BY70" s="10">
        <f>IF(AND(BM70&lt;$BY$12,BN70&gt;$BY$13),D69,"")</f>
        <v/>
      </c>
      <c r="BZ70" s="10">
        <f>IF(AND(BK70&gt;$BZ$12,BL70&lt;$BZ$13,BM70&gt;$BZ$11),D69,"")</f>
        <v/>
      </c>
      <c r="CA70" s="10">
        <f>IF(BX70&lt;&gt;"",BX70,IF(BY70&lt;&gt;"",BY70,BZ70))</f>
        <v/>
      </c>
      <c r="CB70" s="10">
        <f>IF(AND(BQ70&gt;$CB$12,BR70&lt;$CB$13),E69,"")</f>
        <v/>
      </c>
      <c r="CC70" s="10">
        <f>IF(AND(BO70&lt;=$CC$12,E70&lt;$CC$13),E69,"")</f>
        <v/>
      </c>
      <c r="CD70" s="10">
        <f>IF(AND(BP70&gt;$CD$12,BQ70&gt;$CD$13),E69,"")</f>
        <v/>
      </c>
      <c r="CE70" s="10">
        <f>IF(CB70&lt;&gt;"",CB70,IF(CC70&lt;&gt;"",CC70,CD70))</f>
        <v/>
      </c>
    </row>
    <row r="71">
      <c r="A71" s="9" t="inlineStr">
        <is>
          <t>2026/05/14</t>
        </is>
      </c>
      <c r="B71" s="9" t="n">
        <v>166.77</v>
      </c>
      <c r="C71" s="9" t="n">
        <v>184.9</v>
      </c>
      <c r="D71" s="10">
        <f>IF(COUNT(B71:B72)=2,ROUND((B71/B72-1)*100,4),"")</f>
        <v/>
      </c>
      <c r="E71" s="10">
        <f>IF(COUNT(C71:C72)=2,ROUND((C71/C72-1)*100,4),"")</f>
        <v/>
      </c>
      <c r="F71" s="9" t="inlineStr"/>
      <c r="G71" s="9" t="n">
        <v>66.95</v>
      </c>
      <c r="H71" s="9" t="n">
        <v>67.52</v>
      </c>
      <c r="I71" s="9" t="n">
        <v>66.83</v>
      </c>
      <c r="J71" s="9" t="n">
        <v>67.38</v>
      </c>
      <c r="K71" s="9" t="n">
        <v>67.0316</v>
      </c>
      <c r="L71" s="9" t="n">
        <v>21184400</v>
      </c>
      <c r="M71" s="9" t="inlineStr"/>
      <c r="N71" s="9" t="n">
        <v>430.3</v>
      </c>
      <c r="O71" s="9" t="n">
        <v>431.54</v>
      </c>
      <c r="P71" s="9" t="n">
        <v>427.1</v>
      </c>
      <c r="Q71" s="9" t="n">
        <v>427.21</v>
      </c>
      <c r="R71" s="9" t="n">
        <v>427.21</v>
      </c>
      <c r="S71" s="9" t="n">
        <v>4021400</v>
      </c>
      <c r="T71" s="9" t="inlineStr"/>
      <c r="U71" s="9" t="n">
        <v>79.97</v>
      </c>
      <c r="V71" s="9" t="n">
        <v>80.05</v>
      </c>
      <c r="W71" s="9" t="n">
        <v>79.84999999999999</v>
      </c>
      <c r="X71" s="9" t="n">
        <v>79.84999999999999</v>
      </c>
      <c r="Y71" s="9" t="n">
        <v>78.6947</v>
      </c>
      <c r="Z71" s="9" t="n">
        <v>27235600</v>
      </c>
      <c r="AA71" s="9" t="inlineStr"/>
      <c r="AB71" s="9" t="n">
        <v>111.24</v>
      </c>
      <c r="AC71" s="9" t="n">
        <v>111.29</v>
      </c>
      <c r="AD71" s="9" t="n">
        <v>110.99</v>
      </c>
      <c r="AE71" s="9" t="n">
        <v>111.01</v>
      </c>
      <c r="AF71" s="9" t="n">
        <v>107.8818</v>
      </c>
      <c r="AG71" s="9" t="n">
        <v>3152500</v>
      </c>
      <c r="AH71" s="9" t="inlineStr"/>
      <c r="AI71" s="9" t="n">
        <v>51.27</v>
      </c>
      <c r="AJ71" s="9" t="n">
        <v>51.49</v>
      </c>
      <c r="AK71" s="9" t="n">
        <v>51.1</v>
      </c>
      <c r="AL71" s="9" t="n">
        <v>51.29</v>
      </c>
      <c r="AM71" s="9" t="n">
        <v>51.111</v>
      </c>
      <c r="AN71" s="9" t="n">
        <v>37059700</v>
      </c>
      <c r="AO71" s="9" t="inlineStr"/>
      <c r="AP71" s="9" t="n">
        <v>58.14</v>
      </c>
      <c r="AQ71" s="9" t="n">
        <v>58.33</v>
      </c>
      <c r="AR71" s="9" t="n">
        <v>57.98</v>
      </c>
      <c r="AS71" s="9" t="n">
        <v>58</v>
      </c>
      <c r="AT71" s="9" t="n">
        <v>58</v>
      </c>
      <c r="AU71" s="9" t="n">
        <v>307800</v>
      </c>
      <c r="AV71" s="9" t="inlineStr"/>
      <c r="AW71" s="9" t="n">
        <v>95.90000000000001</v>
      </c>
      <c r="AX71" s="9" t="n">
        <v>95.91</v>
      </c>
      <c r="AY71" s="9" t="n">
        <v>93.54000000000001</v>
      </c>
      <c r="AZ71" s="9" t="n">
        <v>93.95</v>
      </c>
      <c r="BA71" s="9" t="n">
        <v>93.95</v>
      </c>
      <c r="BB71" s="9" t="n">
        <v>14371600</v>
      </c>
      <c r="BC71" s="9" t="inlineStr"/>
      <c r="BD71" s="9" t="n">
        <v>117.1</v>
      </c>
      <c r="BE71" s="9" t="n">
        <v>117.97</v>
      </c>
      <c r="BF71" s="9" t="n">
        <v>116.935</v>
      </c>
      <c r="BG71" s="9" t="n">
        <v>117.11</v>
      </c>
      <c r="BH71" s="9" t="n">
        <v>116.8061</v>
      </c>
      <c r="BI71" s="9" t="n">
        <v>3558200</v>
      </c>
      <c r="BJ71" s="9" t="inlineStr"/>
      <c r="BK71" s="10">
        <f>IF(COUNT(K71:K72)=2,ROUND((K71/K72-1)*100,4),"")</f>
        <v/>
      </c>
      <c r="BL71" s="10">
        <f>IF(COUNT(R71:R72)=2,ROUND((R71/R72-1)*100,4),"")</f>
        <v/>
      </c>
      <c r="BM71" s="10">
        <f>IF(COUNT(Y71:Y72)=2,ROUND((Y71/Y72-1)*100,4),"")</f>
        <v/>
      </c>
      <c r="BN71" s="10">
        <f>IF(COUNT(AF71:AF72)=2,ROUND((AF71/AF72-1)*100,4),"")</f>
        <v/>
      </c>
      <c r="BO71" s="10">
        <f>IF(COUNT(AM71:AM72)=2,ROUND((AM71/AM72-1)*100,4),"")</f>
        <v/>
      </c>
      <c r="BP71" s="10">
        <f>IF(COUNT(AT71:AT72)=2,ROUND((AT71/AT72-1)*100,4),"")</f>
        <v/>
      </c>
      <c r="BQ71" s="10">
        <f>IF(COUNT(BA71:BA72)=2,ROUND((BA71/BA72-1)*100,4),"")</f>
        <v/>
      </c>
      <c r="BR71" s="10">
        <f>IF(COUNT(BH71:BH72)=2,ROUND((BH71/BH72-1)*100,4),"")</f>
        <v/>
      </c>
      <c r="BS71" s="9" t="inlineStr"/>
      <c r="BT71" s="9" t="n">
        <v>17.26</v>
      </c>
      <c r="BU71" s="10">
        <f>IF(COUNT(BT71:BT72)=2,ROUND((BT71/BT72-1)*100,4),"")</f>
        <v/>
      </c>
      <c r="BV71" s="10" t="n">
        <v>-3.4135</v>
      </c>
      <c r="BW71" s="9" t="inlineStr"/>
      <c r="BX71" s="10">
        <f>IF(AND(BV71&gt;$BX$12,D71&lt;=$BX$13),D70,"")</f>
        <v/>
      </c>
      <c r="BY71" s="10">
        <f>IF(AND(BM71&lt;$BY$12,BN71&gt;$BY$13),D70,"")</f>
        <v/>
      </c>
      <c r="BZ71" s="10">
        <f>IF(AND(BK71&gt;$BZ$12,BL71&lt;$BZ$13,BM71&gt;$BZ$11),D70,"")</f>
        <v/>
      </c>
      <c r="CA71" s="10">
        <f>IF(BX71&lt;&gt;"",BX71,IF(BY71&lt;&gt;"",BY71,BZ71))</f>
        <v/>
      </c>
      <c r="CB71" s="10">
        <f>IF(AND(BQ71&gt;$CB$12,BR71&lt;$CB$13),E70,"")</f>
        <v/>
      </c>
      <c r="CC71" s="10">
        <f>IF(AND(BO71&lt;=$CC$12,E71&lt;$CC$13),E70,"")</f>
        <v/>
      </c>
      <c r="CD71" s="10">
        <f>IF(AND(BP71&gt;$CD$12,BQ71&gt;$CD$13),E70,"")</f>
        <v/>
      </c>
      <c r="CE71" s="10">
        <f>IF(CB71&lt;&gt;"",CB71,IF(CC71&lt;&gt;"",CC71,CD71))</f>
        <v/>
      </c>
    </row>
    <row r="72">
      <c r="A72" s="9" t="inlineStr">
        <is>
          <t>2026/05/13</t>
        </is>
      </c>
      <c r="B72" s="9" t="n">
        <v>164.41</v>
      </c>
      <c r="C72" s="9" t="n">
        <v>182.13</v>
      </c>
      <c r="D72" s="10">
        <f>IF(COUNT(B72:B73)=2,ROUND((B72/B73-1)*100,4),"")</f>
        <v/>
      </c>
      <c r="E72" s="10">
        <f>IF(COUNT(C72:C73)=2,ROUND((C72/C73-1)*100,4),"")</f>
        <v/>
      </c>
      <c r="F72" s="9" t="inlineStr"/>
      <c r="G72" s="9" t="n">
        <v>66.56999999999999</v>
      </c>
      <c r="H72" s="9" t="n">
        <v>67.45</v>
      </c>
      <c r="I72" s="9" t="n">
        <v>66.27</v>
      </c>
      <c r="J72" s="9" t="n">
        <v>67.20999999999999</v>
      </c>
      <c r="K72" s="9" t="n">
        <v>66.8625</v>
      </c>
      <c r="L72" s="9" t="n">
        <v>26065400</v>
      </c>
      <c r="M72" s="9" t="inlineStr"/>
      <c r="N72" s="9" t="n">
        <v>430.52</v>
      </c>
      <c r="O72" s="9" t="n">
        <v>432.49</v>
      </c>
      <c r="P72" s="9" t="n">
        <v>428.75</v>
      </c>
      <c r="Q72" s="9" t="n">
        <v>430.5</v>
      </c>
      <c r="R72" s="9" t="n">
        <v>430.5</v>
      </c>
      <c r="S72" s="9" t="n">
        <v>4180300</v>
      </c>
      <c r="T72" s="9" t="inlineStr"/>
      <c r="U72" s="9" t="n">
        <v>79.84</v>
      </c>
      <c r="V72" s="9" t="n">
        <v>79.95</v>
      </c>
      <c r="W72" s="9" t="n">
        <v>79.79000000000001</v>
      </c>
      <c r="X72" s="9" t="n">
        <v>79.91</v>
      </c>
      <c r="Y72" s="9" t="n">
        <v>78.7539</v>
      </c>
      <c r="Z72" s="9" t="n">
        <v>33257100</v>
      </c>
      <c r="AA72" s="9" t="inlineStr"/>
      <c r="AB72" s="9" t="n">
        <v>111.17</v>
      </c>
      <c r="AC72" s="9" t="n">
        <v>111.21</v>
      </c>
      <c r="AD72" s="9" t="n">
        <v>111.02</v>
      </c>
      <c r="AE72" s="9" t="n">
        <v>111.12</v>
      </c>
      <c r="AF72" s="9" t="n">
        <v>107.9887</v>
      </c>
      <c r="AG72" s="9" t="n">
        <v>869600</v>
      </c>
      <c r="AH72" s="9" t="inlineStr"/>
      <c r="AI72" s="9" t="n">
        <v>51.14</v>
      </c>
      <c r="AJ72" s="9" t="n">
        <v>51.33</v>
      </c>
      <c r="AK72" s="9" t="n">
        <v>50.96</v>
      </c>
      <c r="AL72" s="9" t="n">
        <v>50.99</v>
      </c>
      <c r="AM72" s="9" t="n">
        <v>50.812</v>
      </c>
      <c r="AN72" s="9" t="n">
        <v>33440200</v>
      </c>
      <c r="AO72" s="9" t="inlineStr"/>
      <c r="AP72" s="9" t="n">
        <v>58.16</v>
      </c>
      <c r="AQ72" s="9" t="n">
        <v>58.22</v>
      </c>
      <c r="AR72" s="9" t="n">
        <v>58.13</v>
      </c>
      <c r="AS72" s="9" t="n">
        <v>58.17</v>
      </c>
      <c r="AT72" s="9" t="n">
        <v>58.17</v>
      </c>
      <c r="AU72" s="9" t="n">
        <v>168300</v>
      </c>
      <c r="AV72" s="9" t="inlineStr"/>
      <c r="AW72" s="9" t="n">
        <v>96.09</v>
      </c>
      <c r="AX72" s="9" t="n">
        <v>97.2</v>
      </c>
      <c r="AY72" s="9" t="n">
        <v>94.64</v>
      </c>
      <c r="AZ72" s="9" t="n">
        <v>96.23</v>
      </c>
      <c r="BA72" s="9" t="n">
        <v>96.23</v>
      </c>
      <c r="BB72" s="9" t="n">
        <v>12254800</v>
      </c>
      <c r="BC72" s="9" t="inlineStr"/>
      <c r="BD72" s="9" t="n">
        <v>115.522</v>
      </c>
      <c r="BE72" s="9" t="n">
        <v>117.03</v>
      </c>
      <c r="BF72" s="9" t="n">
        <v>115.35</v>
      </c>
      <c r="BG72" s="9" t="n">
        <v>116.76</v>
      </c>
      <c r="BH72" s="9" t="n">
        <v>116.457</v>
      </c>
      <c r="BI72" s="9" t="n">
        <v>4061300</v>
      </c>
      <c r="BJ72" s="9" t="inlineStr"/>
      <c r="BK72" s="10">
        <f>IF(COUNT(K72:K73)=2,ROUND((K72/K73-1)*100,4),"")</f>
        <v/>
      </c>
      <c r="BL72" s="10">
        <f>IF(COUNT(R72:R73)=2,ROUND((R72/R73-1)*100,4),"")</f>
        <v/>
      </c>
      <c r="BM72" s="10">
        <f>IF(COUNT(Y72:Y73)=2,ROUND((Y72/Y73-1)*100,4),"")</f>
        <v/>
      </c>
      <c r="BN72" s="10">
        <f>IF(COUNT(AF72:AF73)=2,ROUND((AF72/AF73-1)*100,4),"")</f>
        <v/>
      </c>
      <c r="BO72" s="10">
        <f>IF(COUNT(AM72:AM73)=2,ROUND((AM72/AM73-1)*100,4),"")</f>
        <v/>
      </c>
      <c r="BP72" s="10">
        <f>IF(COUNT(AT72:AT73)=2,ROUND((AT72/AT73-1)*100,4),"")</f>
        <v/>
      </c>
      <c r="BQ72" s="10">
        <f>IF(COUNT(BA72:BA73)=2,ROUND((BA72/BA73-1)*100,4),"")</f>
        <v/>
      </c>
      <c r="BR72" s="10">
        <f>IF(COUNT(BH72:BH73)=2,ROUND((BH72/BH73-1)*100,4),"")</f>
        <v/>
      </c>
      <c r="BS72" s="9" t="inlineStr"/>
      <c r="BT72" s="9" t="n">
        <v>17.87</v>
      </c>
      <c r="BU72" s="10">
        <f>IF(COUNT(BT72:BT73)=2,ROUND((BT72/BT73-1)*100,4),"")</f>
        <v/>
      </c>
      <c r="BV72" s="10" t="n">
        <v>-0.667</v>
      </c>
      <c r="BW72" s="9" t="inlineStr"/>
      <c r="BX72" s="10">
        <f>IF(AND(BV72&gt;$BX$12,D72&lt;=$BX$13),D71,"")</f>
        <v/>
      </c>
      <c r="BY72" s="10">
        <f>IF(AND(BM72&lt;$BY$12,BN72&gt;$BY$13),D71,"")</f>
        <v/>
      </c>
      <c r="BZ72" s="10">
        <f>IF(AND(BK72&gt;$BZ$12,BL72&lt;$BZ$13,BM72&gt;$BZ$11),D71,"")</f>
        <v/>
      </c>
      <c r="CA72" s="10">
        <f>IF(BX72&lt;&gt;"",BX72,IF(BY72&lt;&gt;"",BY72,BZ72))</f>
        <v/>
      </c>
      <c r="CB72" s="10">
        <f>IF(AND(BQ72&gt;$CB$12,BR72&lt;$CB$13),E71,"")</f>
        <v/>
      </c>
      <c r="CC72" s="10">
        <f>IF(AND(BO72&lt;=$CC$12,E72&lt;$CC$13),E71,"")</f>
        <v/>
      </c>
      <c r="CD72" s="10">
        <f>IF(AND(BP72&gt;$CD$12,BQ72&gt;$CD$13),E71,"")</f>
        <v/>
      </c>
      <c r="CE72" s="10">
        <f>IF(CB72&lt;&gt;"",CB72,IF(CC72&lt;&gt;"",CC72,CD72))</f>
        <v/>
      </c>
    </row>
    <row r="73">
      <c r="A73" s="9" t="inlineStr">
        <is>
          <t>2026/05/12</t>
        </is>
      </c>
      <c r="B73" s="9" t="n">
        <v>161.07</v>
      </c>
      <c r="C73" s="9" t="n">
        <v>180.05</v>
      </c>
      <c r="D73" s="10">
        <f>IF(COUNT(B73:B74)=2,ROUND((B73/B74-1)*100,4),"")</f>
        <v/>
      </c>
      <c r="E73" s="10">
        <f>IF(COUNT(C73:C74)=2,ROUND((C73/C74-1)*100,4),"")</f>
        <v/>
      </c>
      <c r="F73" s="9" t="inlineStr"/>
      <c r="G73" s="9" t="n">
        <v>66.22</v>
      </c>
      <c r="H73" s="9" t="n">
        <v>66.51000000000001</v>
      </c>
      <c r="I73" s="9" t="n">
        <v>64.98999999999999</v>
      </c>
      <c r="J73" s="9" t="n">
        <v>65.81999999999999</v>
      </c>
      <c r="K73" s="9" t="n">
        <v>65.47969999999999</v>
      </c>
      <c r="L73" s="9" t="n">
        <v>37773400</v>
      </c>
      <c r="M73" s="9" t="inlineStr"/>
      <c r="N73" s="9" t="n">
        <v>430.7</v>
      </c>
      <c r="O73" s="9" t="n">
        <v>432.98</v>
      </c>
      <c r="P73" s="9" t="n">
        <v>425.85</v>
      </c>
      <c r="Q73" s="9" t="n">
        <v>432.93</v>
      </c>
      <c r="R73" s="9" t="n">
        <v>432.93</v>
      </c>
      <c r="S73" s="9" t="n">
        <v>6660900</v>
      </c>
      <c r="T73" s="9" t="inlineStr"/>
      <c r="U73" s="9" t="n">
        <v>79.81999999999999</v>
      </c>
      <c r="V73" s="9" t="n">
        <v>79.89</v>
      </c>
      <c r="W73" s="9" t="n">
        <v>79.7</v>
      </c>
      <c r="X73" s="9" t="n">
        <v>79.87</v>
      </c>
      <c r="Y73" s="9" t="n">
        <v>78.7144</v>
      </c>
      <c r="Z73" s="9" t="n">
        <v>37418900</v>
      </c>
      <c r="AA73" s="9" t="inlineStr"/>
      <c r="AB73" s="9" t="n">
        <v>111.28</v>
      </c>
      <c r="AC73" s="9" t="n">
        <v>111.28</v>
      </c>
      <c r="AD73" s="9" t="n">
        <v>111.05</v>
      </c>
      <c r="AE73" s="9" t="n">
        <v>111.12</v>
      </c>
      <c r="AF73" s="9" t="n">
        <v>107.9887</v>
      </c>
      <c r="AG73" s="9" t="n">
        <v>1253000</v>
      </c>
      <c r="AH73" s="9" t="inlineStr"/>
      <c r="AI73" s="9" t="n">
        <v>51.18</v>
      </c>
      <c r="AJ73" s="9" t="n">
        <v>51.7</v>
      </c>
      <c r="AK73" s="9" t="n">
        <v>50.81</v>
      </c>
      <c r="AL73" s="9" t="n">
        <v>51.58</v>
      </c>
      <c r="AM73" s="9" t="n">
        <v>51.3999</v>
      </c>
      <c r="AN73" s="9" t="n">
        <v>44193700</v>
      </c>
      <c r="AO73" s="9" t="inlineStr"/>
      <c r="AP73" s="9" t="n">
        <v>58.27</v>
      </c>
      <c r="AQ73" s="9" t="n">
        <v>58.3</v>
      </c>
      <c r="AR73" s="9" t="n">
        <v>58.2</v>
      </c>
      <c r="AS73" s="9" t="n">
        <v>58.27</v>
      </c>
      <c r="AT73" s="9" t="n">
        <v>58.27</v>
      </c>
      <c r="AU73" s="9" t="n">
        <v>153400</v>
      </c>
      <c r="AV73" s="9" t="inlineStr"/>
      <c r="AW73" s="9" t="n">
        <v>95.59999999999999</v>
      </c>
      <c r="AX73" s="9" t="n">
        <v>97.56</v>
      </c>
      <c r="AY73" s="9" t="n">
        <v>92.84999999999999</v>
      </c>
      <c r="AZ73" s="9" t="n">
        <v>97.14</v>
      </c>
      <c r="BA73" s="9" t="n">
        <v>97.14</v>
      </c>
      <c r="BB73" s="9" t="n">
        <v>22283200</v>
      </c>
      <c r="BC73" s="9" t="inlineStr"/>
      <c r="BD73" s="9" t="n">
        <v>115.68</v>
      </c>
      <c r="BE73" s="9" t="n">
        <v>115.955</v>
      </c>
      <c r="BF73" s="9" t="n">
        <v>114.97</v>
      </c>
      <c r="BG73" s="9" t="n">
        <v>115.86</v>
      </c>
      <c r="BH73" s="9" t="n">
        <v>115.5594</v>
      </c>
      <c r="BI73" s="9" t="n">
        <v>5336300</v>
      </c>
      <c r="BJ73" s="9" t="inlineStr"/>
      <c r="BK73" s="10">
        <f>IF(COUNT(K73:K74)=2,ROUND((K73/K74-1)*100,4),"")</f>
        <v/>
      </c>
      <c r="BL73" s="10">
        <f>IF(COUNT(R73:R74)=2,ROUND((R73/R74-1)*100,4),"")</f>
        <v/>
      </c>
      <c r="BM73" s="10">
        <f>IF(COUNT(Y73:Y74)=2,ROUND((Y73/Y74-1)*100,4),"")</f>
        <v/>
      </c>
      <c r="BN73" s="10">
        <f>IF(COUNT(AF73:AF74)=2,ROUND((AF73/AF74-1)*100,4),"")</f>
        <v/>
      </c>
      <c r="BO73" s="10">
        <f>IF(COUNT(AM73:AM74)=2,ROUND((AM73/AM74-1)*100,4),"")</f>
        <v/>
      </c>
      <c r="BP73" s="10">
        <f>IF(COUNT(AT73:AT74)=2,ROUND((AT73/AT74-1)*100,4),"")</f>
        <v/>
      </c>
      <c r="BQ73" s="10">
        <f>IF(COUNT(BA73:BA74)=2,ROUND((BA73/BA74-1)*100,4),"")</f>
        <v/>
      </c>
      <c r="BR73" s="10">
        <f>IF(COUNT(BH73:BH74)=2,ROUND((BH73/BH74-1)*100,4),"")</f>
        <v/>
      </c>
      <c r="BS73" s="9" t="inlineStr"/>
      <c r="BT73" s="9" t="n">
        <v>17.99</v>
      </c>
      <c r="BU73" s="10">
        <f>IF(COUNT(BT73:BT74)=2,ROUND((BT73/BT74-1)*100,4),"")</f>
        <v/>
      </c>
      <c r="BV73" s="10" t="n">
        <v>-2.1219</v>
      </c>
      <c r="BW73" s="9" t="inlineStr"/>
      <c r="BX73" s="10">
        <f>IF(AND(BV73&gt;$BX$12,D73&lt;=$BX$13),D72,"")</f>
        <v/>
      </c>
      <c r="BY73" s="10">
        <f>IF(AND(BM73&lt;$BY$12,BN73&gt;$BY$13),D72,"")</f>
        <v/>
      </c>
      <c r="BZ73" s="10">
        <f>IF(AND(BK73&gt;$BZ$12,BL73&lt;$BZ$13,BM73&gt;$BZ$11),D72,"")</f>
        <v/>
      </c>
      <c r="CA73" s="10">
        <f>IF(BX73&lt;&gt;"",BX73,IF(BY73&lt;&gt;"",BY73,BZ73))</f>
        <v/>
      </c>
      <c r="CB73" s="10">
        <f>IF(AND(BQ73&gt;$CB$12,BR73&lt;$CB$13),E72,"")</f>
        <v/>
      </c>
      <c r="CC73" s="10">
        <f>IF(AND(BO73&lt;=$CC$12,E73&lt;$CC$13),E72,"")</f>
        <v/>
      </c>
      <c r="CD73" s="10">
        <f>IF(AND(BP73&gt;$CD$12,BQ73&gt;$CD$13),E72,"")</f>
        <v/>
      </c>
      <c r="CE73" s="10">
        <f>IF(CB73&lt;&gt;"",CB73,IF(CC73&lt;&gt;"",CC73,CD73))</f>
        <v/>
      </c>
    </row>
    <row r="74">
      <c r="A74" s="9" t="inlineStr">
        <is>
          <t>2026/05/11</t>
        </is>
      </c>
      <c r="B74" s="9" t="n">
        <v>163.95</v>
      </c>
      <c r="C74" s="9" t="n">
        <v>180.64</v>
      </c>
      <c r="D74" s="10">
        <f>IF(COUNT(B74:B75)=2,ROUND((B74/B75-1)*100,4),"")</f>
        <v/>
      </c>
      <c r="E74" s="10">
        <f>IF(COUNT(C74:C75)=2,ROUND((C74/C75-1)*100,4),"")</f>
        <v/>
      </c>
      <c r="F74" s="9" t="inlineStr"/>
      <c r="G74" s="9" t="n">
        <v>67.83</v>
      </c>
      <c r="H74" s="9" t="n">
        <v>68.15000000000001</v>
      </c>
      <c r="I74" s="9" t="n">
        <v>67.59</v>
      </c>
      <c r="J74" s="9" t="n">
        <v>67.89</v>
      </c>
      <c r="K74" s="9" t="n">
        <v>67.5389</v>
      </c>
      <c r="L74" s="9" t="n">
        <v>14667100</v>
      </c>
      <c r="M74" s="9" t="inlineStr"/>
      <c r="N74" s="9" t="n">
        <v>434.18</v>
      </c>
      <c r="O74" s="9" t="n">
        <v>436.04</v>
      </c>
      <c r="P74" s="9" t="n">
        <v>432.21</v>
      </c>
      <c r="Q74" s="9" t="n">
        <v>434.65</v>
      </c>
      <c r="R74" s="9" t="n">
        <v>434.65</v>
      </c>
      <c r="S74" s="9" t="n">
        <v>5569100</v>
      </c>
      <c r="T74" s="9" t="inlineStr"/>
      <c r="U74" s="9" t="n">
        <v>80.08</v>
      </c>
      <c r="V74" s="9" t="n">
        <v>80.15000000000001</v>
      </c>
      <c r="W74" s="9" t="n">
        <v>79.98</v>
      </c>
      <c r="X74" s="9" t="n">
        <v>79.98</v>
      </c>
      <c r="Y74" s="9" t="n">
        <v>78.8228</v>
      </c>
      <c r="Z74" s="9" t="n">
        <v>34366600</v>
      </c>
      <c r="AA74" s="9" t="inlineStr"/>
      <c r="AB74" s="9" t="n">
        <v>111.35</v>
      </c>
      <c r="AC74" s="9" t="n">
        <v>111.38</v>
      </c>
      <c r="AD74" s="9" t="n">
        <v>111.26</v>
      </c>
      <c r="AE74" s="9" t="n">
        <v>111.31</v>
      </c>
      <c r="AF74" s="9" t="n">
        <v>108.1733</v>
      </c>
      <c r="AG74" s="9" t="n">
        <v>1753000</v>
      </c>
      <c r="AH74" s="9" t="inlineStr"/>
      <c r="AI74" s="9" t="n">
        <v>51.26</v>
      </c>
      <c r="AJ74" s="9" t="n">
        <v>51.46</v>
      </c>
      <c r="AK74" s="9" t="n">
        <v>50.96</v>
      </c>
      <c r="AL74" s="9" t="n">
        <v>51.18</v>
      </c>
      <c r="AM74" s="9" t="n">
        <v>51.0013</v>
      </c>
      <c r="AN74" s="9" t="n">
        <v>30759200</v>
      </c>
      <c r="AO74" s="9" t="inlineStr"/>
      <c r="AP74" s="9" t="n">
        <v>58.5</v>
      </c>
      <c r="AQ74" s="9" t="n">
        <v>58.51</v>
      </c>
      <c r="AR74" s="9" t="n">
        <v>58.4</v>
      </c>
      <c r="AS74" s="9" t="n">
        <v>58.42</v>
      </c>
      <c r="AT74" s="9" t="n">
        <v>58.42</v>
      </c>
      <c r="AU74" s="9" t="n">
        <v>131700</v>
      </c>
      <c r="AV74" s="9" t="inlineStr"/>
      <c r="AW74" s="9" t="n">
        <v>95.34</v>
      </c>
      <c r="AX74" s="9" t="n">
        <v>98.73999999999999</v>
      </c>
      <c r="AY74" s="9" t="n">
        <v>95.29000000000001</v>
      </c>
      <c r="AZ74" s="9" t="n">
        <v>97.59999999999999</v>
      </c>
      <c r="BA74" s="9" t="n">
        <v>97.59999999999999</v>
      </c>
      <c r="BB74" s="9" t="n">
        <v>24402800</v>
      </c>
      <c r="BC74" s="9" t="inlineStr"/>
      <c r="BD74" s="9" t="n">
        <v>116.52</v>
      </c>
      <c r="BE74" s="9" t="n">
        <v>116.72</v>
      </c>
      <c r="BF74" s="9" t="n">
        <v>115.43</v>
      </c>
      <c r="BG74" s="9" t="n">
        <v>115.58</v>
      </c>
      <c r="BH74" s="9" t="n">
        <v>115.2801</v>
      </c>
      <c r="BI74" s="9" t="n">
        <v>4729300</v>
      </c>
      <c r="BJ74" s="9" t="inlineStr"/>
      <c r="BK74" s="10">
        <f>IF(COUNT(K74:K75)=2,ROUND((K74/K75-1)*100,4),"")</f>
        <v/>
      </c>
      <c r="BL74" s="10">
        <f>IF(COUNT(R74:R75)=2,ROUND((R74/R75-1)*100,4),"")</f>
        <v/>
      </c>
      <c r="BM74" s="10">
        <f>IF(COUNT(Y74:Y75)=2,ROUND((Y74/Y75-1)*100,4),"")</f>
        <v/>
      </c>
      <c r="BN74" s="10">
        <f>IF(COUNT(AF74:AF75)=2,ROUND((AF74/AF75-1)*100,4),"")</f>
        <v/>
      </c>
      <c r="BO74" s="10">
        <f>IF(COUNT(AM74:AM75)=2,ROUND((AM74/AM75-1)*100,4),"")</f>
        <v/>
      </c>
      <c r="BP74" s="10">
        <f>IF(COUNT(AT74:AT75)=2,ROUND((AT74/AT75-1)*100,4),"")</f>
        <v/>
      </c>
      <c r="BQ74" s="10">
        <f>IF(COUNT(BA74:BA75)=2,ROUND((BA74/BA75-1)*100,4),"")</f>
        <v/>
      </c>
      <c r="BR74" s="10">
        <f>IF(COUNT(BH74:BH75)=2,ROUND((BH74/BH75-1)*100,4),"")</f>
        <v/>
      </c>
      <c r="BS74" s="9" t="inlineStr"/>
      <c r="BT74" s="9" t="n">
        <v>18.38</v>
      </c>
      <c r="BU74" s="10">
        <f>IF(COUNT(BT74:BT75)=2,ROUND((BT74/BT75-1)*100,4),"")</f>
        <v/>
      </c>
      <c r="BV74" s="10" t="n">
        <v>6.9226</v>
      </c>
      <c r="BW74" s="9" t="inlineStr"/>
      <c r="BX74" s="10">
        <f>IF(AND(BV74&gt;$BX$12,D74&lt;=$BX$13),D73,"")</f>
        <v/>
      </c>
      <c r="BY74" s="10">
        <f>IF(AND(BM74&lt;$BY$12,BN74&gt;$BY$13),D73,"")</f>
        <v/>
      </c>
      <c r="BZ74" s="10">
        <f>IF(AND(BK74&gt;$BZ$12,BL74&lt;$BZ$13,BM74&gt;$BZ$11),D73,"")</f>
        <v/>
      </c>
      <c r="CA74" s="10">
        <f>IF(BX74&lt;&gt;"",BX74,IF(BY74&lt;&gt;"",BY74,BZ74))</f>
        <v/>
      </c>
      <c r="CB74" s="10">
        <f>IF(AND(BQ74&gt;$CB$12,BR74&lt;$CB$13),E73,"")</f>
        <v/>
      </c>
      <c r="CC74" s="10">
        <f>IF(AND(BO74&lt;=$CC$12,E74&lt;$CC$13),E73,"")</f>
        <v/>
      </c>
      <c r="CD74" s="10">
        <f>IF(AND(BP74&gt;$CD$12,BQ74&gt;$CD$13),E73,"")</f>
        <v/>
      </c>
      <c r="CE74" s="10">
        <f>IF(CB74&lt;&gt;"",CB74,IF(CC74&lt;&gt;"",CC74,CD74))</f>
        <v/>
      </c>
    </row>
    <row r="75">
      <c r="A75" s="9" t="inlineStr">
        <is>
          <t>2026/05/08</t>
        </is>
      </c>
      <c r="B75" s="9" t="n">
        <v>163.06</v>
      </c>
      <c r="C75" s="9" t="n">
        <v>179.98</v>
      </c>
      <c r="D75" s="10" t="inlineStr"/>
      <c r="E75" s="10" t="inlineStr"/>
      <c r="F75" s="9" t="inlineStr"/>
      <c r="G75" s="9" t="n">
        <v>67.33</v>
      </c>
      <c r="H75" s="9" t="n">
        <v>67.95999999999999</v>
      </c>
      <c r="I75" s="9" t="n">
        <v>67.28</v>
      </c>
      <c r="J75" s="9" t="n">
        <v>67.94</v>
      </c>
      <c r="K75" s="9" t="n">
        <v>67.5887</v>
      </c>
      <c r="L75" s="9" t="n">
        <v>27606300</v>
      </c>
      <c r="M75" s="9" t="inlineStr"/>
      <c r="N75" s="9" t="n">
        <v>434.05</v>
      </c>
      <c r="O75" s="9" t="n">
        <v>436.2</v>
      </c>
      <c r="P75" s="9" t="n">
        <v>431.7</v>
      </c>
      <c r="Q75" s="9" t="n">
        <v>433.77</v>
      </c>
      <c r="R75" s="9" t="n">
        <v>433.77</v>
      </c>
      <c r="S75" s="9" t="n">
        <v>5380800</v>
      </c>
      <c r="T75" s="9" t="inlineStr"/>
      <c r="U75" s="9" t="n">
        <v>80.01000000000001</v>
      </c>
      <c r="V75" s="9" t="n">
        <v>80.15000000000001</v>
      </c>
      <c r="W75" s="9" t="n">
        <v>80</v>
      </c>
      <c r="X75" s="9" t="n">
        <v>80.14</v>
      </c>
      <c r="Y75" s="9" t="n">
        <v>78.98050000000001</v>
      </c>
      <c r="Z75" s="9" t="n">
        <v>29715200</v>
      </c>
      <c r="AA75" s="9" t="inlineStr"/>
      <c r="AB75" s="9" t="n">
        <v>111.4</v>
      </c>
      <c r="AC75" s="9" t="n">
        <v>111.44</v>
      </c>
      <c r="AD75" s="9" t="n">
        <v>111.31</v>
      </c>
      <c r="AE75" s="9" t="n">
        <v>111.4</v>
      </c>
      <c r="AF75" s="9" t="n">
        <v>108.2608</v>
      </c>
      <c r="AG75" s="9" t="n">
        <v>1142700</v>
      </c>
      <c r="AH75" s="9" t="inlineStr"/>
      <c r="AI75" s="9" t="n">
        <v>51.68</v>
      </c>
      <c r="AJ75" s="9" t="n">
        <v>51.74</v>
      </c>
      <c r="AK75" s="9" t="n">
        <v>51.14</v>
      </c>
      <c r="AL75" s="9" t="n">
        <v>51.24</v>
      </c>
      <c r="AM75" s="9" t="n">
        <v>51.0611</v>
      </c>
      <c r="AN75" s="9" t="n">
        <v>29627700</v>
      </c>
      <c r="AO75" s="9" t="inlineStr"/>
      <c r="AP75" s="9" t="n">
        <v>58.66</v>
      </c>
      <c r="AQ75" s="9" t="n">
        <v>58.71</v>
      </c>
      <c r="AR75" s="9" t="n">
        <v>58.6</v>
      </c>
      <c r="AS75" s="9" t="n">
        <v>58.6</v>
      </c>
      <c r="AT75" s="9" t="n">
        <v>58.6</v>
      </c>
      <c r="AU75" s="9" t="n">
        <v>142900</v>
      </c>
      <c r="AV75" s="9" t="inlineStr"/>
      <c r="AW75" s="9" t="n">
        <v>93.13</v>
      </c>
      <c r="AX75" s="9" t="n">
        <v>95.3</v>
      </c>
      <c r="AY75" s="9" t="n">
        <v>92.75</v>
      </c>
      <c r="AZ75" s="9" t="n">
        <v>94.59</v>
      </c>
      <c r="BA75" s="9" t="n">
        <v>94.59</v>
      </c>
      <c r="BB75" s="9" t="n">
        <v>19426900</v>
      </c>
      <c r="BC75" s="9" t="inlineStr"/>
      <c r="BD75" s="9" t="n">
        <v>117.015</v>
      </c>
      <c r="BE75" s="9" t="n">
        <v>117.19</v>
      </c>
      <c r="BF75" s="9" t="n">
        <v>116.615</v>
      </c>
      <c r="BG75" s="9" t="n">
        <v>116.94</v>
      </c>
      <c r="BH75" s="9" t="n">
        <v>116.6366</v>
      </c>
      <c r="BI75" s="9" t="n">
        <v>4153400</v>
      </c>
      <c r="BJ75" s="9" t="inlineStr"/>
      <c r="BK75" s="10" t="inlineStr"/>
      <c r="BL75" s="10" t="inlineStr"/>
      <c r="BM75" s="10" t="inlineStr"/>
      <c r="BN75" s="10" t="inlineStr"/>
      <c r="BO75" s="10" t="inlineStr"/>
      <c r="BP75" s="10" t="inlineStr"/>
      <c r="BQ75" s="10" t="inlineStr"/>
      <c r="BR75" s="10" t="inlineStr"/>
      <c r="BS75" s="9" t="inlineStr"/>
      <c r="BT75" s="9" t="n">
        <v>17.19</v>
      </c>
      <c r="BU75" s="10" t="inlineStr"/>
      <c r="BV75" s="10" t="n">
        <v>0.644</v>
      </c>
      <c r="BW75" s="9" t="inlineStr"/>
      <c r="BX75" s="10">
        <f>IF(AND(BV75&gt;$BX$12,D75&lt;=$BX$13),D74,"")</f>
        <v/>
      </c>
      <c r="BY75" s="10">
        <f>IF(AND(BM75&lt;$BY$12,BN75&gt;$BY$13),D74,"")</f>
        <v/>
      </c>
      <c r="BZ75" s="10">
        <f>IF(AND(BK75&gt;$BZ$12,BL75&lt;$BZ$13,BM75&gt;$BZ$11),D74,"")</f>
        <v/>
      </c>
      <c r="CA75" s="10">
        <f>IF(BX75&lt;&gt;"",BX75,IF(BY75&lt;&gt;"",BY75,BZ75))</f>
        <v/>
      </c>
      <c r="CB75" s="10">
        <f>IF(AND(BQ75&gt;$CB$12,BR75&lt;$CB$13),E74,"")</f>
        <v/>
      </c>
      <c r="CC75" s="10">
        <f>IF(AND(BO75&lt;=$CC$12,E75&lt;$CC$13),E74,"")</f>
        <v/>
      </c>
      <c r="CD75" s="10">
        <f>IF(AND(BP75&gt;$CD$12,BQ75&gt;$CD$13),E74,"")</f>
        <v/>
      </c>
      <c r="CE75" s="10">
        <f>IF(CB75&lt;&gt;"",CB75,IF(CC75&lt;&gt;"",CC75,CD75))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2026-08-11T03:07:46Z</dcterms:created>
  <dcterms:modified xmlns:dcterms="http://purl.org/dc/terms/" xmlns:xsi="http://www.w3.org/2001/XMLSchema-instance" xsi:type="dcterms:W3CDTF">2026-08-11T03:07:49Z</dcterms:modified>
</cp:coreProperties>
</file>