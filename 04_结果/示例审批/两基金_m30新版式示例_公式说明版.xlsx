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vanessacen\Desktop\新基金预测\04_结果\示例审批\"/>
    </mc:Choice>
  </mc:AlternateContent>
  <bookViews>
    <workbookView windowWidth="18350" windowHeight="8080" activeTab="1"/>
  </bookViews>
  <sheets>
    <sheet name="说明" sheetId="1" r:id="rId1"/>
    <sheet name="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<sst xmlns="http://schemas.openxmlformats.org/spreadsheetml/2006/main" count="134" uniqueCount="119">
  <si>
    <t>两基金 m30 新版式示例</t>
  </si>
  <si>
    <t>公式说明：</t>
  </si>
  <si>
    <t>1. 统计头公式（第2-10行）</t>
  </si>
  <si>
    <t xml:space="preserve">   Hit Ratio = Up Count / (Up Count + Down Count)；</t>
  </si>
  <si>
    <t xml:space="preserve">   Up Count = COUNTIF(该列数据区, "&gt;0")；Down Count = COUNTIF(该列数据区, "&lt;0")；</t>
  </si>
  <si>
    <t xml:space="preserve">   Average = AVERAGE(该列数据区)；Max/Min/Count/Std/Sum 对应 MAX/MIN/COUNT/STDEV/SUM。</t>
  </si>
  <si>
    <t>2. 回报率公式</t>
  </si>
  <si>
    <t xml:space="preserve">   =IF(COUNT(B14:B15)=2,(B14/B15-1)*100,"")</t>
  </si>
  <si>
    <t xml:space="preserve">   B14 是今日 Adj Close，B15 是前一交易日 Adj Close；</t>
  </si>
  <si>
    <t xml:space="preserve">   COUNT 判断两天价格都存在才计算当日回报率，否则留空，避免 #DIV/0!。</t>
  </si>
  <si>
    <t>3. 策略公式</t>
  </si>
  <si>
    <t xml:space="preserve">   =IF(条件, 该基金次日实际回报, "")</t>
  </si>
  <si>
    <t xml:space="preserve">   条件引用回报率列和阈值参数；满足条件时显示次日实际回报（日期降序，次日=上一行）。</t>
  </si>
  <si>
    <t>4. 合并公式</t>
  </si>
  <si>
    <t xml:space="preserve">   策略列按 |全历史Average| 从高到低排列，合并列取第一个非空策略：</t>
  </si>
  <si>
    <t xml:space="preserve">   =IF(策略1&lt;&gt;"",策略1,IF(策略2&lt;&gt;"",策略2,策略3))</t>
  </si>
  <si>
    <t xml:space="preserve">   同一天多条策略触发时，历史 |Average| 最大的策略生效；全部未触发则留空。</t>
  </si>
  <si>
    <t>5. 阈值参数</t>
  </si>
  <si>
    <t xml:space="preserve">   每个策略列正上方的第11/12行是该策略条件阈值，修改数字可调整条件，公式自动更新。</t>
  </si>
  <si>
    <t>Hit Ratio</t>
  </si>
  <si>
    <t>Up Count</t>
  </si>
  <si>
    <t>Down Count</t>
  </si>
  <si>
    <t>Average</t>
  </si>
  <si>
    <t>Max</t>
  </si>
  <si>
    <t>Min</t>
  </si>
  <si>
    <t>Count</t>
  </si>
  <si>
    <t>Std</t>
  </si>
  <si>
    <t>Sum</t>
  </si>
  <si>
    <t>日期</t>
  </si>
  <si>
    <t>Ultra NASDAQ-100 ProFunds Investor Class（UOPIX） Adj Close</t>
  </si>
  <si>
    <t>Ultra NASDAQ-100 ProFunds Investor Class（UOPIX）回报</t>
  </si>
  <si>
    <t>UltraBull ProFund Investor Shares（ULPIX） Adj Close</t>
  </si>
  <si>
    <t>UltraBull ProFund Investor Shares（ULPIX）回报</t>
  </si>
  <si>
    <t>EEM Adj Close</t>
  </si>
  <si>
    <t>EEM回报</t>
  </si>
  <si>
    <t>GLD Adj Close</t>
  </si>
  <si>
    <t>GLD回报</t>
  </si>
  <si>
    <t>HYG Adj Close</t>
  </si>
  <si>
    <t>HYG回报</t>
  </si>
  <si>
    <t>TIP Adj Close</t>
  </si>
  <si>
    <t>TIP回报</t>
  </si>
  <si>
    <t>XLF Adj Close</t>
  </si>
  <si>
    <t>XLF回报</t>
  </si>
  <si>
    <t>FXY Adj Close</t>
  </si>
  <si>
    <t>FXY回报</t>
  </si>
  <si>
    <t>GDX Adj Close</t>
  </si>
  <si>
    <t>GDX回报</t>
  </si>
  <si>
    <t>XLC Adj Close</t>
  </si>
  <si>
    <t>XLC回报</t>
  </si>
  <si>
    <t>VIX_Chg%</t>
  </si>
  <si>
    <t>VIX&gt;0 且 该基金当日回报&lt;=-2%，买基金第二天</t>
  </si>
  <si>
    <t>HYG&lt;0 且 TIP&gt;0，买基金第二天</t>
  </si>
  <si>
    <t>EEM&gt;0 且 GLD&lt;0 且 HYG&gt;0，买基金第二天</t>
  </si>
  <si>
    <t>Ultra NASDAQ-100 ProFunds Investor Class（UOPIX）合并效果</t>
  </si>
  <si>
    <t>GDX&gt;0 且 XLC&lt;0，买基金第二天</t>
  </si>
  <si>
    <t>XLF&lt;=-1% 且 该基金当日回报&lt;0，买基金第二天</t>
  </si>
  <si>
    <t>FXY&gt;0 且 GDX&gt;0，买基金第二天</t>
  </si>
  <si>
    <t>UltraBull ProFund Investor Shares（ULPIX）合并效果</t>
  </si>
  <si>
    <t>2026/08/04</t>
  </si>
  <si>
    <t/>
  </si>
  <si>
    <t>2026/08/03</t>
  </si>
  <si>
    <t>2026/07/31</t>
  </si>
  <si>
    <t>2026/07/30</t>
  </si>
  <si>
    <t>2026/07/29</t>
  </si>
  <si>
    <t>2026/07/28</t>
  </si>
  <si>
    <t>2026/07/27</t>
  </si>
  <si>
    <t>2026/07/24</t>
  </si>
  <si>
    <t>2026/07/23</t>
  </si>
  <si>
    <t>2026/07/22</t>
  </si>
  <si>
    <t>2026/07/21</t>
  </si>
  <si>
    <t>2026/07/20</t>
  </si>
  <si>
    <t>2026/07/17</t>
  </si>
  <si>
    <t>2026/07/16</t>
  </si>
  <si>
    <t>2026/07/15</t>
  </si>
  <si>
    <t>2026/07/14</t>
  </si>
  <si>
    <t>2026/07/13</t>
  </si>
  <si>
    <t>2026/07/10</t>
  </si>
  <si>
    <t>2026/07/09</t>
  </si>
  <si>
    <t>2026/07/08</t>
  </si>
  <si>
    <t>2026/07/07</t>
  </si>
  <si>
    <t>2026/07/06</t>
  </si>
  <si>
    <t>2026/07/02</t>
  </si>
  <si>
    <t>2026/07/01</t>
  </si>
  <si>
    <t>2026/06/30</t>
  </si>
  <si>
    <t>2026/06/29</t>
  </si>
  <si>
    <t>2026/06/26</t>
  </si>
  <si>
    <t>2026/06/25</t>
  </si>
  <si>
    <t>2026/06/24</t>
  </si>
  <si>
    <t>2026/06/23</t>
  </si>
  <si>
    <t>2026/06/22</t>
  </si>
  <si>
    <t>2026/06/18</t>
  </si>
  <si>
    <t>2026/06/17</t>
  </si>
  <si>
    <t>2026/06/16</t>
  </si>
  <si>
    <t>2026/06/15</t>
  </si>
  <si>
    <t>2026/06/12</t>
  </si>
  <si>
    <t>2026/06/11</t>
  </si>
  <si>
    <t>2026/06/10</t>
  </si>
  <si>
    <t>2026/06/09</t>
  </si>
  <si>
    <t>2026/06/08</t>
  </si>
  <si>
    <t>2026/06/05</t>
  </si>
  <si>
    <t>2026/06/04</t>
  </si>
  <si>
    <t>2026/06/03</t>
  </si>
  <si>
    <t>2026/06/02</t>
  </si>
  <si>
    <t>2026/06/01</t>
  </si>
  <si>
    <t>2026/05/29</t>
  </si>
  <si>
    <t>2026/05/28</t>
  </si>
  <si>
    <t>2026/05/27</t>
  </si>
  <si>
    <t>2026/05/26</t>
  </si>
  <si>
    <t>2026/05/22</t>
  </si>
  <si>
    <t>2026/05/21</t>
  </si>
  <si>
    <t>2026/05/20</t>
  </si>
  <si>
    <t>2026/05/19</t>
  </si>
  <si>
    <t>2026/05/18</t>
  </si>
  <si>
    <t>2026/05/15</t>
  </si>
  <si>
    <t>2026/05/14</t>
  </si>
  <si>
    <t>2026/05/13</t>
  </si>
  <si>
    <t>2026/05/12</t>
  </si>
  <si>
    <t>2026/05/11</t>
  </si>
  <si>
    <t>2026/05/08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</si>
</sst>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9"/>
      <name val="Arial"/>
      <charset val="134"/>
    </font>
    <font>
      <sz val="9"/>
      <name val="Arial"/>
      <charset val="134"/>
    </font>
    <font>
      <b/>
      <sz val="14"/>
      <name val="Arial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0" fillId="0" borderId="0" xfId="0" applyFill="1"/>
    <xf numFmtId="0" fontId="1" fillId="0" borderId="0" xfId="0" applyFont="1"/>
    <xf numFmtId="0" fontId="2" fillId="0" borderId="0" xfId="0" applyFont="1"/>
    <xf numFmtId="0" fontId="2" fillId="0" borderId="0" xfId="0" applyFont="1" applyFill="1"/>
    <xf numFmtId="0" fontId="1" fillId="2" borderId="1" xfId="0" applyFont="1" applyFill="1" applyBorder="1" applyAlignment="1">
      <alignment vertical="top" wrapText="1"/>
    </xf>
    <xf numFmtId="0" fontId="2" fillId="0" borderId="1" xfId="0" applyFont="1" applyBorder="1"/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0"/>
  <sheetViews>
    <sheetView workbookViewId="0">
      <selection activeCell="A12" sqref="$A11:$XFD12"/>
    </sheetView>
  </sheetViews>
  <sheetFormatPr defaultColWidth="9" defaultRowHeight="14"/>
  <cols>
    <col min="1" max="1" width="110" customWidth="1"/>
  </cols>
  <sheetData>
    <row r="1" ht="18" spans="1:1">
      <c r="A1" s="7" t="s">
        <v>0</v>
      </c>
    </row>
    <row r="3" spans="1:1">
      <c r="A3" t="s">
        <v>1</v>
      </c>
    </row>
    <row r="4" spans="1:1">
      <c r="A4" t="s">
        <v>2</v>
      </c>
    </row>
    <row r="5" spans="1:1">
      <c r="A5" t="s">
        <v>3</v>
      </c>
    </row>
    <row r="6" spans="1:1">
      <c r="A6" t="s">
        <v>4</v>
      </c>
    </row>
    <row r="7" spans="1:1">
      <c r="A7" t="s">
        <v>5</v>
      </c>
    </row>
    <row r="8" spans="1:1">
      <c r="A8" t="s">
        <v>6</v>
      </c>
    </row>
    <row r="9" spans="1:1">
      <c r="A9" t="s">
        <v>7</v>
      </c>
    </row>
    <row r="10" spans="1:1">
      <c r="A10" t="s">
        <v>8</v>
      </c>
    </row>
    <row r="11" spans="1:1">
      <c r="A11" t="s">
        <v>9</v>
      </c>
    </row>
    <row r="12" spans="1:1">
      <c r="A12" t="s">
        <v>10</v>
      </c>
    </row>
    <row r="13" spans="1:1">
      <c r="A13" t="s">
        <v>11</v>
      </c>
    </row>
    <row r="14" spans="1:1">
      <c r="A14" t="s">
        <v>12</v>
      </c>
    </row>
    <row r="15" spans="1:1">
      <c r="A15" t="s">
        <v>13</v>
      </c>
    </row>
    <row r="16" spans="1:1">
      <c r="A16" t="s">
        <v>14</v>
      </c>
    </row>
    <row r="17" spans="1:1">
      <c r="A17" t="s">
        <v>15</v>
      </c>
    </row>
    <row r="18" spans="1:1">
      <c r="A18" t="s">
        <v>16</v>
      </c>
    </row>
    <row r="19" spans="1:1">
      <c r="A19" t="s">
        <v>17</v>
      </c>
    </row>
    <row r="20" spans="1:1">
      <c r="A20" t="s">
        <v>18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D73"/>
  <sheetViews>
    <sheetView tabSelected="1" workbookViewId="0">
      <pane xSplit="1" ySplit="13" topLeftCell="B14" activePane="bottomRight" state="frozen"/>
      <selection/>
      <selection pane="topRight"/>
      <selection pane="bottomLeft"/>
      <selection pane="bottomRight" activeCell="A12" sqref="$A11:$XFD12"/>
    </sheetView>
  </sheetViews>
  <sheetFormatPr defaultColWidth="9" defaultRowHeight="14"/>
  <cols>
    <col min="1" max="1" width="12" customWidth="1"/>
    <col min="2" max="30" width="16" customWidth="1"/>
  </cols>
  <sheetData>
    <row r="2" spans="1:30">
      <c r="A2" s="2" t="s">
        <v>19</v>
      </c>
      <c r="B2" s="3">
        <f t="shared" ref="B2:AD2" si="0">B3/(B3+B4)</f>
        <v>1</v>
      </c>
      <c r="C2" s="3">
        <f t="shared" si="0"/>
        <v>0.508474576271186</v>
      </c>
      <c r="D2" s="3">
        <f t="shared" si="0"/>
        <v>1</v>
      </c>
      <c r="E2" s="3">
        <f t="shared" si="0"/>
        <v>0.551724137931034</v>
      </c>
      <c r="F2" s="3">
        <f t="shared" si="0"/>
        <v>1</v>
      </c>
      <c r="G2" s="3">
        <f t="shared" si="0"/>
        <v>0.525423728813559</v>
      </c>
      <c r="H2" s="3">
        <f t="shared" si="0"/>
        <v>1</v>
      </c>
      <c r="I2" s="3">
        <f t="shared" si="0"/>
        <v>0.508474576271186</v>
      </c>
      <c r="J2" s="3">
        <f t="shared" si="0"/>
        <v>1</v>
      </c>
      <c r="K2" s="3">
        <f t="shared" si="0"/>
        <v>0.508771929824561</v>
      </c>
      <c r="L2" s="3">
        <f t="shared" si="0"/>
        <v>1</v>
      </c>
      <c r="M2" s="3">
        <f t="shared" si="0"/>
        <v>0.517857142857143</v>
      </c>
      <c r="N2" s="3">
        <f t="shared" si="0"/>
        <v>1</v>
      </c>
      <c r="O2" s="3">
        <f t="shared" si="0"/>
        <v>0.593220338983051</v>
      </c>
      <c r="P2" s="3">
        <f t="shared" si="0"/>
        <v>1</v>
      </c>
      <c r="Q2" s="3">
        <f t="shared" si="0"/>
        <v>0.305084745762712</v>
      </c>
      <c r="R2" s="3">
        <f t="shared" si="0"/>
        <v>1</v>
      </c>
      <c r="S2" s="3">
        <f t="shared" si="0"/>
        <v>0.406779661016949</v>
      </c>
      <c r="T2" s="3">
        <f t="shared" si="0"/>
        <v>1</v>
      </c>
      <c r="U2" s="3">
        <f t="shared" si="0"/>
        <v>0.517241379310345</v>
      </c>
      <c r="V2" s="3">
        <f t="shared" si="0"/>
        <v>0.415094339622642</v>
      </c>
      <c r="W2" s="3">
        <f t="shared" si="0"/>
        <v>0.461538461538462</v>
      </c>
      <c r="X2" s="3">
        <f t="shared" si="0"/>
        <v>0.857142857142857</v>
      </c>
      <c r="Y2" s="3">
        <f t="shared" si="0"/>
        <v>0.714285714285714</v>
      </c>
      <c r="Z2" s="3">
        <f t="shared" si="0"/>
        <v>0.64</v>
      </c>
      <c r="AA2" s="3">
        <f t="shared" si="0"/>
        <v>0.5</v>
      </c>
      <c r="AB2" s="3">
        <f t="shared" si="0"/>
        <v>1</v>
      </c>
      <c r="AC2" s="3">
        <f t="shared" si="0"/>
        <v>0.769230769230769</v>
      </c>
      <c r="AD2" s="3">
        <f t="shared" si="0"/>
        <v>0.695652173913043</v>
      </c>
    </row>
    <row r="3" spans="1:30">
      <c r="A3" s="2" t="s">
        <v>20</v>
      </c>
      <c r="B3" s="3">
        <f t="shared" ref="B3:AD3" si="1">COUNTIF(B14:B73,"&gt;0")</f>
        <v>60</v>
      </c>
      <c r="C3" s="3">
        <f t="shared" si="1"/>
        <v>30</v>
      </c>
      <c r="D3" s="3">
        <f t="shared" si="1"/>
        <v>60</v>
      </c>
      <c r="E3" s="3">
        <f t="shared" si="1"/>
        <v>32</v>
      </c>
      <c r="F3" s="3">
        <f t="shared" si="1"/>
        <v>60</v>
      </c>
      <c r="G3" s="3">
        <f t="shared" si="1"/>
        <v>31</v>
      </c>
      <c r="H3" s="3">
        <f t="shared" si="1"/>
        <v>60</v>
      </c>
      <c r="I3" s="3">
        <f t="shared" si="1"/>
        <v>30</v>
      </c>
      <c r="J3" s="3">
        <f t="shared" si="1"/>
        <v>60</v>
      </c>
      <c r="K3" s="3">
        <f t="shared" si="1"/>
        <v>29</v>
      </c>
      <c r="L3" s="3">
        <f t="shared" si="1"/>
        <v>60</v>
      </c>
      <c r="M3" s="3">
        <f t="shared" si="1"/>
        <v>29</v>
      </c>
      <c r="N3" s="3">
        <f t="shared" si="1"/>
        <v>60</v>
      </c>
      <c r="O3" s="3">
        <f t="shared" si="1"/>
        <v>35</v>
      </c>
      <c r="P3" s="3">
        <f t="shared" si="1"/>
        <v>60</v>
      </c>
      <c r="Q3" s="3">
        <f t="shared" si="1"/>
        <v>18</v>
      </c>
      <c r="R3" s="3">
        <f t="shared" si="1"/>
        <v>60</v>
      </c>
      <c r="S3" s="3">
        <f t="shared" si="1"/>
        <v>24</v>
      </c>
      <c r="T3" s="3">
        <f t="shared" si="1"/>
        <v>60</v>
      </c>
      <c r="U3" s="3">
        <f t="shared" si="1"/>
        <v>30</v>
      </c>
      <c r="V3" s="3">
        <f t="shared" si="1"/>
        <v>22</v>
      </c>
      <c r="W3" s="3">
        <f t="shared" si="1"/>
        <v>6</v>
      </c>
      <c r="X3" s="3">
        <f t="shared" si="1"/>
        <v>6</v>
      </c>
      <c r="Y3" s="3">
        <f t="shared" si="1"/>
        <v>5</v>
      </c>
      <c r="Z3" s="3">
        <f t="shared" si="1"/>
        <v>16</v>
      </c>
      <c r="AA3" s="3">
        <f t="shared" si="1"/>
        <v>5</v>
      </c>
      <c r="AB3" s="3">
        <f t="shared" si="1"/>
        <v>4</v>
      </c>
      <c r="AC3" s="3">
        <f t="shared" si="1"/>
        <v>10</v>
      </c>
      <c r="AD3" s="3">
        <f t="shared" si="1"/>
        <v>16</v>
      </c>
    </row>
    <row r="4" spans="1:30">
      <c r="A4" s="2" t="s">
        <v>21</v>
      </c>
      <c r="B4" s="3">
        <f t="shared" ref="B4:AD4" si="2">COUNTIF(B14:B73,"&lt;0")</f>
        <v>0</v>
      </c>
      <c r="C4" s="3">
        <f t="shared" si="2"/>
        <v>29</v>
      </c>
      <c r="D4" s="3">
        <f t="shared" si="2"/>
        <v>0</v>
      </c>
      <c r="E4" s="3">
        <f t="shared" si="2"/>
        <v>26</v>
      </c>
      <c r="F4" s="3">
        <f t="shared" si="2"/>
        <v>0</v>
      </c>
      <c r="G4" s="3">
        <f t="shared" si="2"/>
        <v>28</v>
      </c>
      <c r="H4" s="3">
        <f t="shared" si="2"/>
        <v>0</v>
      </c>
      <c r="I4" s="3">
        <f t="shared" si="2"/>
        <v>29</v>
      </c>
      <c r="J4" s="3">
        <f t="shared" si="2"/>
        <v>0</v>
      </c>
      <c r="K4" s="3">
        <f t="shared" si="2"/>
        <v>28</v>
      </c>
      <c r="L4" s="3">
        <f t="shared" si="2"/>
        <v>0</v>
      </c>
      <c r="M4" s="3">
        <f t="shared" si="2"/>
        <v>27</v>
      </c>
      <c r="N4" s="3">
        <f t="shared" si="2"/>
        <v>0</v>
      </c>
      <c r="O4" s="3">
        <f t="shared" si="2"/>
        <v>24</v>
      </c>
      <c r="P4" s="3">
        <f t="shared" si="2"/>
        <v>0</v>
      </c>
      <c r="Q4" s="3">
        <f t="shared" si="2"/>
        <v>41</v>
      </c>
      <c r="R4" s="3">
        <f t="shared" si="2"/>
        <v>0</v>
      </c>
      <c r="S4" s="3">
        <f t="shared" si="2"/>
        <v>35</v>
      </c>
      <c r="T4" s="3">
        <f t="shared" si="2"/>
        <v>0</v>
      </c>
      <c r="U4" s="3">
        <f t="shared" si="2"/>
        <v>28</v>
      </c>
      <c r="V4" s="3">
        <f t="shared" si="2"/>
        <v>31</v>
      </c>
      <c r="W4" s="3">
        <f t="shared" si="2"/>
        <v>7</v>
      </c>
      <c r="X4" s="3">
        <f t="shared" si="2"/>
        <v>1</v>
      </c>
      <c r="Y4" s="3">
        <f t="shared" si="2"/>
        <v>2</v>
      </c>
      <c r="Z4" s="3">
        <f t="shared" si="2"/>
        <v>9</v>
      </c>
      <c r="AA4" s="3">
        <f t="shared" si="2"/>
        <v>5</v>
      </c>
      <c r="AB4" s="3">
        <f t="shared" si="2"/>
        <v>0</v>
      </c>
      <c r="AC4" s="3">
        <f t="shared" si="2"/>
        <v>3</v>
      </c>
      <c r="AD4" s="3">
        <f t="shared" si="2"/>
        <v>7</v>
      </c>
    </row>
    <row r="5" spans="1:30">
      <c r="A5" s="2" t="s">
        <v>22</v>
      </c>
      <c r="B5" s="3">
        <f t="shared" ref="B5:AD5" si="3">AVERAGE(B14:B73)</f>
        <v>162.486833333333</v>
      </c>
      <c r="C5" s="3">
        <f t="shared" si="3"/>
        <v>0.0636188118993959</v>
      </c>
      <c r="D5" s="3">
        <f t="shared" si="3"/>
        <v>182.355166666667</v>
      </c>
      <c r="E5" s="3">
        <f t="shared" si="3"/>
        <v>0.14301251803692</v>
      </c>
      <c r="F5" s="3">
        <f t="shared" si="3"/>
        <v>66.3193866666666</v>
      </c>
      <c r="G5" s="3">
        <f t="shared" si="3"/>
        <v>-0.0165308447384862</v>
      </c>
      <c r="H5" s="3">
        <f t="shared" si="3"/>
        <v>390.272</v>
      </c>
      <c r="I5" s="3">
        <f t="shared" si="3"/>
        <v>-0.239310709267933</v>
      </c>
      <c r="J5" s="3">
        <f t="shared" si="3"/>
        <v>79.0488816666667</v>
      </c>
      <c r="K5" s="3">
        <f t="shared" si="3"/>
        <v>0.0124188178277136</v>
      </c>
      <c r="L5" s="3">
        <f t="shared" si="3"/>
        <v>107.452358333333</v>
      </c>
      <c r="M5" s="3">
        <f t="shared" si="3"/>
        <v>-0.0188254316472314</v>
      </c>
      <c r="N5" s="3">
        <f t="shared" si="3"/>
        <v>53.8297583333333</v>
      </c>
      <c r="O5" s="3">
        <f t="shared" si="3"/>
        <v>0.216436609967166</v>
      </c>
      <c r="P5" s="3">
        <f t="shared" si="3"/>
        <v>57.113</v>
      </c>
      <c r="Q5" s="3">
        <f t="shared" si="3"/>
        <v>-0.0119971517983512</v>
      </c>
      <c r="R5" s="3">
        <f t="shared" si="3"/>
        <v>80.5575</v>
      </c>
      <c r="S5" s="3">
        <f t="shared" si="3"/>
        <v>-0.27913462238716</v>
      </c>
      <c r="T5" s="3">
        <f t="shared" si="3"/>
        <v>111.450706666667</v>
      </c>
      <c r="U5" s="3">
        <f t="shared" si="3"/>
        <v>-0.0607424198622693</v>
      </c>
      <c r="V5" s="3">
        <f t="shared" si="3"/>
        <v>0.483015094339623</v>
      </c>
      <c r="W5" s="3">
        <f t="shared" si="3"/>
        <v>0.0766458588030953</v>
      </c>
      <c r="X5" s="3">
        <f t="shared" si="3"/>
        <v>1.65296571128864</v>
      </c>
      <c r="Y5" s="3">
        <f t="shared" si="3"/>
        <v>1.21445469508991</v>
      </c>
      <c r="Z5" s="3">
        <f t="shared" si="3"/>
        <v>0.999758387961028</v>
      </c>
      <c r="AA5" s="3">
        <f t="shared" si="3"/>
        <v>0.261697352896996</v>
      </c>
      <c r="AB5" s="3">
        <f t="shared" si="3"/>
        <v>1.96498487488224</v>
      </c>
      <c r="AC5" s="3">
        <f t="shared" si="3"/>
        <v>0.378695794818821</v>
      </c>
      <c r="AD5" s="3">
        <f t="shared" si="3"/>
        <v>0.618859936950004</v>
      </c>
    </row>
    <row r="6" spans="1:30">
      <c r="A6" s="2" t="s">
        <v>23</v>
      </c>
      <c r="B6" s="3">
        <f t="shared" ref="B6:AD6" si="4">MAX(B14:B73)</f>
        <v>178.58</v>
      </c>
      <c r="C6" s="3">
        <f t="shared" si="4"/>
        <v>6.67635306937886</v>
      </c>
      <c r="D6" s="3">
        <f t="shared" si="4"/>
        <v>194.03</v>
      </c>
      <c r="E6" s="3">
        <f t="shared" si="4"/>
        <v>3.57104729369062</v>
      </c>
      <c r="F6" s="3">
        <f t="shared" si="4"/>
        <v>71.21</v>
      </c>
      <c r="G6" s="3">
        <f t="shared" si="4"/>
        <v>4.39217917566384</v>
      </c>
      <c r="H6" s="3">
        <f t="shared" si="4"/>
        <v>434.65</v>
      </c>
      <c r="I6" s="3">
        <f t="shared" si="4"/>
        <v>3.1341769448449</v>
      </c>
      <c r="J6" s="3">
        <f t="shared" si="4"/>
        <v>79.55</v>
      </c>
      <c r="K6" s="3">
        <f t="shared" si="4"/>
        <v>0.642694560241419</v>
      </c>
      <c r="L6" s="3">
        <f t="shared" si="4"/>
        <v>108.2608</v>
      </c>
      <c r="M6" s="3">
        <f t="shared" si="4"/>
        <v>0.398622161937934</v>
      </c>
      <c r="N6" s="3">
        <f t="shared" si="4"/>
        <v>57.88</v>
      </c>
      <c r="O6" s="3">
        <f t="shared" si="4"/>
        <v>2.59486629159402</v>
      </c>
      <c r="P6" s="3">
        <f t="shared" si="4"/>
        <v>58.6</v>
      </c>
      <c r="Q6" s="3">
        <f t="shared" si="4"/>
        <v>2.58328879387135</v>
      </c>
      <c r="R6" s="3">
        <f t="shared" si="4"/>
        <v>97.6</v>
      </c>
      <c r="S6" s="3">
        <f t="shared" si="4"/>
        <v>6.54754467074847</v>
      </c>
      <c r="T6" s="3">
        <f t="shared" si="4"/>
        <v>116.8061</v>
      </c>
      <c r="U6" s="3">
        <f t="shared" si="4"/>
        <v>2.86400591278642</v>
      </c>
      <c r="V6" s="3">
        <f t="shared" si="4"/>
        <v>39.6753</v>
      </c>
      <c r="W6" s="3">
        <f t="shared" si="4"/>
        <v>6.56867845993758</v>
      </c>
      <c r="X6" s="3">
        <f t="shared" si="4"/>
        <v>6.67635306937886</v>
      </c>
      <c r="Y6" s="3">
        <f t="shared" si="4"/>
        <v>3.80989787902595</v>
      </c>
      <c r="Z6" s="3">
        <f t="shared" si="4"/>
        <v>6.67635306937886</v>
      </c>
      <c r="AA6" s="3">
        <f t="shared" si="4"/>
        <v>3.32632278060658</v>
      </c>
      <c r="AB6" s="3">
        <f t="shared" si="4"/>
        <v>3.30840046029919</v>
      </c>
      <c r="AC6" s="3">
        <f t="shared" si="4"/>
        <v>3.57104729369062</v>
      </c>
      <c r="AD6" s="3">
        <f t="shared" si="4"/>
        <v>3.57104729369062</v>
      </c>
    </row>
    <row r="7" spans="1:30">
      <c r="A7" s="2" t="s">
        <v>24</v>
      </c>
      <c r="B7" s="3">
        <f t="shared" ref="B7:AD7" si="5">MIN(B14:B73)</f>
        <v>137.65</v>
      </c>
      <c r="C7" s="3">
        <f t="shared" si="5"/>
        <v>-9.56120880997098</v>
      </c>
      <c r="D7" s="3">
        <f t="shared" si="5"/>
        <v>172.89</v>
      </c>
      <c r="E7" s="3">
        <f t="shared" si="5"/>
        <v>-5.26901669758812</v>
      </c>
      <c r="F7" s="3">
        <f t="shared" si="5"/>
        <v>61.07</v>
      </c>
      <c r="G7" s="3">
        <f t="shared" si="5"/>
        <v>-6.52680211862496</v>
      </c>
      <c r="H7" s="3">
        <f t="shared" si="5"/>
        <v>364.96</v>
      </c>
      <c r="I7" s="3">
        <f t="shared" si="5"/>
        <v>-4.14555504375863</v>
      </c>
      <c r="J7" s="3">
        <f t="shared" si="5"/>
        <v>78.202</v>
      </c>
      <c r="K7" s="3">
        <f t="shared" si="5"/>
        <v>-0.501026205870925</v>
      </c>
      <c r="L7" s="3">
        <f t="shared" si="5"/>
        <v>106.6077</v>
      </c>
      <c r="M7" s="3">
        <f t="shared" si="5"/>
        <v>-0.665109770450478</v>
      </c>
      <c r="N7" s="3">
        <f t="shared" si="5"/>
        <v>50.6924</v>
      </c>
      <c r="O7" s="3">
        <f t="shared" si="5"/>
        <v>-1.92685102586976</v>
      </c>
      <c r="P7" s="3">
        <f t="shared" si="5"/>
        <v>56</v>
      </c>
      <c r="Q7" s="3">
        <f t="shared" si="5"/>
        <v>-0.632133450395078</v>
      </c>
      <c r="R7" s="3">
        <f t="shared" si="5"/>
        <v>70.74</v>
      </c>
      <c r="S7" s="3">
        <f t="shared" si="5"/>
        <v>-8.75</v>
      </c>
      <c r="T7" s="3">
        <f t="shared" si="5"/>
        <v>105.38</v>
      </c>
      <c r="U7" s="3">
        <f t="shared" si="5"/>
        <v>-3.49816849816851</v>
      </c>
      <c r="V7" s="3">
        <f t="shared" si="5"/>
        <v>-12.5113</v>
      </c>
      <c r="W7" s="3">
        <f t="shared" si="5"/>
        <v>-3.97801786048836</v>
      </c>
      <c r="X7" s="3">
        <f t="shared" si="5"/>
        <v>-3.80803651870983</v>
      </c>
      <c r="Y7" s="3">
        <f t="shared" si="5"/>
        <v>-3.97801786048836</v>
      </c>
      <c r="Z7" s="3">
        <f t="shared" si="5"/>
        <v>-3.97801786048836</v>
      </c>
      <c r="AA7" s="3">
        <f t="shared" si="5"/>
        <v>-2.45009570686354</v>
      </c>
      <c r="AB7" s="3">
        <f t="shared" si="5"/>
        <v>0.812269545235944</v>
      </c>
      <c r="AC7" s="3">
        <f t="shared" si="5"/>
        <v>-5.26901669758812</v>
      </c>
      <c r="AD7" s="3">
        <f t="shared" si="5"/>
        <v>-5.26901669758812</v>
      </c>
    </row>
    <row r="8" spans="1:30">
      <c r="A8" s="2" t="s">
        <v>25</v>
      </c>
      <c r="B8" s="3">
        <f t="shared" ref="B8:AD8" si="6">COUNT(B14:B73)</f>
        <v>60</v>
      </c>
      <c r="C8" s="3">
        <f t="shared" si="6"/>
        <v>59</v>
      </c>
      <c r="D8" s="3">
        <f t="shared" si="6"/>
        <v>60</v>
      </c>
      <c r="E8" s="3">
        <f t="shared" si="6"/>
        <v>59</v>
      </c>
      <c r="F8" s="3">
        <f t="shared" si="6"/>
        <v>60</v>
      </c>
      <c r="G8" s="3">
        <f t="shared" si="6"/>
        <v>59</v>
      </c>
      <c r="H8" s="3">
        <f t="shared" si="6"/>
        <v>60</v>
      </c>
      <c r="I8" s="3">
        <f t="shared" si="6"/>
        <v>59</v>
      </c>
      <c r="J8" s="3">
        <f t="shared" si="6"/>
        <v>60</v>
      </c>
      <c r="K8" s="3">
        <f t="shared" si="6"/>
        <v>59</v>
      </c>
      <c r="L8" s="3">
        <f t="shared" si="6"/>
        <v>60</v>
      </c>
      <c r="M8" s="3">
        <f t="shared" si="6"/>
        <v>59</v>
      </c>
      <c r="N8" s="3">
        <f t="shared" si="6"/>
        <v>60</v>
      </c>
      <c r="O8" s="3">
        <f t="shared" si="6"/>
        <v>59</v>
      </c>
      <c r="P8" s="3">
        <f t="shared" si="6"/>
        <v>60</v>
      </c>
      <c r="Q8" s="3">
        <f t="shared" si="6"/>
        <v>59</v>
      </c>
      <c r="R8" s="3">
        <f t="shared" si="6"/>
        <v>60</v>
      </c>
      <c r="S8" s="3">
        <f t="shared" si="6"/>
        <v>59</v>
      </c>
      <c r="T8" s="3">
        <f t="shared" si="6"/>
        <v>60</v>
      </c>
      <c r="U8" s="3">
        <f t="shared" si="6"/>
        <v>59</v>
      </c>
      <c r="V8" s="3">
        <f t="shared" si="6"/>
        <v>53</v>
      </c>
      <c r="W8" s="3">
        <f t="shared" si="6"/>
        <v>13</v>
      </c>
      <c r="X8" s="3">
        <f t="shared" si="6"/>
        <v>7</v>
      </c>
      <c r="Y8" s="3">
        <f t="shared" si="6"/>
        <v>7</v>
      </c>
      <c r="Z8" s="3">
        <f t="shared" si="6"/>
        <v>25</v>
      </c>
      <c r="AA8" s="3">
        <f t="shared" si="6"/>
        <v>10</v>
      </c>
      <c r="AB8" s="3">
        <f t="shared" si="6"/>
        <v>4</v>
      </c>
      <c r="AC8" s="3">
        <f t="shared" si="6"/>
        <v>13</v>
      </c>
      <c r="AD8" s="3">
        <f t="shared" si="6"/>
        <v>23</v>
      </c>
    </row>
    <row r="9" spans="1:30">
      <c r="A9" s="2" t="s">
        <v>26</v>
      </c>
      <c r="B9" s="3">
        <f t="shared" ref="B9:AD9" si="7">STDEV(B14:B73)</f>
        <v>8.76440073882604</v>
      </c>
      <c r="C9" s="3">
        <f t="shared" si="7"/>
        <v>3.29963590191436</v>
      </c>
      <c r="D9" s="3">
        <f t="shared" si="7"/>
        <v>4.09415146800138</v>
      </c>
      <c r="E9" s="3">
        <f t="shared" si="7"/>
        <v>1.77418832887971</v>
      </c>
      <c r="F9" s="3">
        <f t="shared" si="7"/>
        <v>2.15956320383188</v>
      </c>
      <c r="G9" s="3">
        <f t="shared" si="7"/>
        <v>2.19131807972441</v>
      </c>
      <c r="H9" s="3">
        <f t="shared" si="7"/>
        <v>21.2842991228873</v>
      </c>
      <c r="I9" s="3">
        <f t="shared" si="7"/>
        <v>1.48725577308081</v>
      </c>
      <c r="J9" s="3">
        <f t="shared" si="7"/>
        <v>0.280852860017885</v>
      </c>
      <c r="K9" s="3">
        <f t="shared" si="7"/>
        <v>0.22125089753832</v>
      </c>
      <c r="L9" s="3">
        <f t="shared" si="7"/>
        <v>0.417749052597762</v>
      </c>
      <c r="M9" s="3">
        <f t="shared" si="7"/>
        <v>0.218872320702964</v>
      </c>
      <c r="N9" s="3">
        <f t="shared" si="7"/>
        <v>2.26340012275605</v>
      </c>
      <c r="O9" s="3">
        <f t="shared" si="7"/>
        <v>0.875084930349941</v>
      </c>
      <c r="P9" s="3">
        <f t="shared" si="7"/>
        <v>0.688125185694028</v>
      </c>
      <c r="Q9" s="3">
        <f t="shared" si="7"/>
        <v>0.468568479354966</v>
      </c>
      <c r="R9" s="3">
        <f t="shared" si="7"/>
        <v>6.98066715887893</v>
      </c>
      <c r="S9" s="3">
        <f t="shared" si="7"/>
        <v>3.14437246733156</v>
      </c>
      <c r="T9" s="3">
        <f t="shared" si="7"/>
        <v>3.2840061418875</v>
      </c>
      <c r="U9" s="3">
        <f t="shared" si="7"/>
        <v>1.22334389690501</v>
      </c>
      <c r="V9" s="3">
        <f t="shared" si="7"/>
        <v>8.51287864291501</v>
      </c>
      <c r="W9" s="3">
        <f t="shared" si="7"/>
        <v>3.27711654044051</v>
      </c>
      <c r="X9" s="3">
        <f t="shared" si="7"/>
        <v>3.3300150028484</v>
      </c>
      <c r="Y9" s="3">
        <f t="shared" si="7"/>
        <v>2.78647614495149</v>
      </c>
      <c r="Z9" s="3">
        <f t="shared" si="7"/>
        <v>3.10044390204383</v>
      </c>
      <c r="AA9" s="3">
        <f t="shared" si="7"/>
        <v>1.62237034234706</v>
      </c>
      <c r="AB9" s="3">
        <f t="shared" si="7"/>
        <v>1.04462512282327</v>
      </c>
      <c r="AC9" s="3">
        <f t="shared" si="7"/>
        <v>2.18930261095352</v>
      </c>
      <c r="AD9" s="3">
        <f t="shared" si="7"/>
        <v>1.94230118292004</v>
      </c>
    </row>
    <row r="10" spans="1:30">
      <c r="A10" s="2" t="s">
        <v>27</v>
      </c>
      <c r="B10" s="3">
        <f t="shared" ref="B10:AD10" si="8">SUM(B14:B73)</f>
        <v>9749.21</v>
      </c>
      <c r="C10" s="3">
        <f t="shared" si="8"/>
        <v>3.75350990206436</v>
      </c>
      <c r="D10" s="3">
        <f t="shared" si="8"/>
        <v>10941.31</v>
      </c>
      <c r="E10" s="3">
        <f t="shared" si="8"/>
        <v>8.43773856417829</v>
      </c>
      <c r="F10" s="3">
        <f t="shared" si="8"/>
        <v>3979.1632</v>
      </c>
      <c r="G10" s="3">
        <f t="shared" si="8"/>
        <v>-0.975319839570687</v>
      </c>
      <c r="H10" s="3">
        <f t="shared" si="8"/>
        <v>23416.32</v>
      </c>
      <c r="I10" s="3">
        <f t="shared" si="8"/>
        <v>-14.119331846808</v>
      </c>
      <c r="J10" s="3">
        <f t="shared" si="8"/>
        <v>4742.9329</v>
      </c>
      <c r="K10" s="3">
        <f t="shared" si="8"/>
        <v>0.7327102518351</v>
      </c>
      <c r="L10" s="3">
        <f t="shared" si="8"/>
        <v>6447.1415</v>
      </c>
      <c r="M10" s="3">
        <f t="shared" si="8"/>
        <v>-1.11070046718665</v>
      </c>
      <c r="N10" s="3">
        <f t="shared" si="8"/>
        <v>3229.7855</v>
      </c>
      <c r="O10" s="3">
        <f t="shared" si="8"/>
        <v>12.7697599880628</v>
      </c>
      <c r="P10" s="3">
        <f t="shared" si="8"/>
        <v>3426.78</v>
      </c>
      <c r="Q10" s="3">
        <f t="shared" si="8"/>
        <v>-0.707831956102722</v>
      </c>
      <c r="R10" s="3">
        <f t="shared" si="8"/>
        <v>4833.45</v>
      </c>
      <c r="S10" s="3">
        <f t="shared" si="8"/>
        <v>-16.4689427208424</v>
      </c>
      <c r="T10" s="3">
        <f t="shared" si="8"/>
        <v>6687.0424</v>
      </c>
      <c r="U10" s="3">
        <f t="shared" si="8"/>
        <v>-3.58380277187389</v>
      </c>
      <c r="V10" s="3">
        <f t="shared" si="8"/>
        <v>25.5998</v>
      </c>
      <c r="W10" s="3">
        <f t="shared" si="8"/>
        <v>0.996396164440239</v>
      </c>
      <c r="X10" s="3">
        <f t="shared" si="8"/>
        <v>11.5707599790205</v>
      </c>
      <c r="Y10" s="3">
        <f t="shared" si="8"/>
        <v>8.5011828656294</v>
      </c>
      <c r="Z10" s="3">
        <f t="shared" si="8"/>
        <v>24.9939596990257</v>
      </c>
      <c r="AA10" s="3">
        <f t="shared" si="8"/>
        <v>2.61697352896996</v>
      </c>
      <c r="AB10" s="3">
        <f t="shared" si="8"/>
        <v>7.85993949952895</v>
      </c>
      <c r="AC10" s="3">
        <f t="shared" si="8"/>
        <v>4.92304533264467</v>
      </c>
      <c r="AD10" s="3">
        <f t="shared" si="8"/>
        <v>14.2337785498501</v>
      </c>
    </row>
    <row r="11" s="1" customFormat="1" spans="1:30">
      <c r="W11" s="4">
        <v>0</v>
      </c>
      <c r="X11" s="4">
        <v>0</v>
      </c>
      <c r="Y11" s="4">
        <v>0</v>
      </c>
      <c r="AA11" s="4">
        <v>0</v>
      </c>
      <c r="AB11" s="4">
        <v>-1</v>
      </c>
      <c r="AC11" s="4">
        <v>0</v>
      </c>
    </row>
    <row r="12" s="1" customFormat="1" spans="1:30">
      <c r="W12" s="4">
        <v>-2</v>
      </c>
      <c r="X12" s="4">
        <v>0</v>
      </c>
      <c r="Y12" s="4">
        <v>0</v>
      </c>
      <c r="AA12" s="4">
        <v>0</v>
      </c>
      <c r="AB12" s="4">
        <v>0</v>
      </c>
      <c r="AC12" s="4">
        <v>0</v>
      </c>
    </row>
    <row r="13" ht="47" spans="1:30">
      <c r="A13" s="5" t="s">
        <v>28</v>
      </c>
      <c r="B13" s="5" t="s">
        <v>29</v>
      </c>
      <c r="C13" s="5" t="s">
        <v>30</v>
      </c>
      <c r="D13" s="5" t="s">
        <v>31</v>
      </c>
      <c r="E13" s="5" t="s">
        <v>32</v>
      </c>
      <c r="F13" s="5" t="s">
        <v>33</v>
      </c>
      <c r="G13" s="5" t="s">
        <v>34</v>
      </c>
      <c r="H13" s="5" t="s">
        <v>35</v>
      </c>
      <c r="I13" s="5" t="s">
        <v>36</v>
      </c>
      <c r="J13" s="5" t="s">
        <v>37</v>
      </c>
      <c r="K13" s="5" t="s">
        <v>38</v>
      </c>
      <c r="L13" s="5" t="s">
        <v>39</v>
      </c>
      <c r="M13" s="5" t="s">
        <v>40</v>
      </c>
      <c r="N13" s="5" t="s">
        <v>41</v>
      </c>
      <c r="O13" s="5" t="s">
        <v>42</v>
      </c>
      <c r="P13" s="5" t="s">
        <v>43</v>
      </c>
      <c r="Q13" s="5" t="s">
        <v>44</v>
      </c>
      <c r="R13" s="5" t="s">
        <v>45</v>
      </c>
      <c r="S13" s="5" t="s">
        <v>46</v>
      </c>
      <c r="T13" s="5" t="s">
        <v>47</v>
      </c>
      <c r="U13" s="5" t="s">
        <v>48</v>
      </c>
      <c r="V13" s="5" t="s">
        <v>49</v>
      </c>
      <c r="W13" s="5" t="s">
        <v>50</v>
      </c>
      <c r="X13" s="5" t="s">
        <v>51</v>
      </c>
      <c r="Y13" s="5" t="s">
        <v>52</v>
      </c>
      <c r="Z13" s="5" t="s">
        <v>53</v>
      </c>
      <c r="AA13" s="5" t="s">
        <v>54</v>
      </c>
      <c r="AB13" s="5" t="s">
        <v>55</v>
      </c>
      <c r="AC13" s="5" t="s">
        <v>56</v>
      </c>
      <c r="AD13" s="5" t="s">
        <v>57</v>
      </c>
    </row>
    <row r="14" spans="1:30">
      <c r="A14" s="6" t="s">
        <v>58</v>
      </c>
      <c r="B14" s="6">
        <v>164.02</v>
      </c>
      <c r="C14" s="6">
        <f t="shared" ref="C14:C72" si="9">IF(COUNT(B14:B15)=2,(B14/B15-1)*100,"")</f>
        <v>6.64499349804941</v>
      </c>
      <c r="D14" s="6">
        <v>194.03</v>
      </c>
      <c r="E14" s="6">
        <f t="shared" ref="E14:E72" si="10">IF(COUNT(D14:D15)=2,(D14/D15-1)*100,"")</f>
        <v>3.57104729369062</v>
      </c>
      <c r="F14" s="6">
        <v>66</v>
      </c>
      <c r="G14" s="6">
        <f t="shared" ref="G14:G72" si="11">IF(COUNT(F14:F15)=2,(F14/F15-1)*100,"")</f>
        <v>2.61194029850746</v>
      </c>
      <c r="H14" s="6">
        <v>374.16</v>
      </c>
      <c r="I14" s="6">
        <f t="shared" ref="I14:I72" si="12">IF(COUNT(H14:H15)=2,(H14/H15-1)*100,"")</f>
        <v>0.659115977509361</v>
      </c>
      <c r="J14" s="6">
        <v>79.55</v>
      </c>
      <c r="K14" s="6">
        <f t="shared" ref="K14:K72" si="13">IF(COUNT(J14:J15)=2,(J14/J15-1)*100,"")</f>
        <v>0.302610011347859</v>
      </c>
      <c r="L14" s="6">
        <v>107.05</v>
      </c>
      <c r="M14" s="6">
        <f t="shared" ref="M14:M72" si="14">IF(COUNT(L14:L15)=2,(L14/L15-1)*100,"")</f>
        <v>0.177802732547261</v>
      </c>
      <c r="N14" s="6">
        <v>57.88</v>
      </c>
      <c r="O14" s="6">
        <f t="shared" ref="O14:O72" si="15">IF(COUNT(N14:N15)=2,(N14/N15-1)*100,"")</f>
        <v>0.871383757406763</v>
      </c>
      <c r="P14" s="6">
        <v>58.15</v>
      </c>
      <c r="Q14" s="6">
        <f t="shared" ref="Q14:Q72" si="16">IF(COUNT(P14:P15)=2,(P14/P15-1)*100,"")</f>
        <v>-0.598290598290596</v>
      </c>
      <c r="R14" s="6">
        <v>77.92</v>
      </c>
      <c r="S14" s="6">
        <f t="shared" ref="S14:S72" si="17">IF(COUNT(R14:R15)=2,(R14/R15-1)*100,"")</f>
        <v>2.45890861275477</v>
      </c>
      <c r="T14" s="6">
        <v>112.04</v>
      </c>
      <c r="U14" s="6">
        <f t="shared" ref="U14:U72" si="18">IF(COUNT(T14:T15)=2,(T14/T15-1)*100,"")</f>
        <v>0.628704867971974</v>
      </c>
      <c r="V14" s="6"/>
      <c r="W14" s="6" t="s">
        <v>59</v>
      </c>
      <c r="X14" s="6" t="s">
        <v>59</v>
      </c>
      <c r="Y14" s="6" t="s">
        <v>59</v>
      </c>
      <c r="Z14" s="6" t="str">
        <f t="shared" ref="Z14:Z73" si="19">IF(W14&lt;&gt;"",W14,IF(X14&lt;&gt;"",X14,Y14))</f>
        <v/>
      </c>
      <c r="AA14" s="6" t="s">
        <v>59</v>
      </c>
      <c r="AB14" s="6" t="s">
        <v>59</v>
      </c>
      <c r="AC14" s="6" t="s">
        <v>59</v>
      </c>
      <c r="AD14" s="6" t="str">
        <f t="shared" ref="AD14:AD73" si="20">IF(AA14&lt;&gt;"",AA14,IF(AB14&lt;&gt;"",AB14,AC14))</f>
        <v/>
      </c>
    </row>
    <row r="15" spans="1:30">
      <c r="A15" s="6" t="s">
        <v>60</v>
      </c>
      <c r="B15" s="6">
        <v>153.8</v>
      </c>
      <c r="C15" s="6">
        <f t="shared" si="9"/>
        <v>3.49932705248992</v>
      </c>
      <c r="D15" s="6">
        <v>187.34</v>
      </c>
      <c r="E15" s="6">
        <f t="shared" si="10"/>
        <v>2.90579511123317</v>
      </c>
      <c r="F15" s="6">
        <v>64.32</v>
      </c>
      <c r="G15" s="6">
        <f t="shared" si="11"/>
        <v>0.358870338586348</v>
      </c>
      <c r="H15" s="6">
        <v>371.71</v>
      </c>
      <c r="I15" s="6">
        <f t="shared" si="12"/>
        <v>0.0457555041179836</v>
      </c>
      <c r="J15" s="6">
        <v>79.31</v>
      </c>
      <c r="K15" s="6">
        <f t="shared" si="13"/>
        <v>0.270557297461305</v>
      </c>
      <c r="L15" s="6">
        <v>106.86</v>
      </c>
      <c r="M15" s="6">
        <f t="shared" si="14"/>
        <v>0.0131029706306185</v>
      </c>
      <c r="N15" s="6">
        <v>57.38</v>
      </c>
      <c r="O15" s="6">
        <f t="shared" si="15"/>
        <v>0.772743238496676</v>
      </c>
      <c r="P15" s="6">
        <v>58.5</v>
      </c>
      <c r="Q15" s="6">
        <f t="shared" si="16"/>
        <v>1.45681581685744</v>
      </c>
      <c r="R15" s="6">
        <v>76.05</v>
      </c>
      <c r="S15" s="6">
        <f t="shared" si="17"/>
        <v>2.63157894736843</v>
      </c>
      <c r="T15" s="6">
        <v>111.34</v>
      </c>
      <c r="U15" s="6">
        <f t="shared" si="18"/>
        <v>2.86400591278642</v>
      </c>
      <c r="V15" s="6"/>
      <c r="W15" s="6" t="str">
        <f t="shared" ref="W15:W73" si="21">IF(AND(V15&gt;$W$11,C15&lt;=$W$12),C14,"")</f>
        <v/>
      </c>
      <c r="X15" s="6" t="str">
        <f t="shared" ref="X15:X73" si="22">IF(AND(K15&lt;$X$11,M15&gt;$X$12),C14,"")</f>
        <v/>
      </c>
      <c r="Y15" s="6" t="str">
        <f t="shared" ref="Y15:Y73" si="23">IF(AND(G15&gt;$Y$11,I15&lt;$Y$12,K15&gt;$Y$12),C14,"")</f>
        <v/>
      </c>
      <c r="Z15" s="6" t="str">
        <f t="shared" si="19"/>
        <v/>
      </c>
      <c r="AA15" s="6" t="str">
        <f t="shared" ref="AA15:AA73" si="24">IF(AND(S15&gt;$AA$11,U15&lt;$AA$12),E14,"")</f>
        <v/>
      </c>
      <c r="AB15" s="6" t="str">
        <f t="shared" ref="AB15:AB73" si="25">IF(AND(O15&lt;=$AB$11,E15&lt;$AB$12),E14,"")</f>
        <v/>
      </c>
      <c r="AC15" s="6">
        <f t="shared" ref="AC15:AC73" si="26">IF(AND(Q15&gt;$AC$11,S15&gt;$AC$12),E14,"")</f>
        <v>3.57104729369062</v>
      </c>
      <c r="AD15" s="6">
        <f t="shared" si="20"/>
        <v>3.57104729369062</v>
      </c>
    </row>
    <row r="16" spans="1:30">
      <c r="A16" s="6" t="s">
        <v>61</v>
      </c>
      <c r="B16" s="6">
        <v>148.6</v>
      </c>
      <c r="C16" s="6">
        <f t="shared" si="9"/>
        <v>1.19858349223645</v>
      </c>
      <c r="D16" s="6">
        <v>182.05</v>
      </c>
      <c r="E16" s="6">
        <f t="shared" si="10"/>
        <v>1.39236981342243</v>
      </c>
      <c r="F16" s="6">
        <v>64.09</v>
      </c>
      <c r="G16" s="6">
        <f t="shared" si="11"/>
        <v>0.786287152067944</v>
      </c>
      <c r="H16" s="6">
        <v>371.54</v>
      </c>
      <c r="I16" s="6">
        <f t="shared" si="12"/>
        <v>-1.49008378407042</v>
      </c>
      <c r="J16" s="6">
        <v>79.096</v>
      </c>
      <c r="K16" s="6">
        <f t="shared" si="13"/>
        <v>0.0126444629896527</v>
      </c>
      <c r="L16" s="6">
        <v>106.846</v>
      </c>
      <c r="M16" s="6">
        <f t="shared" si="14"/>
        <v>-0.102098822684638</v>
      </c>
      <c r="N16" s="6">
        <v>56.94</v>
      </c>
      <c r="O16" s="6">
        <f t="shared" si="15"/>
        <v>-0.105263157894742</v>
      </c>
      <c r="P16" s="6">
        <v>57.66</v>
      </c>
      <c r="Q16" s="6">
        <f t="shared" si="16"/>
        <v>0.138937130948236</v>
      </c>
      <c r="R16" s="6">
        <v>74.1</v>
      </c>
      <c r="S16" s="6">
        <f t="shared" si="17"/>
        <v>-3.49049231570723</v>
      </c>
      <c r="T16" s="6">
        <v>108.24</v>
      </c>
      <c r="U16" s="6">
        <f t="shared" si="18"/>
        <v>1.55751548132859</v>
      </c>
      <c r="V16" s="6"/>
      <c r="W16" s="6" t="str">
        <f t="shared" si="21"/>
        <v/>
      </c>
      <c r="X16" s="6" t="str">
        <f t="shared" si="22"/>
        <v/>
      </c>
      <c r="Y16" s="6">
        <f t="shared" si="23"/>
        <v>3.49932705248992</v>
      </c>
      <c r="Z16" s="6">
        <f t="shared" si="19"/>
        <v>3.49932705248992</v>
      </c>
      <c r="AA16" s="6" t="str">
        <f t="shared" si="24"/>
        <v/>
      </c>
      <c r="AB16" s="6" t="str">
        <f t="shared" si="25"/>
        <v/>
      </c>
      <c r="AC16" s="6" t="str">
        <f t="shared" si="26"/>
        <v/>
      </c>
      <c r="AD16" s="6" t="str">
        <f t="shared" si="20"/>
        <v/>
      </c>
    </row>
    <row r="17" spans="1:30">
      <c r="A17" s="6" t="s">
        <v>62</v>
      </c>
      <c r="B17" s="6">
        <v>146.84</v>
      </c>
      <c r="C17" s="6">
        <f t="shared" si="9"/>
        <v>6.67635306937886</v>
      </c>
      <c r="D17" s="6">
        <v>179.55</v>
      </c>
      <c r="E17" s="6">
        <f t="shared" si="10"/>
        <v>3.30840046029919</v>
      </c>
      <c r="F17" s="6">
        <v>63.59</v>
      </c>
      <c r="G17" s="6">
        <f t="shared" si="11"/>
        <v>4.12641231373834</v>
      </c>
      <c r="H17" s="6">
        <v>377.16</v>
      </c>
      <c r="I17" s="6">
        <f t="shared" si="12"/>
        <v>1.63846070928102</v>
      </c>
      <c r="J17" s="6">
        <v>79.086</v>
      </c>
      <c r="K17" s="6">
        <f t="shared" si="13"/>
        <v>0.290144717286434</v>
      </c>
      <c r="L17" s="6">
        <v>106.9552</v>
      </c>
      <c r="M17" s="6">
        <f t="shared" si="14"/>
        <v>-0.027854372108238</v>
      </c>
      <c r="N17" s="6">
        <v>57</v>
      </c>
      <c r="O17" s="6">
        <f t="shared" si="15"/>
        <v>0.564573041637262</v>
      </c>
      <c r="P17" s="6">
        <v>57.58</v>
      </c>
      <c r="Q17" s="6">
        <f t="shared" si="16"/>
        <v>2.58328879387135</v>
      </c>
      <c r="R17" s="6">
        <v>76.78</v>
      </c>
      <c r="S17" s="6">
        <f t="shared" si="17"/>
        <v>4.36319151828193</v>
      </c>
      <c r="T17" s="6">
        <v>106.58</v>
      </c>
      <c r="U17" s="6">
        <f t="shared" si="18"/>
        <v>-2.67555474385901</v>
      </c>
      <c r="V17" s="6"/>
      <c r="W17" s="6" t="str">
        <f t="shared" si="21"/>
        <v/>
      </c>
      <c r="X17" s="6" t="str">
        <f t="shared" si="22"/>
        <v/>
      </c>
      <c r="Y17" s="6" t="str">
        <f t="shared" si="23"/>
        <v/>
      </c>
      <c r="Z17" s="6" t="str">
        <f t="shared" si="19"/>
        <v/>
      </c>
      <c r="AA17" s="6">
        <f t="shared" si="24"/>
        <v>1.39236981342243</v>
      </c>
      <c r="AB17" s="6" t="str">
        <f t="shared" si="25"/>
        <v/>
      </c>
      <c r="AC17" s="6">
        <f t="shared" si="26"/>
        <v>1.39236981342243</v>
      </c>
      <c r="AD17" s="6">
        <f t="shared" si="20"/>
        <v>1.39236981342243</v>
      </c>
    </row>
    <row r="18" spans="1:30">
      <c r="A18" s="6" t="s">
        <v>63</v>
      </c>
      <c r="B18" s="6">
        <v>137.65</v>
      </c>
      <c r="C18" s="6">
        <f t="shared" si="9"/>
        <v>-4.12342411367277</v>
      </c>
      <c r="D18" s="6">
        <v>173.8</v>
      </c>
      <c r="E18" s="6">
        <f t="shared" si="10"/>
        <v>-3.06207819733392</v>
      </c>
      <c r="F18" s="6">
        <v>61.07</v>
      </c>
      <c r="G18" s="6">
        <f t="shared" si="11"/>
        <v>-2.06863373957665</v>
      </c>
      <c r="H18" s="6">
        <v>371.08</v>
      </c>
      <c r="I18" s="6">
        <f t="shared" si="12"/>
        <v>0.462950429109021</v>
      </c>
      <c r="J18" s="6">
        <v>78.8572</v>
      </c>
      <c r="K18" s="6">
        <f t="shared" si="13"/>
        <v>-0.226604737316893</v>
      </c>
      <c r="L18" s="6">
        <v>106.985</v>
      </c>
      <c r="M18" s="6">
        <f t="shared" si="14"/>
        <v>0.10217467378022</v>
      </c>
      <c r="N18" s="6">
        <v>56.68</v>
      </c>
      <c r="O18" s="6">
        <f t="shared" si="15"/>
        <v>-1.59722222222223</v>
      </c>
      <c r="P18" s="6">
        <v>56.13</v>
      </c>
      <c r="Q18" s="6">
        <f t="shared" si="16"/>
        <v>0.232142857142859</v>
      </c>
      <c r="R18" s="6">
        <v>73.57</v>
      </c>
      <c r="S18" s="6">
        <f t="shared" si="17"/>
        <v>-0.862417463953646</v>
      </c>
      <c r="T18" s="6">
        <v>109.51</v>
      </c>
      <c r="U18" s="6">
        <f t="shared" si="18"/>
        <v>-0.145892222120902</v>
      </c>
      <c r="V18" s="6"/>
      <c r="W18" s="6" t="str">
        <f t="shared" si="21"/>
        <v/>
      </c>
      <c r="X18" s="6">
        <f t="shared" si="22"/>
        <v>6.67635306937886</v>
      </c>
      <c r="Y18" s="6" t="str">
        <f t="shared" si="23"/>
        <v/>
      </c>
      <c r="Z18" s="6">
        <f t="shared" si="19"/>
        <v>6.67635306937886</v>
      </c>
      <c r="AA18" s="6" t="str">
        <f t="shared" si="24"/>
        <v/>
      </c>
      <c r="AB18" s="6">
        <f t="shared" si="25"/>
        <v>3.30840046029919</v>
      </c>
      <c r="AC18" s="6" t="str">
        <f t="shared" si="26"/>
        <v/>
      </c>
      <c r="AD18" s="6">
        <f t="shared" si="20"/>
        <v>3.30840046029919</v>
      </c>
    </row>
    <row r="19" spans="1:30">
      <c r="A19" s="6" t="s">
        <v>64</v>
      </c>
      <c r="B19" s="6">
        <v>143.57</v>
      </c>
      <c r="C19" s="6">
        <f t="shared" si="9"/>
        <v>-1.97323501297284</v>
      </c>
      <c r="D19" s="6">
        <v>179.29</v>
      </c>
      <c r="E19" s="6">
        <f t="shared" si="10"/>
        <v>0.420073933012199</v>
      </c>
      <c r="F19" s="6">
        <v>62.36</v>
      </c>
      <c r="G19" s="6">
        <f t="shared" si="11"/>
        <v>-1.98050927381326</v>
      </c>
      <c r="H19" s="6">
        <v>369.37</v>
      </c>
      <c r="I19" s="6">
        <f t="shared" si="12"/>
        <v>-1.40405199797133</v>
      </c>
      <c r="J19" s="6">
        <v>79.0363</v>
      </c>
      <c r="K19" s="6">
        <f t="shared" si="13"/>
        <v>0.189258052657593</v>
      </c>
      <c r="L19" s="6">
        <v>106.8758</v>
      </c>
      <c r="M19" s="6">
        <f t="shared" si="14"/>
        <v>0.251482772820344</v>
      </c>
      <c r="N19" s="6">
        <v>57.6</v>
      </c>
      <c r="O19" s="6">
        <f t="shared" si="15"/>
        <v>1.26582278481013</v>
      </c>
      <c r="P19" s="6">
        <v>56</v>
      </c>
      <c r="Q19" s="6">
        <f t="shared" si="16"/>
        <v>-0.0178539546509482</v>
      </c>
      <c r="R19" s="6">
        <v>74.21</v>
      </c>
      <c r="S19" s="6">
        <f t="shared" si="17"/>
        <v>-2.00713059553679</v>
      </c>
      <c r="T19" s="6">
        <v>109.67</v>
      </c>
      <c r="U19" s="6">
        <f t="shared" si="18"/>
        <v>1.86698866802899</v>
      </c>
      <c r="V19" s="6"/>
      <c r="W19" s="6" t="str">
        <f t="shared" si="21"/>
        <v/>
      </c>
      <c r="X19" s="6" t="str">
        <f t="shared" si="22"/>
        <v/>
      </c>
      <c r="Y19" s="6" t="str">
        <f t="shared" si="23"/>
        <v/>
      </c>
      <c r="Z19" s="6" t="str">
        <f t="shared" si="19"/>
        <v/>
      </c>
      <c r="AA19" s="6" t="str">
        <f t="shared" si="24"/>
        <v/>
      </c>
      <c r="AB19" s="6" t="str">
        <f t="shared" si="25"/>
        <v/>
      </c>
      <c r="AC19" s="6" t="str">
        <f t="shared" si="26"/>
        <v/>
      </c>
      <c r="AD19" s="6" t="str">
        <f t="shared" si="20"/>
        <v/>
      </c>
    </row>
    <row r="20" spans="1:30">
      <c r="A20" s="6" t="s">
        <v>65</v>
      </c>
      <c r="B20" s="6">
        <v>146.46</v>
      </c>
      <c r="C20" s="6">
        <f t="shared" si="9"/>
        <v>-0.684885061368412</v>
      </c>
      <c r="D20" s="6">
        <v>178.54</v>
      </c>
      <c r="E20" s="6">
        <f t="shared" si="10"/>
        <v>-0.0112007168458828</v>
      </c>
      <c r="F20" s="6">
        <v>63.62</v>
      </c>
      <c r="G20" s="6">
        <f t="shared" si="11"/>
        <v>0.457918837833571</v>
      </c>
      <c r="H20" s="6">
        <v>374.63</v>
      </c>
      <c r="I20" s="6">
        <f t="shared" si="12"/>
        <v>0.734068297929547</v>
      </c>
      <c r="J20" s="6">
        <v>78.887</v>
      </c>
      <c r="K20" s="6">
        <f t="shared" si="13"/>
        <v>0.0504773790318547</v>
      </c>
      <c r="L20" s="6">
        <v>106.6077</v>
      </c>
      <c r="M20" s="6">
        <f t="shared" si="14"/>
        <v>-0.102326810467701</v>
      </c>
      <c r="N20" s="6">
        <v>56.88</v>
      </c>
      <c r="O20" s="6">
        <f t="shared" si="15"/>
        <v>1.01225359616408</v>
      </c>
      <c r="P20" s="6">
        <v>56.01</v>
      </c>
      <c r="Q20" s="6">
        <f t="shared" si="16"/>
        <v>-0.0535331905781589</v>
      </c>
      <c r="R20" s="6">
        <v>75.73</v>
      </c>
      <c r="S20" s="6">
        <f t="shared" si="17"/>
        <v>0.664628472683759</v>
      </c>
      <c r="T20" s="6">
        <v>107.66</v>
      </c>
      <c r="U20" s="6">
        <f t="shared" si="18"/>
        <v>1.2793979303857</v>
      </c>
      <c r="V20" s="6"/>
      <c r="W20" s="6" t="str">
        <f t="shared" si="21"/>
        <v/>
      </c>
      <c r="X20" s="6" t="str">
        <f t="shared" si="22"/>
        <v/>
      </c>
      <c r="Y20" s="6" t="str">
        <f t="shared" si="23"/>
        <v/>
      </c>
      <c r="Z20" s="6" t="str">
        <f t="shared" si="19"/>
        <v/>
      </c>
      <c r="AA20" s="6" t="str">
        <f t="shared" si="24"/>
        <v/>
      </c>
      <c r="AB20" s="6" t="str">
        <f t="shared" si="25"/>
        <v/>
      </c>
      <c r="AC20" s="6" t="str">
        <f t="shared" si="26"/>
        <v/>
      </c>
      <c r="AD20" s="6" t="str">
        <f t="shared" si="20"/>
        <v/>
      </c>
    </row>
    <row r="21" spans="1:30">
      <c r="A21" s="6" t="s">
        <v>66</v>
      </c>
      <c r="B21" s="6">
        <v>147.47</v>
      </c>
      <c r="C21" s="6">
        <f t="shared" si="9"/>
        <v>-2.29892672585134</v>
      </c>
      <c r="D21" s="6">
        <v>178.56</v>
      </c>
      <c r="E21" s="6">
        <f t="shared" si="10"/>
        <v>0.106520154734535</v>
      </c>
      <c r="F21" s="6">
        <v>63.33</v>
      </c>
      <c r="G21" s="6">
        <f t="shared" si="11"/>
        <v>-1.96594427244582</v>
      </c>
      <c r="H21" s="6">
        <v>371.9</v>
      </c>
      <c r="I21" s="6">
        <f t="shared" si="12"/>
        <v>0.102282515073204</v>
      </c>
      <c r="J21" s="6">
        <v>78.8472</v>
      </c>
      <c r="K21" s="6">
        <f t="shared" si="13"/>
        <v>0</v>
      </c>
      <c r="L21" s="6">
        <v>106.7169</v>
      </c>
      <c r="M21" s="6">
        <f t="shared" si="14"/>
        <v>0.00927774185386365</v>
      </c>
      <c r="N21" s="6">
        <v>56.31</v>
      </c>
      <c r="O21" s="6">
        <f t="shared" si="15"/>
        <v>0.859752821063942</v>
      </c>
      <c r="P21" s="6">
        <v>56.04</v>
      </c>
      <c r="Q21" s="6">
        <f t="shared" si="16"/>
        <v>0.0535618639528668</v>
      </c>
      <c r="R21" s="6">
        <v>75.23</v>
      </c>
      <c r="S21" s="6">
        <f t="shared" si="17"/>
        <v>0.279925353239152</v>
      </c>
      <c r="T21" s="6">
        <v>106.3</v>
      </c>
      <c r="U21" s="6">
        <f t="shared" si="18"/>
        <v>0.873030935661423</v>
      </c>
      <c r="V21" s="6">
        <v>-0.6417</v>
      </c>
      <c r="W21" s="6" t="str">
        <f t="shared" si="21"/>
        <v/>
      </c>
      <c r="X21" s="6" t="str">
        <f t="shared" si="22"/>
        <v/>
      </c>
      <c r="Y21" s="6" t="str">
        <f t="shared" si="23"/>
        <v/>
      </c>
      <c r="Z21" s="6" t="str">
        <f t="shared" si="19"/>
        <v/>
      </c>
      <c r="AA21" s="6" t="str">
        <f t="shared" si="24"/>
        <v/>
      </c>
      <c r="AB21" s="6" t="str">
        <f t="shared" si="25"/>
        <v/>
      </c>
      <c r="AC21" s="6">
        <f t="shared" si="26"/>
        <v>-0.0112007168458828</v>
      </c>
      <c r="AD21" s="6">
        <f t="shared" si="20"/>
        <v>-0.0112007168458828</v>
      </c>
    </row>
    <row r="22" spans="1:30">
      <c r="A22" s="6" t="s">
        <v>67</v>
      </c>
      <c r="B22" s="6">
        <v>150.94</v>
      </c>
      <c r="C22" s="6">
        <f t="shared" si="9"/>
        <v>-3.78020016574234</v>
      </c>
      <c r="D22" s="6">
        <v>178.37</v>
      </c>
      <c r="E22" s="6">
        <f t="shared" si="10"/>
        <v>-2.45009570686354</v>
      </c>
      <c r="F22" s="6">
        <v>64.6</v>
      </c>
      <c r="G22" s="6">
        <f t="shared" si="11"/>
        <v>-0.600092321895673</v>
      </c>
      <c r="H22" s="6">
        <v>371.52</v>
      </c>
      <c r="I22" s="6">
        <f t="shared" si="12"/>
        <v>-2.00464232960541</v>
      </c>
      <c r="J22" s="6">
        <v>78.8472</v>
      </c>
      <c r="K22" s="6">
        <f t="shared" si="13"/>
        <v>-0.364689558960674</v>
      </c>
      <c r="L22" s="6">
        <v>106.707</v>
      </c>
      <c r="M22" s="6">
        <f t="shared" si="14"/>
        <v>-0.259849511613786</v>
      </c>
      <c r="N22" s="6">
        <v>55.83</v>
      </c>
      <c r="O22" s="6">
        <f t="shared" si="15"/>
        <v>-0.392506690454952</v>
      </c>
      <c r="P22" s="6">
        <v>56.01</v>
      </c>
      <c r="Q22" s="6">
        <f t="shared" si="16"/>
        <v>-0.391250222301265</v>
      </c>
      <c r="R22" s="6">
        <v>75.02</v>
      </c>
      <c r="S22" s="6">
        <f t="shared" si="17"/>
        <v>-2.16484089723528</v>
      </c>
      <c r="T22" s="6">
        <v>105.38</v>
      </c>
      <c r="U22" s="6">
        <f t="shared" si="18"/>
        <v>-3.49816849816851</v>
      </c>
      <c r="V22" s="6">
        <v>12.3798</v>
      </c>
      <c r="W22" s="6">
        <f t="shared" si="21"/>
        <v>-2.29892672585134</v>
      </c>
      <c r="X22" s="6" t="str">
        <f t="shared" si="22"/>
        <v/>
      </c>
      <c r="Y22" s="6" t="str">
        <f t="shared" si="23"/>
        <v/>
      </c>
      <c r="Z22" s="6">
        <f t="shared" si="19"/>
        <v>-2.29892672585134</v>
      </c>
      <c r="AA22" s="6" t="str">
        <f t="shared" si="24"/>
        <v/>
      </c>
      <c r="AB22" s="6" t="str">
        <f t="shared" si="25"/>
        <v/>
      </c>
      <c r="AC22" s="6" t="str">
        <f t="shared" si="26"/>
        <v/>
      </c>
      <c r="AD22" s="6" t="str">
        <f t="shared" si="20"/>
        <v/>
      </c>
    </row>
    <row r="23" spans="1:30">
      <c r="A23" s="6" t="s">
        <v>68</v>
      </c>
      <c r="B23" s="6">
        <v>156.87</v>
      </c>
      <c r="C23" s="6">
        <f t="shared" si="9"/>
        <v>-1.07832009080591</v>
      </c>
      <c r="D23" s="6">
        <v>182.85</v>
      </c>
      <c r="E23" s="6">
        <f t="shared" si="10"/>
        <v>-0.267263008617868</v>
      </c>
      <c r="F23" s="6">
        <v>64.99</v>
      </c>
      <c r="G23" s="6">
        <f t="shared" si="11"/>
        <v>-0.53565962656873</v>
      </c>
      <c r="H23" s="6">
        <v>379.12</v>
      </c>
      <c r="I23" s="6">
        <f t="shared" si="12"/>
        <v>1.14991595741842</v>
      </c>
      <c r="J23" s="6">
        <v>79.1358</v>
      </c>
      <c r="K23" s="6">
        <f t="shared" si="13"/>
        <v>-0.163249446162994</v>
      </c>
      <c r="L23" s="6">
        <v>106.985</v>
      </c>
      <c r="M23" s="6">
        <f t="shared" si="14"/>
        <v>-0.101966306298573</v>
      </c>
      <c r="N23" s="6">
        <v>56.05</v>
      </c>
      <c r="O23" s="6">
        <f t="shared" si="15"/>
        <v>-0.106932810550708</v>
      </c>
      <c r="P23" s="6">
        <v>56.23</v>
      </c>
      <c r="Q23" s="6">
        <f t="shared" si="16"/>
        <v>0.017787264318736</v>
      </c>
      <c r="R23" s="6">
        <v>76.68</v>
      </c>
      <c r="S23" s="6">
        <f t="shared" si="17"/>
        <v>3.35624747270522</v>
      </c>
      <c r="T23" s="6">
        <v>109.2</v>
      </c>
      <c r="U23" s="6">
        <f t="shared" si="18"/>
        <v>-0.754339725529396</v>
      </c>
      <c r="V23" s="6">
        <v>-2.4047</v>
      </c>
      <c r="W23" s="6" t="str">
        <f t="shared" si="21"/>
        <v/>
      </c>
      <c r="X23" s="6" t="str">
        <f t="shared" si="22"/>
        <v/>
      </c>
      <c r="Y23" s="6" t="str">
        <f t="shared" si="23"/>
        <v/>
      </c>
      <c r="Z23" s="6" t="str">
        <f t="shared" si="19"/>
        <v/>
      </c>
      <c r="AA23" s="6">
        <f t="shared" si="24"/>
        <v>-2.45009570686354</v>
      </c>
      <c r="AB23" s="6" t="str">
        <f t="shared" si="25"/>
        <v/>
      </c>
      <c r="AC23" s="6">
        <f t="shared" si="26"/>
        <v>-2.45009570686354</v>
      </c>
      <c r="AD23" s="6">
        <f t="shared" si="20"/>
        <v>-2.45009570686354</v>
      </c>
    </row>
    <row r="24" spans="1:30">
      <c r="A24" s="6" t="s">
        <v>69</v>
      </c>
      <c r="B24" s="6">
        <v>158.58</v>
      </c>
      <c r="C24" s="6">
        <f t="shared" si="9"/>
        <v>3.80989787902595</v>
      </c>
      <c r="D24" s="6">
        <v>183.34</v>
      </c>
      <c r="E24" s="6">
        <f t="shared" si="10"/>
        <v>1.72557287909894</v>
      </c>
      <c r="F24" s="6">
        <v>65.34</v>
      </c>
      <c r="G24" s="6">
        <f t="shared" si="11"/>
        <v>2.80050346129641</v>
      </c>
      <c r="H24" s="6">
        <v>374.81</v>
      </c>
      <c r="I24" s="6">
        <f t="shared" si="12"/>
        <v>1.9613710554951</v>
      </c>
      <c r="J24" s="6">
        <v>79.2652</v>
      </c>
      <c r="K24" s="6">
        <f t="shared" si="13"/>
        <v>-0.0375811841856422</v>
      </c>
      <c r="L24" s="6">
        <v>107.0942</v>
      </c>
      <c r="M24" s="6">
        <f t="shared" si="14"/>
        <v>-0.157277120048027</v>
      </c>
      <c r="N24" s="6">
        <v>56.11</v>
      </c>
      <c r="O24" s="6">
        <f t="shared" si="15"/>
        <v>0.124910778015708</v>
      </c>
      <c r="P24" s="6">
        <v>56.22</v>
      </c>
      <c r="Q24" s="6">
        <f t="shared" si="16"/>
        <v>-0.425079702444209</v>
      </c>
      <c r="R24" s="6">
        <v>74.19</v>
      </c>
      <c r="S24" s="6">
        <f t="shared" si="17"/>
        <v>4.87701441899915</v>
      </c>
      <c r="T24" s="6">
        <v>110.03</v>
      </c>
      <c r="U24" s="6">
        <f t="shared" si="18"/>
        <v>-0.69494584837545</v>
      </c>
      <c r="V24" s="6">
        <v>-8.5791</v>
      </c>
      <c r="W24" s="6" t="str">
        <f t="shared" si="21"/>
        <v/>
      </c>
      <c r="X24" s="6" t="str">
        <f t="shared" si="22"/>
        <v/>
      </c>
      <c r="Y24" s="6" t="str">
        <f t="shared" si="23"/>
        <v/>
      </c>
      <c r="Z24" s="6" t="str">
        <f t="shared" si="19"/>
        <v/>
      </c>
      <c r="AA24" s="6">
        <f t="shared" si="24"/>
        <v>-0.267263008617868</v>
      </c>
      <c r="AB24" s="6" t="str">
        <f t="shared" si="25"/>
        <v/>
      </c>
      <c r="AC24" s="6" t="str">
        <f t="shared" si="26"/>
        <v/>
      </c>
      <c r="AD24" s="6">
        <f t="shared" si="20"/>
        <v>-0.267263008617868</v>
      </c>
    </row>
    <row r="25" spans="1:30">
      <c r="A25" s="6" t="s">
        <v>70</v>
      </c>
      <c r="B25" s="6">
        <v>152.76</v>
      </c>
      <c r="C25" s="6">
        <f t="shared" si="9"/>
        <v>0.052397170552787</v>
      </c>
      <c r="D25" s="6">
        <v>180.23</v>
      </c>
      <c r="E25" s="6">
        <f t="shared" si="10"/>
        <v>-0.414410432091938</v>
      </c>
      <c r="F25" s="6">
        <v>63.56</v>
      </c>
      <c r="G25" s="6">
        <f t="shared" si="11"/>
        <v>0.426607678938229</v>
      </c>
      <c r="H25" s="6">
        <v>367.6</v>
      </c>
      <c r="I25" s="6">
        <f t="shared" si="12"/>
        <v>-0.21986373876931</v>
      </c>
      <c r="J25" s="6">
        <v>79.295</v>
      </c>
      <c r="K25" s="6">
        <f t="shared" si="13"/>
        <v>0.0375953129494455</v>
      </c>
      <c r="L25" s="6">
        <v>107.2629</v>
      </c>
      <c r="M25" s="6">
        <f t="shared" si="14"/>
        <v>-0.20319813772256</v>
      </c>
      <c r="N25" s="6">
        <v>56.04</v>
      </c>
      <c r="O25" s="6">
        <f t="shared" si="15"/>
        <v>-0.391041592605756</v>
      </c>
      <c r="P25" s="6">
        <v>56.46</v>
      </c>
      <c r="Q25" s="6">
        <f t="shared" si="16"/>
        <v>-0.0884799150592808</v>
      </c>
      <c r="R25" s="6">
        <v>70.74</v>
      </c>
      <c r="S25" s="6">
        <f t="shared" si="17"/>
        <v>-0.813236118900729</v>
      </c>
      <c r="T25" s="6">
        <v>110.8</v>
      </c>
      <c r="U25" s="6">
        <f t="shared" si="18"/>
        <v>0.135562584726601</v>
      </c>
      <c r="V25" s="6">
        <v>-0.6393</v>
      </c>
      <c r="W25" s="6" t="str">
        <f t="shared" si="21"/>
        <v/>
      </c>
      <c r="X25" s="6" t="str">
        <f t="shared" si="22"/>
        <v/>
      </c>
      <c r="Y25" s="6">
        <f t="shared" si="23"/>
        <v>3.80989787902595</v>
      </c>
      <c r="Z25" s="6">
        <f t="shared" si="19"/>
        <v>3.80989787902595</v>
      </c>
      <c r="AA25" s="6" t="str">
        <f t="shared" si="24"/>
        <v/>
      </c>
      <c r="AB25" s="6" t="str">
        <f t="shared" si="25"/>
        <v/>
      </c>
      <c r="AC25" s="6" t="str">
        <f t="shared" si="26"/>
        <v/>
      </c>
      <c r="AD25" s="6" t="str">
        <f t="shared" si="20"/>
        <v/>
      </c>
    </row>
    <row r="26" spans="1:30">
      <c r="A26" s="6" t="s">
        <v>71</v>
      </c>
      <c r="B26" s="6">
        <v>152.68</v>
      </c>
      <c r="C26" s="6">
        <f t="shared" si="9"/>
        <v>-3.00489168413696</v>
      </c>
      <c r="D26" s="6">
        <v>180.98</v>
      </c>
      <c r="E26" s="6">
        <f t="shared" si="10"/>
        <v>-2.02998971471878</v>
      </c>
      <c r="F26" s="6">
        <v>63.29</v>
      </c>
      <c r="G26" s="6">
        <f t="shared" si="11"/>
        <v>-1.40208755257828</v>
      </c>
      <c r="H26" s="6">
        <v>368.41</v>
      </c>
      <c r="I26" s="6">
        <f t="shared" si="12"/>
        <v>0.945309074967127</v>
      </c>
      <c r="J26" s="6">
        <v>79.2652</v>
      </c>
      <c r="K26" s="6">
        <f t="shared" si="13"/>
        <v>-0.188000931819765</v>
      </c>
      <c r="L26" s="6">
        <v>107.4813</v>
      </c>
      <c r="M26" s="6">
        <f t="shared" si="14"/>
        <v>0.277841272210755</v>
      </c>
      <c r="N26" s="6">
        <v>56.26</v>
      </c>
      <c r="O26" s="6">
        <f t="shared" si="15"/>
        <v>-0.863436123348016</v>
      </c>
      <c r="P26" s="6">
        <v>56.51</v>
      </c>
      <c r="Q26" s="6">
        <f t="shared" si="16"/>
        <v>0.106288751107164</v>
      </c>
      <c r="R26" s="6">
        <v>71.32</v>
      </c>
      <c r="S26" s="6">
        <f t="shared" si="17"/>
        <v>-0.112044817927193</v>
      </c>
      <c r="T26" s="6">
        <v>110.65</v>
      </c>
      <c r="U26" s="6">
        <f t="shared" si="18"/>
        <v>-1.77541056369286</v>
      </c>
      <c r="V26" s="6">
        <v>12.1937</v>
      </c>
      <c r="W26" s="6">
        <f t="shared" si="21"/>
        <v>0.052397170552787</v>
      </c>
      <c r="X26" s="6">
        <f t="shared" si="22"/>
        <v>0.052397170552787</v>
      </c>
      <c r="Y26" s="6" t="str">
        <f t="shared" si="23"/>
        <v/>
      </c>
      <c r="Z26" s="6">
        <f t="shared" si="19"/>
        <v>0.052397170552787</v>
      </c>
      <c r="AA26" s="6" t="str">
        <f t="shared" si="24"/>
        <v/>
      </c>
      <c r="AB26" s="6" t="str">
        <f t="shared" si="25"/>
        <v/>
      </c>
      <c r="AC26" s="6" t="str">
        <f t="shared" si="26"/>
        <v/>
      </c>
      <c r="AD26" s="6" t="str">
        <f t="shared" si="20"/>
        <v/>
      </c>
    </row>
    <row r="27" spans="1:30">
      <c r="A27" s="6" t="s">
        <v>72</v>
      </c>
      <c r="B27" s="6">
        <v>157.41</v>
      </c>
      <c r="C27" s="6">
        <f t="shared" si="9"/>
        <v>-3.25138291333743</v>
      </c>
      <c r="D27" s="6">
        <v>184.73</v>
      </c>
      <c r="E27" s="6">
        <f t="shared" si="10"/>
        <v>-1.03926715594365</v>
      </c>
      <c r="F27" s="6">
        <v>64.19</v>
      </c>
      <c r="G27" s="6">
        <f t="shared" si="11"/>
        <v>-2.1046210157084</v>
      </c>
      <c r="H27" s="6">
        <v>364.96</v>
      </c>
      <c r="I27" s="6">
        <f t="shared" si="12"/>
        <v>-1.98469182221029</v>
      </c>
      <c r="J27" s="6">
        <v>79.4145</v>
      </c>
      <c r="K27" s="6">
        <f t="shared" si="13"/>
        <v>-0.0124646833970399</v>
      </c>
      <c r="L27" s="6">
        <v>107.1835</v>
      </c>
      <c r="M27" s="6">
        <f t="shared" si="14"/>
        <v>-0.0925591054670494</v>
      </c>
      <c r="N27" s="6">
        <v>56.75</v>
      </c>
      <c r="O27" s="6">
        <f t="shared" si="15"/>
        <v>0.335926449787838</v>
      </c>
      <c r="P27" s="6">
        <v>56.45</v>
      </c>
      <c r="Q27" s="6">
        <f t="shared" si="16"/>
        <v>-0.141517778170874</v>
      </c>
      <c r="R27" s="6">
        <v>71.4</v>
      </c>
      <c r="S27" s="6">
        <f t="shared" si="17"/>
        <v>-3.51351351351351</v>
      </c>
      <c r="T27" s="6">
        <v>112.65</v>
      </c>
      <c r="U27" s="6">
        <f t="shared" si="18"/>
        <v>-0.643852531310629</v>
      </c>
      <c r="V27" s="6">
        <v>6.7645</v>
      </c>
      <c r="W27" s="6">
        <f t="shared" si="21"/>
        <v>-3.00489168413696</v>
      </c>
      <c r="X27" s="6" t="str">
        <f t="shared" si="22"/>
        <v/>
      </c>
      <c r="Y27" s="6" t="str">
        <f t="shared" si="23"/>
        <v/>
      </c>
      <c r="Z27" s="6">
        <f t="shared" si="19"/>
        <v>-3.00489168413696</v>
      </c>
      <c r="AA27" s="6" t="str">
        <f t="shared" si="24"/>
        <v/>
      </c>
      <c r="AB27" s="6" t="str">
        <f t="shared" si="25"/>
        <v/>
      </c>
      <c r="AC27" s="6" t="str">
        <f t="shared" si="26"/>
        <v/>
      </c>
      <c r="AD27" s="6" t="str">
        <f t="shared" si="20"/>
        <v/>
      </c>
    </row>
    <row r="28" spans="1:30">
      <c r="A28" s="6" t="s">
        <v>73</v>
      </c>
      <c r="B28" s="6">
        <v>162.7</v>
      </c>
      <c r="C28" s="6">
        <f t="shared" si="9"/>
        <v>-0.586581938164488</v>
      </c>
      <c r="D28" s="6">
        <v>186.67</v>
      </c>
      <c r="E28" s="6">
        <f t="shared" si="10"/>
        <v>0.75565391050898</v>
      </c>
      <c r="F28" s="6">
        <v>65.57</v>
      </c>
      <c r="G28" s="6">
        <f t="shared" si="11"/>
        <v>-0.152276534186091</v>
      </c>
      <c r="H28" s="6">
        <v>372.35</v>
      </c>
      <c r="I28" s="6">
        <f t="shared" si="12"/>
        <v>0.0537417707913601</v>
      </c>
      <c r="J28" s="6">
        <v>79.4244</v>
      </c>
      <c r="K28" s="6">
        <f t="shared" si="13"/>
        <v>0.163188095087974</v>
      </c>
      <c r="L28" s="6">
        <v>107.2828</v>
      </c>
      <c r="M28" s="6">
        <f t="shared" si="14"/>
        <v>0.0555849853389745</v>
      </c>
      <c r="N28" s="6">
        <v>56.56</v>
      </c>
      <c r="O28" s="6">
        <f t="shared" si="15"/>
        <v>0.676397294410824</v>
      </c>
      <c r="P28" s="6">
        <v>56.53</v>
      </c>
      <c r="Q28" s="6">
        <f t="shared" si="16"/>
        <v>-0.0707088562842517</v>
      </c>
      <c r="R28" s="6">
        <v>74</v>
      </c>
      <c r="S28" s="6">
        <f t="shared" si="17"/>
        <v>-1.17521367521367</v>
      </c>
      <c r="T28" s="6">
        <v>113.38</v>
      </c>
      <c r="U28" s="6">
        <f t="shared" si="18"/>
        <v>1.73171825930909</v>
      </c>
      <c r="V28" s="6">
        <v>-5.0303</v>
      </c>
      <c r="W28" s="6" t="str">
        <f t="shared" si="21"/>
        <v/>
      </c>
      <c r="X28" s="6" t="str">
        <f t="shared" si="22"/>
        <v/>
      </c>
      <c r="Y28" s="6" t="str">
        <f t="shared" si="23"/>
        <v/>
      </c>
      <c r="Z28" s="6" t="str">
        <f t="shared" si="19"/>
        <v/>
      </c>
      <c r="AA28" s="6" t="str">
        <f t="shared" si="24"/>
        <v/>
      </c>
      <c r="AB28" s="6" t="str">
        <f t="shared" si="25"/>
        <v/>
      </c>
      <c r="AC28" s="6" t="str">
        <f t="shared" si="26"/>
        <v/>
      </c>
      <c r="AD28" s="6" t="str">
        <f t="shared" si="20"/>
        <v/>
      </c>
    </row>
    <row r="29" spans="1:30">
      <c r="A29" s="6" t="s">
        <v>74</v>
      </c>
      <c r="B29" s="6">
        <v>163.66</v>
      </c>
      <c r="C29" s="6">
        <f t="shared" si="9"/>
        <v>2.19169528566967</v>
      </c>
      <c r="D29" s="6">
        <v>185.27</v>
      </c>
      <c r="E29" s="6">
        <f t="shared" si="10"/>
        <v>0.728538030772574</v>
      </c>
      <c r="F29" s="6">
        <v>65.67</v>
      </c>
      <c r="G29" s="6">
        <f t="shared" si="11"/>
        <v>1.8139534883721</v>
      </c>
      <c r="H29" s="6">
        <v>372.15</v>
      </c>
      <c r="I29" s="6">
        <f t="shared" si="12"/>
        <v>1.36736305940675</v>
      </c>
      <c r="J29" s="6">
        <v>79.295</v>
      </c>
      <c r="K29" s="6">
        <f t="shared" si="13"/>
        <v>0.201173173203539</v>
      </c>
      <c r="L29" s="6">
        <v>107.2232</v>
      </c>
      <c r="M29" s="6">
        <f t="shared" si="14"/>
        <v>0.0926029647884796</v>
      </c>
      <c r="N29" s="6">
        <v>56.18</v>
      </c>
      <c r="O29" s="6">
        <f t="shared" si="15"/>
        <v>0.196183342250755</v>
      </c>
      <c r="P29" s="6">
        <v>56.57</v>
      </c>
      <c r="Q29" s="6">
        <f t="shared" si="16"/>
        <v>0.1948281969536</v>
      </c>
      <c r="R29" s="6">
        <v>74.88</v>
      </c>
      <c r="S29" s="6">
        <f t="shared" si="17"/>
        <v>2.05806187815183</v>
      </c>
      <c r="T29" s="6">
        <v>111.45</v>
      </c>
      <c r="U29" s="6">
        <f t="shared" si="18"/>
        <v>-0.125459270543959</v>
      </c>
      <c r="V29" s="6">
        <v>-3.8462</v>
      </c>
      <c r="W29" s="6" t="str">
        <f t="shared" si="21"/>
        <v/>
      </c>
      <c r="X29" s="6" t="str">
        <f t="shared" si="22"/>
        <v/>
      </c>
      <c r="Y29" s="6" t="str">
        <f t="shared" si="23"/>
        <v/>
      </c>
      <c r="Z29" s="6" t="str">
        <f t="shared" si="19"/>
        <v/>
      </c>
      <c r="AA29" s="6">
        <f t="shared" si="24"/>
        <v>0.75565391050898</v>
      </c>
      <c r="AB29" s="6" t="str">
        <f t="shared" si="25"/>
        <v/>
      </c>
      <c r="AC29" s="6">
        <f t="shared" si="26"/>
        <v>0.75565391050898</v>
      </c>
      <c r="AD29" s="6">
        <f t="shared" si="20"/>
        <v>0.75565391050898</v>
      </c>
    </row>
    <row r="30" spans="1:30">
      <c r="A30" s="6" t="s">
        <v>75</v>
      </c>
      <c r="B30" s="6">
        <v>160.15</v>
      </c>
      <c r="C30" s="6">
        <f t="shared" si="9"/>
        <v>-3.80803651870983</v>
      </c>
      <c r="D30" s="6">
        <v>183.93</v>
      </c>
      <c r="E30" s="6">
        <f t="shared" si="10"/>
        <v>-1.61540518855308</v>
      </c>
      <c r="F30" s="6">
        <v>64.5</v>
      </c>
      <c r="G30" s="6">
        <f t="shared" si="11"/>
        <v>-3.58744394618835</v>
      </c>
      <c r="H30" s="6">
        <v>367.13</v>
      </c>
      <c r="I30" s="6">
        <f t="shared" si="12"/>
        <v>-2.62062014270178</v>
      </c>
      <c r="J30" s="6">
        <v>79.1358</v>
      </c>
      <c r="K30" s="6">
        <f t="shared" si="13"/>
        <v>-0.238386685643466</v>
      </c>
      <c r="L30" s="6">
        <v>107.124</v>
      </c>
      <c r="M30" s="6">
        <f t="shared" si="14"/>
        <v>-0.203461074095612</v>
      </c>
      <c r="N30" s="6">
        <v>56.07</v>
      </c>
      <c r="O30" s="6">
        <f t="shared" si="15"/>
        <v>0.646203554119551</v>
      </c>
      <c r="P30" s="6">
        <v>56.46</v>
      </c>
      <c r="Q30" s="6">
        <f t="shared" si="16"/>
        <v>-0.493479027141352</v>
      </c>
      <c r="R30" s="6">
        <v>73.37</v>
      </c>
      <c r="S30" s="6">
        <f t="shared" si="17"/>
        <v>-2.85979081159804</v>
      </c>
      <c r="T30" s="6">
        <v>111.59</v>
      </c>
      <c r="U30" s="6">
        <f t="shared" si="18"/>
        <v>-0.0447868147617325</v>
      </c>
      <c r="V30" s="6">
        <v>14.1717</v>
      </c>
      <c r="W30" s="6">
        <f t="shared" si="21"/>
        <v>2.19169528566967</v>
      </c>
      <c r="X30" s="6" t="str">
        <f t="shared" si="22"/>
        <v/>
      </c>
      <c r="Y30" s="6" t="str">
        <f t="shared" si="23"/>
        <v/>
      </c>
      <c r="Z30" s="6">
        <f t="shared" si="19"/>
        <v>2.19169528566967</v>
      </c>
      <c r="AA30" s="6" t="str">
        <f t="shared" si="24"/>
        <v/>
      </c>
      <c r="AB30" s="6" t="str">
        <f t="shared" si="25"/>
        <v/>
      </c>
      <c r="AC30" s="6" t="str">
        <f t="shared" si="26"/>
        <v/>
      </c>
      <c r="AD30" s="6" t="str">
        <f t="shared" si="20"/>
        <v/>
      </c>
    </row>
    <row r="31" spans="1:30">
      <c r="A31" s="6" t="s">
        <v>76</v>
      </c>
      <c r="B31" s="6">
        <v>166.49</v>
      </c>
      <c r="C31" s="6">
        <f t="shared" si="9"/>
        <v>0.640754397630428</v>
      </c>
      <c r="D31" s="6">
        <v>186.95</v>
      </c>
      <c r="E31" s="6">
        <f t="shared" si="10"/>
        <v>0.846909051677636</v>
      </c>
      <c r="F31" s="6">
        <v>66.9</v>
      </c>
      <c r="G31" s="6">
        <f t="shared" si="11"/>
        <v>0.179694519317164</v>
      </c>
      <c r="H31" s="6">
        <v>377.01</v>
      </c>
      <c r="I31" s="6">
        <f t="shared" si="12"/>
        <v>-0.309376487386959</v>
      </c>
      <c r="J31" s="6">
        <v>79.3249</v>
      </c>
      <c r="K31" s="6">
        <f t="shared" si="13"/>
        <v>-0.0501482397085806</v>
      </c>
      <c r="L31" s="6">
        <v>107.3424</v>
      </c>
      <c r="M31" s="6">
        <f t="shared" si="14"/>
        <v>0.00931685120242332</v>
      </c>
      <c r="N31" s="6">
        <v>55.71</v>
      </c>
      <c r="O31" s="6">
        <f t="shared" si="15"/>
        <v>0.306085703997128</v>
      </c>
      <c r="P31" s="6">
        <v>56.74</v>
      </c>
      <c r="Q31" s="6">
        <f t="shared" si="16"/>
        <v>0.46033994334278</v>
      </c>
      <c r="R31" s="6">
        <v>75.53</v>
      </c>
      <c r="S31" s="6">
        <f t="shared" si="17"/>
        <v>-0.32990234890472</v>
      </c>
      <c r="T31" s="6">
        <v>111.64</v>
      </c>
      <c r="U31" s="6">
        <f t="shared" si="18"/>
        <v>1.02253189756583</v>
      </c>
      <c r="V31" s="6">
        <v>-5.1136</v>
      </c>
      <c r="W31" s="6" t="str">
        <f t="shared" si="21"/>
        <v/>
      </c>
      <c r="X31" s="6">
        <f t="shared" si="22"/>
        <v>-3.80803651870983</v>
      </c>
      <c r="Y31" s="6" t="str">
        <f t="shared" si="23"/>
        <v/>
      </c>
      <c r="Z31" s="6">
        <f t="shared" si="19"/>
        <v>-3.80803651870983</v>
      </c>
      <c r="AA31" s="6" t="str">
        <f t="shared" si="24"/>
        <v/>
      </c>
      <c r="AB31" s="6" t="str">
        <f t="shared" si="25"/>
        <v/>
      </c>
      <c r="AC31" s="6" t="str">
        <f t="shared" si="26"/>
        <v/>
      </c>
      <c r="AD31" s="6" t="str">
        <f t="shared" si="20"/>
        <v/>
      </c>
    </row>
    <row r="32" spans="1:30">
      <c r="A32" s="6" t="s">
        <v>77</v>
      </c>
      <c r="B32" s="6">
        <v>165.43</v>
      </c>
      <c r="C32" s="6">
        <f t="shared" si="9"/>
        <v>3.23244929797193</v>
      </c>
      <c r="D32" s="6">
        <v>185.38</v>
      </c>
      <c r="E32" s="6">
        <f t="shared" si="10"/>
        <v>1.62262909768667</v>
      </c>
      <c r="F32" s="6">
        <v>66.78</v>
      </c>
      <c r="G32" s="6">
        <f t="shared" si="11"/>
        <v>0.830439377925396</v>
      </c>
      <c r="H32" s="6">
        <v>378.18</v>
      </c>
      <c r="I32" s="6">
        <f t="shared" si="12"/>
        <v>0.996127653892387</v>
      </c>
      <c r="J32" s="6">
        <v>79.3647</v>
      </c>
      <c r="K32" s="6">
        <f t="shared" si="13"/>
        <v>0.113024139988482</v>
      </c>
      <c r="L32" s="6">
        <v>107.3324</v>
      </c>
      <c r="M32" s="6">
        <f t="shared" si="14"/>
        <v>0.0647940713890849</v>
      </c>
      <c r="N32" s="6">
        <v>55.54</v>
      </c>
      <c r="O32" s="6">
        <f t="shared" si="15"/>
        <v>1.0369292341277</v>
      </c>
      <c r="P32" s="6">
        <v>56.48</v>
      </c>
      <c r="Q32" s="6">
        <f t="shared" si="16"/>
        <v>0.0354233085370081</v>
      </c>
      <c r="R32" s="6">
        <v>75.78</v>
      </c>
      <c r="S32" s="6">
        <f t="shared" si="17"/>
        <v>3.05997552019583</v>
      </c>
      <c r="T32" s="6">
        <v>110.51</v>
      </c>
      <c r="U32" s="6">
        <f t="shared" si="18"/>
        <v>0.959254522199893</v>
      </c>
      <c r="V32" s="6">
        <v>-6.2722</v>
      </c>
      <c r="W32" s="6" t="str">
        <f t="shared" si="21"/>
        <v/>
      </c>
      <c r="X32" s="6" t="str">
        <f t="shared" si="22"/>
        <v/>
      </c>
      <c r="Y32" s="6" t="str">
        <f t="shared" si="23"/>
        <v/>
      </c>
      <c r="Z32" s="6" t="str">
        <f t="shared" si="19"/>
        <v/>
      </c>
      <c r="AA32" s="6" t="str">
        <f t="shared" si="24"/>
        <v/>
      </c>
      <c r="AB32" s="6" t="str">
        <f t="shared" si="25"/>
        <v/>
      </c>
      <c r="AC32" s="6">
        <f t="shared" si="26"/>
        <v>0.846909051677636</v>
      </c>
      <c r="AD32" s="6">
        <f t="shared" si="20"/>
        <v>0.846909051677636</v>
      </c>
    </row>
    <row r="33" spans="1:30">
      <c r="A33" s="6" t="s">
        <v>78</v>
      </c>
      <c r="B33" s="6">
        <v>160.25</v>
      </c>
      <c r="C33" s="6">
        <f t="shared" si="9"/>
        <v>0.533249686323711</v>
      </c>
      <c r="D33" s="6">
        <v>182.42</v>
      </c>
      <c r="E33" s="6">
        <f t="shared" si="10"/>
        <v>-0.588555858310635</v>
      </c>
      <c r="F33" s="6">
        <v>66.23</v>
      </c>
      <c r="G33" s="6">
        <f t="shared" si="11"/>
        <v>0.776019476567269</v>
      </c>
      <c r="H33" s="6">
        <v>374.45</v>
      </c>
      <c r="I33" s="6">
        <f t="shared" si="12"/>
        <v>-0.805319346207856</v>
      </c>
      <c r="J33" s="6">
        <v>79.2751</v>
      </c>
      <c r="K33" s="6">
        <f t="shared" si="13"/>
        <v>-0.125354962418711</v>
      </c>
      <c r="L33" s="6">
        <v>107.2629</v>
      </c>
      <c r="M33" s="6">
        <f t="shared" si="14"/>
        <v>-0.111005465529168</v>
      </c>
      <c r="N33" s="6">
        <v>54.97</v>
      </c>
      <c r="O33" s="6">
        <f t="shared" si="15"/>
        <v>-1.92685102586976</v>
      </c>
      <c r="P33" s="6">
        <v>56.46</v>
      </c>
      <c r="Q33" s="6">
        <f t="shared" si="16"/>
        <v>-0.300194243333929</v>
      </c>
      <c r="R33" s="6">
        <v>73.53</v>
      </c>
      <c r="S33" s="6">
        <f t="shared" si="17"/>
        <v>-2.94350580781415</v>
      </c>
      <c r="T33" s="6">
        <v>109.46</v>
      </c>
      <c r="U33" s="6">
        <f t="shared" si="18"/>
        <v>-1.40515222482436</v>
      </c>
      <c r="V33" s="6">
        <v>4.7737</v>
      </c>
      <c r="W33" s="6" t="str">
        <f t="shared" si="21"/>
        <v/>
      </c>
      <c r="X33" s="6" t="str">
        <f t="shared" si="22"/>
        <v/>
      </c>
      <c r="Y33" s="6" t="str">
        <f t="shared" si="23"/>
        <v/>
      </c>
      <c r="Z33" s="6" t="str">
        <f t="shared" si="19"/>
        <v/>
      </c>
      <c r="AA33" s="6" t="str">
        <f t="shared" si="24"/>
        <v/>
      </c>
      <c r="AB33" s="6">
        <f t="shared" si="25"/>
        <v>1.62262909768667</v>
      </c>
      <c r="AC33" s="6" t="str">
        <f t="shared" si="26"/>
        <v/>
      </c>
      <c r="AD33" s="6">
        <f t="shared" si="20"/>
        <v>1.62262909768667</v>
      </c>
    </row>
    <row r="34" spans="1:30">
      <c r="A34" s="6" t="s">
        <v>79</v>
      </c>
      <c r="B34" s="6">
        <v>159.4</v>
      </c>
      <c r="C34" s="6">
        <f t="shared" si="9"/>
        <v>-3.58093394628598</v>
      </c>
      <c r="D34" s="6">
        <v>183.5</v>
      </c>
      <c r="E34" s="6">
        <f t="shared" si="10"/>
        <v>-0.923276280978358</v>
      </c>
      <c r="F34" s="6">
        <v>65.72</v>
      </c>
      <c r="G34" s="6">
        <f t="shared" si="11"/>
        <v>-2.73790143554831</v>
      </c>
      <c r="H34" s="6">
        <v>377.49</v>
      </c>
      <c r="I34" s="6">
        <f t="shared" si="12"/>
        <v>-1.21424646062858</v>
      </c>
      <c r="J34" s="6">
        <v>79.3746</v>
      </c>
      <c r="K34" s="6">
        <f t="shared" si="13"/>
        <v>-0.137763401736946</v>
      </c>
      <c r="L34" s="6">
        <v>107.3821</v>
      </c>
      <c r="M34" s="6">
        <f t="shared" si="14"/>
        <v>-0.294894043344607</v>
      </c>
      <c r="N34" s="6">
        <v>56.05</v>
      </c>
      <c r="O34" s="6">
        <f t="shared" si="15"/>
        <v>-0.160313501959397</v>
      </c>
      <c r="P34" s="6">
        <v>56.63</v>
      </c>
      <c r="Q34" s="6">
        <f t="shared" si="16"/>
        <v>0.0706838664074949</v>
      </c>
      <c r="R34" s="6">
        <v>75.76</v>
      </c>
      <c r="S34" s="6">
        <f t="shared" si="17"/>
        <v>-3.78460756921513</v>
      </c>
      <c r="T34" s="6">
        <v>111.02</v>
      </c>
      <c r="U34" s="6">
        <f t="shared" si="18"/>
        <v>0.734960529897477</v>
      </c>
      <c r="V34" s="6">
        <v>3.5967</v>
      </c>
      <c r="W34" s="6">
        <f t="shared" si="21"/>
        <v>0.533249686323711</v>
      </c>
      <c r="X34" s="6" t="str">
        <f t="shared" si="22"/>
        <v/>
      </c>
      <c r="Y34" s="6" t="str">
        <f t="shared" si="23"/>
        <v/>
      </c>
      <c r="Z34" s="6">
        <f t="shared" si="19"/>
        <v>0.533249686323711</v>
      </c>
      <c r="AA34" s="6" t="str">
        <f t="shared" si="24"/>
        <v/>
      </c>
      <c r="AB34" s="6" t="str">
        <f t="shared" si="25"/>
        <v/>
      </c>
      <c r="AC34" s="6" t="str">
        <f t="shared" si="26"/>
        <v/>
      </c>
      <c r="AD34" s="6" t="str">
        <f t="shared" si="20"/>
        <v/>
      </c>
    </row>
    <row r="35" spans="1:30">
      <c r="A35" s="6" t="s">
        <v>80</v>
      </c>
      <c r="B35" s="6">
        <v>165.32</v>
      </c>
      <c r="C35" s="6">
        <f t="shared" si="9"/>
        <v>2.51767332258466</v>
      </c>
      <c r="D35" s="6">
        <v>185.21</v>
      </c>
      <c r="E35" s="6">
        <f t="shared" si="10"/>
        <v>1.46825179422561</v>
      </c>
      <c r="F35" s="6">
        <v>67.57</v>
      </c>
      <c r="G35" s="6">
        <f t="shared" si="11"/>
        <v>2.8462709284627</v>
      </c>
      <c r="H35" s="6">
        <v>382.13</v>
      </c>
      <c r="I35" s="6">
        <f t="shared" si="12"/>
        <v>1.05783725173882</v>
      </c>
      <c r="J35" s="6">
        <v>79.4841</v>
      </c>
      <c r="K35" s="6">
        <f t="shared" si="13"/>
        <v>0.20069360314352</v>
      </c>
      <c r="L35" s="6">
        <v>107.6997</v>
      </c>
      <c r="M35" s="6">
        <f t="shared" si="14"/>
        <v>0.147664748946696</v>
      </c>
      <c r="N35" s="6">
        <v>56.14</v>
      </c>
      <c r="O35" s="6">
        <f t="shared" si="15"/>
        <v>0.934915498022293</v>
      </c>
      <c r="P35" s="6">
        <v>56.59</v>
      </c>
      <c r="Q35" s="6">
        <f t="shared" si="16"/>
        <v>-0.632133450395078</v>
      </c>
      <c r="R35" s="6">
        <v>78.74</v>
      </c>
      <c r="S35" s="6">
        <f t="shared" si="17"/>
        <v>0.395256916996023</v>
      </c>
      <c r="T35" s="6">
        <v>110.21</v>
      </c>
      <c r="U35" s="6">
        <f t="shared" si="18"/>
        <v>0.556569343065694</v>
      </c>
      <c r="V35" s="6">
        <v>-3.5913</v>
      </c>
      <c r="W35" s="6" t="str">
        <f t="shared" si="21"/>
        <v/>
      </c>
      <c r="X35" s="6" t="str">
        <f t="shared" si="22"/>
        <v/>
      </c>
      <c r="Y35" s="6" t="str">
        <f t="shared" si="23"/>
        <v/>
      </c>
      <c r="Z35" s="6" t="str">
        <f t="shared" si="19"/>
        <v/>
      </c>
      <c r="AA35" s="6" t="str">
        <f t="shared" si="24"/>
        <v/>
      </c>
      <c r="AB35" s="6" t="str">
        <f t="shared" si="25"/>
        <v/>
      </c>
      <c r="AC35" s="6" t="str">
        <f t="shared" si="26"/>
        <v/>
      </c>
      <c r="AD35" s="6" t="str">
        <f t="shared" si="20"/>
        <v/>
      </c>
    </row>
    <row r="36" spans="1:30">
      <c r="A36" s="6" t="s">
        <v>81</v>
      </c>
      <c r="B36" s="6">
        <v>161.26</v>
      </c>
      <c r="C36" s="6">
        <f t="shared" si="9"/>
        <v>-3.28655391627685</v>
      </c>
      <c r="D36" s="6">
        <v>182.53</v>
      </c>
      <c r="E36" s="6">
        <f t="shared" si="10"/>
        <v>-0.0821107948325017</v>
      </c>
      <c r="F36" s="6">
        <v>65.7</v>
      </c>
      <c r="G36" s="6">
        <f t="shared" si="11"/>
        <v>-1.17328519855596</v>
      </c>
      <c r="H36" s="6">
        <v>378.13</v>
      </c>
      <c r="I36" s="6">
        <f t="shared" si="12"/>
        <v>2.0318402590394</v>
      </c>
      <c r="J36" s="6">
        <v>79.3249</v>
      </c>
      <c r="K36" s="6">
        <f t="shared" si="13"/>
        <v>0.15074710720846</v>
      </c>
      <c r="L36" s="6">
        <v>107.5409</v>
      </c>
      <c r="M36" s="6">
        <f t="shared" si="14"/>
        <v>0.147883120184833</v>
      </c>
      <c r="N36" s="6">
        <v>55.62</v>
      </c>
      <c r="O36" s="6">
        <f t="shared" si="15"/>
        <v>1.53340635268346</v>
      </c>
      <c r="P36" s="6">
        <v>56.95</v>
      </c>
      <c r="Q36" s="6">
        <f t="shared" si="16"/>
        <v>0.921495658337768</v>
      </c>
      <c r="R36" s="6">
        <v>78.43</v>
      </c>
      <c r="S36" s="6">
        <f t="shared" si="17"/>
        <v>4.47582256560546</v>
      </c>
      <c r="T36" s="6">
        <v>109.6</v>
      </c>
      <c r="U36" s="6">
        <f t="shared" si="18"/>
        <v>-0.127574266447972</v>
      </c>
      <c r="V36" s="6">
        <v>-2.6522</v>
      </c>
      <c r="W36" s="6" t="str">
        <f t="shared" si="21"/>
        <v/>
      </c>
      <c r="X36" s="6" t="str">
        <f t="shared" si="22"/>
        <v/>
      </c>
      <c r="Y36" s="6" t="str">
        <f t="shared" si="23"/>
        <v/>
      </c>
      <c r="Z36" s="6" t="str">
        <f t="shared" si="19"/>
        <v/>
      </c>
      <c r="AA36" s="6">
        <f t="shared" si="24"/>
        <v>1.46825179422561</v>
      </c>
      <c r="AB36" s="6" t="str">
        <f t="shared" si="25"/>
        <v/>
      </c>
      <c r="AC36" s="6">
        <f t="shared" si="26"/>
        <v>1.46825179422561</v>
      </c>
      <c r="AD36" s="6">
        <f t="shared" si="20"/>
        <v>1.46825179422561</v>
      </c>
    </row>
    <row r="37" spans="1:30">
      <c r="A37" s="6" t="s">
        <v>82</v>
      </c>
      <c r="B37" s="6">
        <v>166.74</v>
      </c>
      <c r="C37" s="6">
        <f t="shared" si="9"/>
        <v>-3.08067891188095</v>
      </c>
      <c r="D37" s="6">
        <v>182.68</v>
      </c>
      <c r="E37" s="6">
        <f t="shared" si="10"/>
        <v>-0.392584514721916</v>
      </c>
      <c r="F37" s="6">
        <v>66.48</v>
      </c>
      <c r="G37" s="6">
        <f t="shared" si="11"/>
        <v>-2.82122496711006</v>
      </c>
      <c r="H37" s="6">
        <v>370.6</v>
      </c>
      <c r="I37" s="6">
        <f t="shared" si="12"/>
        <v>0.602638579727466</v>
      </c>
      <c r="J37" s="6">
        <v>79.2055</v>
      </c>
      <c r="K37" s="6">
        <f t="shared" si="13"/>
        <v>-0.0137597770158648</v>
      </c>
      <c r="L37" s="6">
        <v>107.3821</v>
      </c>
      <c r="M37" s="6">
        <f t="shared" si="14"/>
        <v>-0.186368427608186</v>
      </c>
      <c r="N37" s="6">
        <v>54.78</v>
      </c>
      <c r="O37" s="6">
        <f t="shared" si="15"/>
        <v>2.18242865137102</v>
      </c>
      <c r="P37" s="6">
        <v>56.43</v>
      </c>
      <c r="Q37" s="6">
        <f t="shared" si="16"/>
        <v>-0.0177179305457131</v>
      </c>
      <c r="R37" s="6">
        <v>75.07</v>
      </c>
      <c r="S37" s="6">
        <f t="shared" si="17"/>
        <v>-0.503644797879399</v>
      </c>
      <c r="T37" s="6">
        <v>109.74</v>
      </c>
      <c r="U37" s="6">
        <f t="shared" si="18"/>
        <v>2.4362923550826</v>
      </c>
      <c r="V37" s="6">
        <v>0.8511</v>
      </c>
      <c r="W37" s="6">
        <f t="shared" si="21"/>
        <v>-3.28655391627685</v>
      </c>
      <c r="X37" s="6" t="str">
        <f t="shared" si="22"/>
        <v/>
      </c>
      <c r="Y37" s="6" t="str">
        <f t="shared" si="23"/>
        <v/>
      </c>
      <c r="Z37" s="6">
        <f t="shared" si="19"/>
        <v>-3.28655391627685</v>
      </c>
      <c r="AA37" s="6" t="str">
        <f t="shared" si="24"/>
        <v/>
      </c>
      <c r="AB37" s="6" t="str">
        <f t="shared" si="25"/>
        <v/>
      </c>
      <c r="AC37" s="6" t="str">
        <f t="shared" si="26"/>
        <v/>
      </c>
      <c r="AD37" s="6" t="str">
        <f t="shared" si="20"/>
        <v/>
      </c>
    </row>
    <row r="38" spans="1:30">
      <c r="A38" s="6" t="s">
        <v>83</v>
      </c>
      <c r="B38" s="6">
        <v>172.04</v>
      </c>
      <c r="C38" s="6">
        <f t="shared" si="9"/>
        <v>3.37078651685392</v>
      </c>
      <c r="D38" s="6">
        <v>183.4</v>
      </c>
      <c r="E38" s="6">
        <f t="shared" si="10"/>
        <v>1.55601085331414</v>
      </c>
      <c r="F38" s="6">
        <v>68.41</v>
      </c>
      <c r="G38" s="6">
        <f t="shared" si="11"/>
        <v>1.45335903900339</v>
      </c>
      <c r="H38" s="6">
        <v>368.38</v>
      </c>
      <c r="I38" s="6">
        <f t="shared" si="12"/>
        <v>-0.0542623039774259</v>
      </c>
      <c r="J38" s="6">
        <v>79.2164</v>
      </c>
      <c r="K38" s="6">
        <f t="shared" si="13"/>
        <v>-0.0499646714444468</v>
      </c>
      <c r="L38" s="6">
        <v>107.5826</v>
      </c>
      <c r="M38" s="6">
        <f t="shared" si="14"/>
        <v>-0.427693352843783</v>
      </c>
      <c r="N38" s="6">
        <v>53.61</v>
      </c>
      <c r="O38" s="6">
        <f t="shared" si="15"/>
        <v>-0.20476545048399</v>
      </c>
      <c r="P38" s="6">
        <v>56.44</v>
      </c>
      <c r="Q38" s="6">
        <f t="shared" si="16"/>
        <v>-0.388280974232258</v>
      </c>
      <c r="R38" s="6">
        <v>75.45</v>
      </c>
      <c r="S38" s="6">
        <f t="shared" si="17"/>
        <v>-0.303911205074003</v>
      </c>
      <c r="T38" s="6">
        <v>107.13</v>
      </c>
      <c r="U38" s="6">
        <f t="shared" si="18"/>
        <v>-0.6952169076752</v>
      </c>
      <c r="V38" s="6">
        <v>-6.7989</v>
      </c>
      <c r="W38" s="6" t="str">
        <f t="shared" si="21"/>
        <v/>
      </c>
      <c r="X38" s="6" t="str">
        <f t="shared" si="22"/>
        <v/>
      </c>
      <c r="Y38" s="6" t="str">
        <f t="shared" si="23"/>
        <v/>
      </c>
      <c r="Z38" s="6" t="str">
        <f t="shared" si="19"/>
        <v/>
      </c>
      <c r="AA38" s="6" t="str">
        <f t="shared" si="24"/>
        <v/>
      </c>
      <c r="AB38" s="6" t="str">
        <f t="shared" si="25"/>
        <v/>
      </c>
      <c r="AC38" s="6" t="str">
        <f t="shared" si="26"/>
        <v/>
      </c>
      <c r="AD38" s="6" t="str">
        <f t="shared" si="20"/>
        <v/>
      </c>
    </row>
    <row r="39" spans="1:30">
      <c r="A39" s="6" t="s">
        <v>84</v>
      </c>
      <c r="B39" s="6">
        <v>166.43</v>
      </c>
      <c r="C39" s="6">
        <f t="shared" si="9"/>
        <v>4.5480243733903</v>
      </c>
      <c r="D39" s="6">
        <v>180.59</v>
      </c>
      <c r="E39" s="6">
        <f t="shared" si="10"/>
        <v>2.45078572644239</v>
      </c>
      <c r="F39" s="6">
        <v>67.43</v>
      </c>
      <c r="G39" s="6">
        <f t="shared" si="11"/>
        <v>0.357196011311212</v>
      </c>
      <c r="H39" s="6">
        <v>368.58</v>
      </c>
      <c r="I39" s="6">
        <f t="shared" si="12"/>
        <v>-1.35160452854428</v>
      </c>
      <c r="J39" s="6">
        <v>79.256</v>
      </c>
      <c r="K39" s="6">
        <f t="shared" si="13"/>
        <v>0.225474438432083</v>
      </c>
      <c r="L39" s="6">
        <v>108.0447</v>
      </c>
      <c r="M39" s="6">
        <f t="shared" si="14"/>
        <v>0.182386321489503</v>
      </c>
      <c r="N39" s="6">
        <v>53.72</v>
      </c>
      <c r="O39" s="6">
        <f t="shared" si="15"/>
        <v>0.280007466865784</v>
      </c>
      <c r="P39" s="6">
        <v>56.66</v>
      </c>
      <c r="Q39" s="6">
        <f t="shared" si="16"/>
        <v>-0.0881678716275869</v>
      </c>
      <c r="R39" s="6">
        <v>75.68</v>
      </c>
      <c r="S39" s="6">
        <f t="shared" si="17"/>
        <v>-1.7142857142857</v>
      </c>
      <c r="T39" s="6">
        <v>107.88</v>
      </c>
      <c r="U39" s="6">
        <f t="shared" si="18"/>
        <v>1.60105481258239</v>
      </c>
      <c r="V39" s="6">
        <v>-4.1282</v>
      </c>
      <c r="W39" s="6" t="str">
        <f t="shared" si="21"/>
        <v/>
      </c>
      <c r="X39" s="6" t="str">
        <f t="shared" si="22"/>
        <v/>
      </c>
      <c r="Y39" s="6">
        <f t="shared" si="23"/>
        <v>3.37078651685392</v>
      </c>
      <c r="Z39" s="6">
        <f t="shared" si="19"/>
        <v>3.37078651685392</v>
      </c>
      <c r="AA39" s="6" t="str">
        <f t="shared" si="24"/>
        <v/>
      </c>
      <c r="AB39" s="6" t="str">
        <f t="shared" si="25"/>
        <v/>
      </c>
      <c r="AC39" s="6" t="str">
        <f t="shared" si="26"/>
        <v/>
      </c>
      <c r="AD39" s="6" t="str">
        <f t="shared" si="20"/>
        <v/>
      </c>
    </row>
    <row r="40" spans="1:30">
      <c r="A40" s="6" t="s">
        <v>85</v>
      </c>
      <c r="B40" s="6">
        <v>159.19</v>
      </c>
      <c r="C40" s="6">
        <f t="shared" si="9"/>
        <v>-2.29546430982631</v>
      </c>
      <c r="D40" s="6">
        <v>176.27</v>
      </c>
      <c r="E40" s="6">
        <f t="shared" si="10"/>
        <v>-0.311050786110156</v>
      </c>
      <c r="F40" s="6">
        <v>67.19</v>
      </c>
      <c r="G40" s="6">
        <f t="shared" si="11"/>
        <v>-1.13301942319011</v>
      </c>
      <c r="H40" s="6">
        <v>373.63</v>
      </c>
      <c r="I40" s="6">
        <f t="shared" si="12"/>
        <v>1.12867428138363</v>
      </c>
      <c r="J40" s="6">
        <v>79.0777</v>
      </c>
      <c r="K40" s="6">
        <f t="shared" si="13"/>
        <v>-0.062683801924257</v>
      </c>
      <c r="L40" s="6">
        <v>107.848</v>
      </c>
      <c r="M40" s="6">
        <f t="shared" si="14"/>
        <v>0.182626514843287</v>
      </c>
      <c r="N40" s="6">
        <v>53.57</v>
      </c>
      <c r="O40" s="6">
        <f t="shared" si="15"/>
        <v>0.224508886810093</v>
      </c>
      <c r="P40" s="6">
        <v>56.71</v>
      </c>
      <c r="Q40" s="6">
        <f t="shared" si="16"/>
        <v>0.0352795907567538</v>
      </c>
      <c r="R40" s="6">
        <v>77</v>
      </c>
      <c r="S40" s="6">
        <f t="shared" si="17"/>
        <v>1.75763182238668</v>
      </c>
      <c r="T40" s="6">
        <v>106.18</v>
      </c>
      <c r="U40" s="6">
        <f t="shared" si="18"/>
        <v>0.56828944875924</v>
      </c>
      <c r="V40" s="6">
        <v>-2.541</v>
      </c>
      <c r="W40" s="6" t="str">
        <f t="shared" si="21"/>
        <v/>
      </c>
      <c r="X40" s="6">
        <f t="shared" si="22"/>
        <v>4.5480243733903</v>
      </c>
      <c r="Y40" s="6" t="str">
        <f t="shared" si="23"/>
        <v/>
      </c>
      <c r="Z40" s="6">
        <f t="shared" si="19"/>
        <v>4.5480243733903</v>
      </c>
      <c r="AA40" s="6" t="str">
        <f t="shared" si="24"/>
        <v/>
      </c>
      <c r="AB40" s="6" t="str">
        <f t="shared" si="25"/>
        <v/>
      </c>
      <c r="AC40" s="6">
        <f t="shared" si="26"/>
        <v>2.45078572644239</v>
      </c>
      <c r="AD40" s="6">
        <f t="shared" si="20"/>
        <v>2.45078572644239</v>
      </c>
    </row>
    <row r="41" spans="1:30">
      <c r="A41" s="6" t="s">
        <v>86</v>
      </c>
      <c r="B41" s="6">
        <v>162.93</v>
      </c>
      <c r="C41" s="6">
        <f t="shared" si="9"/>
        <v>1.50137054572639</v>
      </c>
      <c r="D41" s="6">
        <v>176.82</v>
      </c>
      <c r="E41" s="6">
        <f t="shared" si="10"/>
        <v>0</v>
      </c>
      <c r="F41" s="6">
        <v>67.96</v>
      </c>
      <c r="G41" s="6">
        <f t="shared" si="11"/>
        <v>1.05576208178437</v>
      </c>
      <c r="H41" s="6">
        <v>369.46</v>
      </c>
      <c r="I41" s="6">
        <f t="shared" si="12"/>
        <v>0.967424573677289</v>
      </c>
      <c r="J41" s="6">
        <v>79.1273</v>
      </c>
      <c r="K41" s="6">
        <f t="shared" si="13"/>
        <v>0.037675021334449</v>
      </c>
      <c r="L41" s="6">
        <v>107.6514</v>
      </c>
      <c r="M41" s="6">
        <f t="shared" si="14"/>
        <v>0.164690382081689</v>
      </c>
      <c r="N41" s="6">
        <v>53.45</v>
      </c>
      <c r="O41" s="6">
        <f t="shared" si="15"/>
        <v>-0.502606105733427</v>
      </c>
      <c r="P41" s="6">
        <v>56.69</v>
      </c>
      <c r="Q41" s="6">
        <f t="shared" si="16"/>
        <v>-0.0176366843033571</v>
      </c>
      <c r="R41" s="6">
        <v>75.67</v>
      </c>
      <c r="S41" s="6">
        <f t="shared" si="17"/>
        <v>1.44791527014345</v>
      </c>
      <c r="T41" s="6">
        <v>105.58</v>
      </c>
      <c r="U41" s="6">
        <f t="shared" si="18"/>
        <v>-0.90107002064953</v>
      </c>
      <c r="V41" s="6">
        <v>1.3956</v>
      </c>
      <c r="W41" s="6" t="str">
        <f t="shared" si="21"/>
        <v/>
      </c>
      <c r="X41" s="6" t="str">
        <f t="shared" si="22"/>
        <v/>
      </c>
      <c r="Y41" s="6" t="str">
        <f t="shared" si="23"/>
        <v/>
      </c>
      <c r="Z41" s="6" t="str">
        <f t="shared" si="19"/>
        <v/>
      </c>
      <c r="AA41" s="6">
        <f t="shared" si="24"/>
        <v>-0.311050786110156</v>
      </c>
      <c r="AB41" s="6" t="str">
        <f t="shared" si="25"/>
        <v/>
      </c>
      <c r="AC41" s="6" t="str">
        <f t="shared" si="26"/>
        <v/>
      </c>
      <c r="AD41" s="6">
        <f t="shared" si="20"/>
        <v>-0.311050786110156</v>
      </c>
    </row>
    <row r="42" spans="1:30">
      <c r="A42" s="6" t="s">
        <v>87</v>
      </c>
      <c r="B42" s="6">
        <v>160.52</v>
      </c>
      <c r="C42" s="6">
        <f t="shared" si="9"/>
        <v>-0.889108421832552</v>
      </c>
      <c r="D42" s="6">
        <v>176.82</v>
      </c>
      <c r="E42" s="6">
        <f t="shared" si="10"/>
        <v>-0.203183203521851</v>
      </c>
      <c r="F42" s="6">
        <v>67.25</v>
      </c>
      <c r="G42" s="6">
        <f t="shared" si="11"/>
        <v>0.119100789042714</v>
      </c>
      <c r="H42" s="6">
        <v>365.92</v>
      </c>
      <c r="I42" s="6">
        <f t="shared" si="12"/>
        <v>-3.02130817343368</v>
      </c>
      <c r="J42" s="6">
        <v>79.0975</v>
      </c>
      <c r="K42" s="6">
        <f t="shared" si="13"/>
        <v>-0.0251524948999937</v>
      </c>
      <c r="L42" s="6">
        <v>107.4744</v>
      </c>
      <c r="M42" s="6">
        <f t="shared" si="14"/>
        <v>0.385666182521271</v>
      </c>
      <c r="N42" s="6">
        <v>53.72</v>
      </c>
      <c r="O42" s="6">
        <f t="shared" si="15"/>
        <v>-0.296956198960663</v>
      </c>
      <c r="P42" s="6">
        <v>56.7</v>
      </c>
      <c r="Q42" s="6">
        <f t="shared" si="16"/>
        <v>-0.176056338028163</v>
      </c>
      <c r="R42" s="6">
        <v>74.59</v>
      </c>
      <c r="S42" s="6">
        <f t="shared" si="17"/>
        <v>-3.95312902395054</v>
      </c>
      <c r="T42" s="6">
        <v>106.54</v>
      </c>
      <c r="U42" s="6">
        <f t="shared" si="18"/>
        <v>-0.680525776079044</v>
      </c>
      <c r="V42" s="6">
        <v>-4.4125</v>
      </c>
      <c r="W42" s="6" t="str">
        <f t="shared" si="21"/>
        <v/>
      </c>
      <c r="X42" s="6">
        <f t="shared" si="22"/>
        <v>1.50137054572639</v>
      </c>
      <c r="Y42" s="6" t="str">
        <f t="shared" si="23"/>
        <v/>
      </c>
      <c r="Z42" s="6">
        <f t="shared" si="19"/>
        <v>1.50137054572639</v>
      </c>
      <c r="AA42" s="6" t="str">
        <f t="shared" si="24"/>
        <v/>
      </c>
      <c r="AB42" s="6" t="str">
        <f t="shared" si="25"/>
        <v/>
      </c>
      <c r="AC42" s="6" t="str">
        <f t="shared" si="26"/>
        <v/>
      </c>
      <c r="AD42" s="6" t="str">
        <f t="shared" si="20"/>
        <v/>
      </c>
    </row>
    <row r="43" spans="1:30">
      <c r="A43" s="6" t="s">
        <v>88</v>
      </c>
      <c r="B43" s="6">
        <v>161.96</v>
      </c>
      <c r="C43" s="6">
        <f t="shared" si="9"/>
        <v>-6.58668819933095</v>
      </c>
      <c r="D43" s="6">
        <v>177.18</v>
      </c>
      <c r="E43" s="6">
        <f t="shared" si="10"/>
        <v>-2.87781614865976</v>
      </c>
      <c r="F43" s="6">
        <v>67.17</v>
      </c>
      <c r="G43" s="6">
        <f t="shared" si="11"/>
        <v>-5.6733604830782</v>
      </c>
      <c r="H43" s="6">
        <v>377.32</v>
      </c>
      <c r="I43" s="6">
        <f t="shared" si="12"/>
        <v>-1.89032476143425</v>
      </c>
      <c r="J43" s="6">
        <v>79.1174</v>
      </c>
      <c r="K43" s="6">
        <f t="shared" si="13"/>
        <v>-0.0875146962810658</v>
      </c>
      <c r="L43" s="6">
        <v>107.0615</v>
      </c>
      <c r="M43" s="6">
        <f t="shared" si="14"/>
        <v>-0.0367877394120919</v>
      </c>
      <c r="N43" s="6">
        <v>53.88</v>
      </c>
      <c r="O43" s="6">
        <f t="shared" si="15"/>
        <v>0.335195530726251</v>
      </c>
      <c r="P43" s="6">
        <v>56.8</v>
      </c>
      <c r="Q43" s="6">
        <f t="shared" si="16"/>
        <v>0.0176087339320175</v>
      </c>
      <c r="R43" s="6">
        <v>77.66</v>
      </c>
      <c r="S43" s="6">
        <f t="shared" si="17"/>
        <v>-4.64145383104125</v>
      </c>
      <c r="T43" s="6">
        <v>107.27</v>
      </c>
      <c r="U43" s="6">
        <f t="shared" si="18"/>
        <v>0.383679580759866</v>
      </c>
      <c r="V43" s="6">
        <v>12.7894</v>
      </c>
      <c r="W43" s="6">
        <f t="shared" si="21"/>
        <v>-0.889108421832552</v>
      </c>
      <c r="X43" s="6" t="str">
        <f t="shared" si="22"/>
        <v/>
      </c>
      <c r="Y43" s="6" t="str">
        <f t="shared" si="23"/>
        <v/>
      </c>
      <c r="Z43" s="6">
        <f t="shared" si="19"/>
        <v>-0.889108421832552</v>
      </c>
      <c r="AA43" s="6" t="str">
        <f t="shared" si="24"/>
        <v/>
      </c>
      <c r="AB43" s="6" t="str">
        <f t="shared" si="25"/>
        <v/>
      </c>
      <c r="AC43" s="6" t="str">
        <f t="shared" si="26"/>
        <v/>
      </c>
      <c r="AD43" s="6" t="str">
        <f t="shared" si="20"/>
        <v/>
      </c>
    </row>
    <row r="44" spans="1:30">
      <c r="A44" s="6" t="s">
        <v>89</v>
      </c>
      <c r="B44" s="6">
        <v>173.38</v>
      </c>
      <c r="C44" s="6">
        <f t="shared" si="9"/>
        <v>-0.465009472415179</v>
      </c>
      <c r="D44" s="6">
        <v>182.43</v>
      </c>
      <c r="E44" s="6">
        <f t="shared" si="10"/>
        <v>-0.777765691286847</v>
      </c>
      <c r="F44" s="6">
        <v>71.21</v>
      </c>
      <c r="G44" s="6">
        <f t="shared" si="11"/>
        <v>0.593304139002671</v>
      </c>
      <c r="H44" s="6">
        <v>384.59</v>
      </c>
      <c r="I44" s="6">
        <f t="shared" si="12"/>
        <v>-0.6535441206861</v>
      </c>
      <c r="J44" s="6">
        <v>79.1867</v>
      </c>
      <c r="K44" s="6">
        <f t="shared" si="13"/>
        <v>-0.0874381750277542</v>
      </c>
      <c r="L44" s="6">
        <v>107.1009</v>
      </c>
      <c r="M44" s="6">
        <f t="shared" si="14"/>
        <v>-0.411369188038679</v>
      </c>
      <c r="N44" s="6">
        <v>53.7</v>
      </c>
      <c r="O44" s="6">
        <f t="shared" si="15"/>
        <v>0.593822003259459</v>
      </c>
      <c r="P44" s="6">
        <v>56.79</v>
      </c>
      <c r="Q44" s="6">
        <f t="shared" si="16"/>
        <v>-0.105540897097633</v>
      </c>
      <c r="R44" s="6">
        <v>81.44</v>
      </c>
      <c r="S44" s="6">
        <f t="shared" si="17"/>
        <v>-1.29681250757485</v>
      </c>
      <c r="T44" s="6">
        <v>106.86</v>
      </c>
      <c r="U44" s="6">
        <f t="shared" si="18"/>
        <v>-2.11237931224008</v>
      </c>
      <c r="V44" s="6">
        <v>5.3659</v>
      </c>
      <c r="W44" s="6" t="str">
        <f t="shared" si="21"/>
        <v/>
      </c>
      <c r="X44" s="6" t="str">
        <f t="shared" si="22"/>
        <v/>
      </c>
      <c r="Y44" s="6" t="str">
        <f t="shared" si="23"/>
        <v/>
      </c>
      <c r="Z44" s="6" t="str">
        <f t="shared" si="19"/>
        <v/>
      </c>
      <c r="AA44" s="6" t="str">
        <f t="shared" si="24"/>
        <v/>
      </c>
      <c r="AB44" s="6" t="str">
        <f t="shared" si="25"/>
        <v/>
      </c>
      <c r="AC44" s="6" t="str">
        <f t="shared" si="26"/>
        <v/>
      </c>
      <c r="AD44" s="6" t="str">
        <f t="shared" si="20"/>
        <v/>
      </c>
    </row>
    <row r="45" spans="1:30">
      <c r="A45" s="6" t="s">
        <v>90</v>
      </c>
      <c r="B45" s="6">
        <v>174.19</v>
      </c>
      <c r="C45" s="6">
        <f t="shared" si="9"/>
        <v>4.94005662991746</v>
      </c>
      <c r="D45" s="6">
        <v>183.86</v>
      </c>
      <c r="E45" s="6">
        <f t="shared" si="10"/>
        <v>2.14444444444446</v>
      </c>
      <c r="F45" s="6">
        <v>70.79</v>
      </c>
      <c r="G45" s="6">
        <f t="shared" si="11"/>
        <v>3.25262543757294</v>
      </c>
      <c r="H45" s="6">
        <v>387.12</v>
      </c>
      <c r="I45" s="6">
        <f t="shared" si="12"/>
        <v>-0.380854348944937</v>
      </c>
      <c r="J45" s="6">
        <v>79.256</v>
      </c>
      <c r="K45" s="6">
        <f t="shared" si="13"/>
        <v>0.351107323873401</v>
      </c>
      <c r="L45" s="6">
        <v>107.5433</v>
      </c>
      <c r="M45" s="6">
        <f t="shared" si="14"/>
        <v>0.330256844666388</v>
      </c>
      <c r="N45" s="6">
        <v>53.383</v>
      </c>
      <c r="O45" s="6">
        <f t="shared" si="15"/>
        <v>-0.888021640769898</v>
      </c>
      <c r="P45" s="6">
        <v>56.85</v>
      </c>
      <c r="Q45" s="6">
        <f t="shared" si="16"/>
        <v>-0.42038885969522</v>
      </c>
      <c r="R45" s="6">
        <v>82.51</v>
      </c>
      <c r="S45" s="6">
        <f t="shared" si="17"/>
        <v>-2.19298245614035</v>
      </c>
      <c r="T45" s="6">
        <v>109.166</v>
      </c>
      <c r="U45" s="6">
        <f t="shared" si="18"/>
        <v>0.228982542605993</v>
      </c>
      <c r="V45" s="6">
        <v>-11.0629</v>
      </c>
      <c r="W45" s="6" t="str">
        <f t="shared" si="21"/>
        <v/>
      </c>
      <c r="X45" s="6" t="str">
        <f t="shared" si="22"/>
        <v/>
      </c>
      <c r="Y45" s="6">
        <f t="shared" si="23"/>
        <v>-0.465009472415179</v>
      </c>
      <c r="Z45" s="6">
        <f t="shared" si="19"/>
        <v>-0.465009472415179</v>
      </c>
      <c r="AA45" s="6" t="str">
        <f t="shared" si="24"/>
        <v/>
      </c>
      <c r="AB45" s="6" t="str">
        <f t="shared" si="25"/>
        <v/>
      </c>
      <c r="AC45" s="6" t="str">
        <f t="shared" si="26"/>
        <v/>
      </c>
      <c r="AD45" s="6" t="str">
        <f t="shared" si="20"/>
        <v/>
      </c>
    </row>
    <row r="46" spans="1:30">
      <c r="A46" s="6" t="s">
        <v>91</v>
      </c>
      <c r="B46" s="6">
        <v>165.99</v>
      </c>
      <c r="C46" s="6">
        <f t="shared" si="9"/>
        <v>-2.01298701298701</v>
      </c>
      <c r="D46" s="6">
        <v>180</v>
      </c>
      <c r="E46" s="6">
        <f t="shared" si="10"/>
        <v>-2.47074122236671</v>
      </c>
      <c r="F46" s="6">
        <v>68.56</v>
      </c>
      <c r="G46" s="6">
        <f t="shared" si="11"/>
        <v>-0.116550116550118</v>
      </c>
      <c r="H46" s="6">
        <v>388.6</v>
      </c>
      <c r="I46" s="6">
        <f t="shared" si="12"/>
        <v>-2.27095541080904</v>
      </c>
      <c r="J46" s="6">
        <v>78.9787</v>
      </c>
      <c r="K46" s="6">
        <f t="shared" si="13"/>
        <v>-0.374767583550084</v>
      </c>
      <c r="L46" s="6">
        <v>107.1893</v>
      </c>
      <c r="M46" s="6">
        <f t="shared" si="14"/>
        <v>-0.665109770450478</v>
      </c>
      <c r="N46" s="6">
        <v>53.8613</v>
      </c>
      <c r="O46" s="6">
        <f t="shared" si="15"/>
        <v>-0.552064888857706</v>
      </c>
      <c r="P46" s="6">
        <v>57.09</v>
      </c>
      <c r="Q46" s="6">
        <f t="shared" si="16"/>
        <v>-0.174855744011182</v>
      </c>
      <c r="R46" s="6">
        <v>84.36</v>
      </c>
      <c r="S46" s="6">
        <f t="shared" si="17"/>
        <v>-3.30123796423658</v>
      </c>
      <c r="T46" s="6">
        <v>108.9166</v>
      </c>
      <c r="U46" s="6">
        <f t="shared" si="18"/>
        <v>-2.777862081647</v>
      </c>
      <c r="V46" s="6">
        <v>12.3705</v>
      </c>
      <c r="W46" s="6">
        <f t="shared" si="21"/>
        <v>4.94005662991746</v>
      </c>
      <c r="X46" s="6" t="str">
        <f t="shared" si="22"/>
        <v/>
      </c>
      <c r="Y46" s="6" t="str">
        <f t="shared" si="23"/>
        <v/>
      </c>
      <c r="Z46" s="6">
        <f t="shared" si="19"/>
        <v>4.94005662991746</v>
      </c>
      <c r="AA46" s="6" t="str">
        <f t="shared" si="24"/>
        <v/>
      </c>
      <c r="AB46" s="6" t="str">
        <f t="shared" si="25"/>
        <v/>
      </c>
      <c r="AC46" s="6" t="str">
        <f t="shared" si="26"/>
        <v/>
      </c>
      <c r="AD46" s="6" t="str">
        <f t="shared" si="20"/>
        <v/>
      </c>
    </row>
    <row r="47" spans="1:30">
      <c r="A47" s="6" t="s">
        <v>92</v>
      </c>
      <c r="B47" s="6">
        <v>169.4</v>
      </c>
      <c r="C47" s="6">
        <f t="shared" si="9"/>
        <v>-3.77187002953874</v>
      </c>
      <c r="D47" s="6">
        <v>184.56</v>
      </c>
      <c r="E47" s="6">
        <f t="shared" si="10"/>
        <v>-1.14092881246987</v>
      </c>
      <c r="F47" s="6">
        <v>68.64</v>
      </c>
      <c r="G47" s="6">
        <f t="shared" si="11"/>
        <v>-1.59139784946236</v>
      </c>
      <c r="H47" s="6">
        <v>397.63</v>
      </c>
      <c r="I47" s="6">
        <f t="shared" si="12"/>
        <v>0.272349010213091</v>
      </c>
      <c r="J47" s="6">
        <v>79.2758</v>
      </c>
      <c r="K47" s="6">
        <f t="shared" si="13"/>
        <v>-0.0126125989773573</v>
      </c>
      <c r="L47" s="6">
        <v>107.907</v>
      </c>
      <c r="M47" s="6">
        <f t="shared" si="14"/>
        <v>0</v>
      </c>
      <c r="N47" s="6">
        <v>54.1603</v>
      </c>
      <c r="O47" s="6">
        <f t="shared" si="15"/>
        <v>1.47509040151388</v>
      </c>
      <c r="P47" s="6">
        <v>57.19</v>
      </c>
      <c r="Q47" s="6">
        <f t="shared" si="16"/>
        <v>-0.0873515024458538</v>
      </c>
      <c r="R47" s="6">
        <v>87.24</v>
      </c>
      <c r="S47" s="6">
        <f t="shared" si="17"/>
        <v>2.31030843203941</v>
      </c>
      <c r="T47" s="6">
        <v>112.0286</v>
      </c>
      <c r="U47" s="6">
        <f t="shared" si="18"/>
        <v>0.115908199276316</v>
      </c>
      <c r="V47" s="6">
        <v>1.2963</v>
      </c>
      <c r="W47" s="6">
        <f t="shared" si="21"/>
        <v>-2.01298701298701</v>
      </c>
      <c r="X47" s="6" t="str">
        <f t="shared" si="22"/>
        <v/>
      </c>
      <c r="Y47" s="6" t="str">
        <f t="shared" si="23"/>
        <v/>
      </c>
      <c r="Z47" s="6">
        <f t="shared" si="19"/>
        <v>-2.01298701298701</v>
      </c>
      <c r="AA47" s="6" t="str">
        <f t="shared" si="24"/>
        <v/>
      </c>
      <c r="AB47" s="6" t="str">
        <f t="shared" si="25"/>
        <v/>
      </c>
      <c r="AC47" s="6" t="str">
        <f t="shared" si="26"/>
        <v/>
      </c>
      <c r="AD47" s="6" t="str">
        <f t="shared" si="20"/>
        <v/>
      </c>
    </row>
    <row r="48" spans="1:30">
      <c r="A48" s="6" t="s">
        <v>93</v>
      </c>
      <c r="B48" s="6">
        <v>176.04</v>
      </c>
      <c r="C48" s="6">
        <f t="shared" si="9"/>
        <v>6.09293075393238</v>
      </c>
      <c r="D48" s="6">
        <v>186.69</v>
      </c>
      <c r="E48" s="6">
        <f t="shared" si="10"/>
        <v>3.32632278060658</v>
      </c>
      <c r="F48" s="6">
        <v>69.75</v>
      </c>
      <c r="G48" s="6">
        <f t="shared" si="11"/>
        <v>3.28895733684789</v>
      </c>
      <c r="H48" s="6">
        <v>396.55</v>
      </c>
      <c r="I48" s="6">
        <f t="shared" si="12"/>
        <v>2.58964143426295</v>
      </c>
      <c r="J48" s="6">
        <v>79.2858</v>
      </c>
      <c r="K48" s="6">
        <f t="shared" si="13"/>
        <v>0.125147278520243</v>
      </c>
      <c r="L48" s="6">
        <v>107.907</v>
      </c>
      <c r="M48" s="6">
        <f t="shared" si="14"/>
        <v>0.136785956889218</v>
      </c>
      <c r="N48" s="6">
        <v>53.373</v>
      </c>
      <c r="O48" s="6">
        <f t="shared" si="15"/>
        <v>0.412388201784264</v>
      </c>
      <c r="P48" s="6">
        <v>57.24</v>
      </c>
      <c r="Q48" s="6">
        <f t="shared" si="16"/>
        <v>-0.0349283967865821</v>
      </c>
      <c r="R48" s="6">
        <v>85.27</v>
      </c>
      <c r="S48" s="6">
        <f t="shared" si="17"/>
        <v>6.54754467074847</v>
      </c>
      <c r="T48" s="6">
        <v>111.8989</v>
      </c>
      <c r="U48" s="6">
        <f t="shared" si="18"/>
        <v>0.483655306244679</v>
      </c>
      <c r="V48" s="6">
        <v>-8.371</v>
      </c>
      <c r="W48" s="6" t="str">
        <f t="shared" si="21"/>
        <v/>
      </c>
      <c r="X48" s="6" t="str">
        <f t="shared" si="22"/>
        <v/>
      </c>
      <c r="Y48" s="6" t="str">
        <f t="shared" si="23"/>
        <v/>
      </c>
      <c r="Z48" s="6" t="str">
        <f t="shared" si="19"/>
        <v/>
      </c>
      <c r="AA48" s="6" t="str">
        <f t="shared" si="24"/>
        <v/>
      </c>
      <c r="AB48" s="6" t="str">
        <f t="shared" si="25"/>
        <v/>
      </c>
      <c r="AC48" s="6" t="str">
        <f t="shared" si="26"/>
        <v/>
      </c>
      <c r="AD48" s="6" t="str">
        <f t="shared" si="20"/>
        <v/>
      </c>
    </row>
    <row r="49" spans="1:30">
      <c r="A49" s="6" t="s">
        <v>94</v>
      </c>
      <c r="B49" s="6">
        <v>165.93</v>
      </c>
      <c r="C49" s="6">
        <f t="shared" si="9"/>
        <v>1.26327352618087</v>
      </c>
      <c r="D49" s="6">
        <v>180.68</v>
      </c>
      <c r="E49" s="6">
        <f t="shared" si="10"/>
        <v>1.01190808967406</v>
      </c>
      <c r="F49" s="6">
        <v>67.529</v>
      </c>
      <c r="G49" s="6">
        <f t="shared" si="11"/>
        <v>0.562910455540488</v>
      </c>
      <c r="H49" s="6">
        <v>386.54</v>
      </c>
      <c r="I49" s="6">
        <f t="shared" si="12"/>
        <v>0.0569476082004527</v>
      </c>
      <c r="J49" s="6">
        <v>79.1867</v>
      </c>
      <c r="K49" s="6">
        <f t="shared" si="13"/>
        <v>0</v>
      </c>
      <c r="L49" s="6">
        <v>107.7596</v>
      </c>
      <c r="M49" s="6">
        <f t="shared" si="14"/>
        <v>0.00918796061613047</v>
      </c>
      <c r="N49" s="6">
        <v>53.1538</v>
      </c>
      <c r="O49" s="6">
        <f t="shared" si="15"/>
        <v>1.36832690330935</v>
      </c>
      <c r="P49" s="6">
        <v>57.26</v>
      </c>
      <c r="Q49" s="6">
        <f t="shared" si="16"/>
        <v>-0.296012537001566</v>
      </c>
      <c r="R49" s="6">
        <v>80.03</v>
      </c>
      <c r="S49" s="6">
        <f t="shared" si="17"/>
        <v>2.97220792588782</v>
      </c>
      <c r="T49" s="6">
        <v>111.3603</v>
      </c>
      <c r="U49" s="6">
        <f t="shared" si="18"/>
        <v>-0.419211099794237</v>
      </c>
      <c r="V49" s="6">
        <v>-9.0535</v>
      </c>
      <c r="W49" s="6" t="str">
        <f t="shared" si="21"/>
        <v/>
      </c>
      <c r="X49" s="6" t="str">
        <f t="shared" si="22"/>
        <v/>
      </c>
      <c r="Y49" s="6" t="str">
        <f t="shared" si="23"/>
        <v/>
      </c>
      <c r="Z49" s="6" t="str">
        <f t="shared" si="19"/>
        <v/>
      </c>
      <c r="AA49" s="6">
        <f t="shared" si="24"/>
        <v>3.32632278060658</v>
      </c>
      <c r="AB49" s="6" t="str">
        <f t="shared" si="25"/>
        <v/>
      </c>
      <c r="AC49" s="6" t="str">
        <f t="shared" si="26"/>
        <v/>
      </c>
      <c r="AD49" s="6">
        <f t="shared" si="20"/>
        <v>3.32632278060658</v>
      </c>
    </row>
    <row r="50" spans="1:30">
      <c r="A50" s="6" t="s">
        <v>95</v>
      </c>
      <c r="B50" s="6">
        <v>163.86</v>
      </c>
      <c r="C50" s="6">
        <f t="shared" si="9"/>
        <v>6.56867845993758</v>
      </c>
      <c r="D50" s="6">
        <v>178.87</v>
      </c>
      <c r="E50" s="6">
        <f t="shared" si="10"/>
        <v>3.45884666550986</v>
      </c>
      <c r="F50" s="6">
        <v>67.151</v>
      </c>
      <c r="G50" s="6">
        <f t="shared" si="11"/>
        <v>4.39217917566384</v>
      </c>
      <c r="H50" s="6">
        <v>386.32</v>
      </c>
      <c r="I50" s="6">
        <f t="shared" si="12"/>
        <v>3.1341769448449</v>
      </c>
      <c r="J50" s="6">
        <v>79.1867</v>
      </c>
      <c r="K50" s="6">
        <f t="shared" si="13"/>
        <v>0.591455149889919</v>
      </c>
      <c r="L50" s="6">
        <v>107.7497</v>
      </c>
      <c r="M50" s="6">
        <f t="shared" si="14"/>
        <v>0.357095289676557</v>
      </c>
      <c r="N50" s="6">
        <v>52.4363</v>
      </c>
      <c r="O50" s="6">
        <f t="shared" si="15"/>
        <v>0.746622809461339</v>
      </c>
      <c r="P50" s="6">
        <v>57.43</v>
      </c>
      <c r="Q50" s="6">
        <f t="shared" si="16"/>
        <v>0.454783977610629</v>
      </c>
      <c r="R50" s="6">
        <v>77.72</v>
      </c>
      <c r="S50" s="6">
        <f t="shared" si="17"/>
        <v>5.29738517816014</v>
      </c>
      <c r="T50" s="6">
        <v>111.8291</v>
      </c>
      <c r="U50" s="6">
        <f t="shared" si="18"/>
        <v>0.99989162045484</v>
      </c>
      <c r="V50" s="6">
        <v>-12.5113</v>
      </c>
      <c r="W50" s="6" t="str">
        <f t="shared" si="21"/>
        <v/>
      </c>
      <c r="X50" s="6" t="str">
        <f t="shared" si="22"/>
        <v/>
      </c>
      <c r="Y50" s="6" t="str">
        <f t="shared" si="23"/>
        <v/>
      </c>
      <c r="Z50" s="6" t="str">
        <f t="shared" si="19"/>
        <v/>
      </c>
      <c r="AA50" s="6" t="str">
        <f t="shared" si="24"/>
        <v/>
      </c>
      <c r="AB50" s="6" t="str">
        <f t="shared" si="25"/>
        <v/>
      </c>
      <c r="AC50" s="6">
        <f t="shared" si="26"/>
        <v>1.01190808967406</v>
      </c>
      <c r="AD50" s="6">
        <f t="shared" si="20"/>
        <v>1.01190808967406</v>
      </c>
    </row>
    <row r="51" spans="1:30">
      <c r="A51" s="6" t="s">
        <v>96</v>
      </c>
      <c r="B51" s="6">
        <v>153.76</v>
      </c>
      <c r="C51" s="6">
        <f t="shared" si="9"/>
        <v>-3.97801786048836</v>
      </c>
      <c r="D51" s="6">
        <v>172.89</v>
      </c>
      <c r="E51" s="6">
        <f t="shared" si="10"/>
        <v>-3.23501427212179</v>
      </c>
      <c r="F51" s="6">
        <v>64.3257</v>
      </c>
      <c r="G51" s="6">
        <f t="shared" si="11"/>
        <v>-1.76237826379778</v>
      </c>
      <c r="H51" s="6">
        <v>374.58</v>
      </c>
      <c r="I51" s="6">
        <f t="shared" si="12"/>
        <v>-4.14555504375863</v>
      </c>
      <c r="J51" s="6">
        <v>78.7211</v>
      </c>
      <c r="K51" s="6">
        <f t="shared" si="13"/>
        <v>-0.188412026418239</v>
      </c>
      <c r="L51" s="6">
        <v>107.3663</v>
      </c>
      <c r="M51" s="6">
        <f t="shared" si="14"/>
        <v>-0.100582092107526</v>
      </c>
      <c r="N51" s="6">
        <v>52.0477</v>
      </c>
      <c r="O51" s="6">
        <f t="shared" si="15"/>
        <v>-0.43843456670154</v>
      </c>
      <c r="P51" s="6">
        <v>57.17</v>
      </c>
      <c r="Q51" s="6">
        <f t="shared" si="16"/>
        <v>-0.104840118818794</v>
      </c>
      <c r="R51" s="6">
        <v>73.81</v>
      </c>
      <c r="S51" s="6">
        <f t="shared" si="17"/>
        <v>-4.87176182497745</v>
      </c>
      <c r="T51" s="6">
        <v>110.722</v>
      </c>
      <c r="U51" s="6">
        <f t="shared" si="18"/>
        <v>-0.421528059451026</v>
      </c>
      <c r="V51" s="6">
        <v>11.8269</v>
      </c>
      <c r="W51" s="6">
        <f t="shared" si="21"/>
        <v>6.56867845993758</v>
      </c>
      <c r="X51" s="6" t="str">
        <f t="shared" si="22"/>
        <v/>
      </c>
      <c r="Y51" s="6" t="str">
        <f t="shared" si="23"/>
        <v/>
      </c>
      <c r="Z51" s="6">
        <f t="shared" si="19"/>
        <v>6.56867845993758</v>
      </c>
      <c r="AA51" s="6" t="str">
        <f t="shared" si="24"/>
        <v/>
      </c>
      <c r="AB51" s="6" t="str">
        <f t="shared" si="25"/>
        <v/>
      </c>
      <c r="AC51" s="6" t="str">
        <f t="shared" si="26"/>
        <v/>
      </c>
      <c r="AD51" s="6" t="str">
        <f t="shared" si="20"/>
        <v/>
      </c>
    </row>
    <row r="52" spans="1:30">
      <c r="A52" s="6" t="s">
        <v>97</v>
      </c>
      <c r="B52" s="6">
        <v>160.13</v>
      </c>
      <c r="C52" s="6">
        <f t="shared" si="9"/>
        <v>-2.27036924015868</v>
      </c>
      <c r="D52" s="6">
        <v>178.67</v>
      </c>
      <c r="E52" s="6">
        <f t="shared" si="10"/>
        <v>-0.545505148900649</v>
      </c>
      <c r="F52" s="6">
        <v>65.4797</v>
      </c>
      <c r="G52" s="6">
        <f t="shared" si="11"/>
        <v>0.106558630178877</v>
      </c>
      <c r="H52" s="6">
        <v>390.78</v>
      </c>
      <c r="I52" s="6">
        <f t="shared" si="12"/>
        <v>-1.63364965892214</v>
      </c>
      <c r="J52" s="6">
        <v>78.8697</v>
      </c>
      <c r="K52" s="6">
        <f t="shared" si="13"/>
        <v>0.100519732708904</v>
      </c>
      <c r="L52" s="6">
        <v>107.4744</v>
      </c>
      <c r="M52" s="6">
        <f t="shared" si="14"/>
        <v>0.174018084086058</v>
      </c>
      <c r="N52" s="6">
        <v>52.2769</v>
      </c>
      <c r="O52" s="6">
        <f t="shared" si="15"/>
        <v>0.942871597224082</v>
      </c>
      <c r="P52" s="6">
        <v>57.23</v>
      </c>
      <c r="Q52" s="6">
        <f t="shared" si="16"/>
        <v>-0.0872905027933024</v>
      </c>
      <c r="R52" s="6">
        <v>77.59</v>
      </c>
      <c r="S52" s="6">
        <f t="shared" si="17"/>
        <v>-1.37282318545824</v>
      </c>
      <c r="T52" s="6">
        <v>111.1907</v>
      </c>
      <c r="U52" s="6">
        <f t="shared" si="18"/>
        <v>0.351077645920594</v>
      </c>
      <c r="V52" s="6">
        <v>5.0211</v>
      </c>
      <c r="W52" s="6">
        <f t="shared" si="21"/>
        <v>-3.97801786048836</v>
      </c>
      <c r="X52" s="6" t="str">
        <f t="shared" si="22"/>
        <v/>
      </c>
      <c r="Y52" s="6">
        <f t="shared" si="23"/>
        <v>-3.97801786048836</v>
      </c>
      <c r="Z52" s="6">
        <f t="shared" si="19"/>
        <v>-3.97801786048836</v>
      </c>
      <c r="AA52" s="6" t="str">
        <f t="shared" si="24"/>
        <v/>
      </c>
      <c r="AB52" s="6" t="str">
        <f t="shared" si="25"/>
        <v/>
      </c>
      <c r="AC52" s="6" t="str">
        <f t="shared" si="26"/>
        <v/>
      </c>
      <c r="AD52" s="6" t="str">
        <f t="shared" si="20"/>
        <v/>
      </c>
    </row>
    <row r="53" spans="1:30">
      <c r="A53" s="6" t="s">
        <v>98</v>
      </c>
      <c r="B53" s="6">
        <v>163.85</v>
      </c>
      <c r="C53" s="6">
        <f t="shared" si="9"/>
        <v>3.10867786797557</v>
      </c>
      <c r="D53" s="6">
        <v>179.65</v>
      </c>
      <c r="E53" s="6">
        <f t="shared" si="10"/>
        <v>0.525991830339656</v>
      </c>
      <c r="F53" s="6">
        <v>65.41</v>
      </c>
      <c r="G53" s="6">
        <f t="shared" si="11"/>
        <v>1.79594123505975</v>
      </c>
      <c r="H53" s="6">
        <v>397.27</v>
      </c>
      <c r="I53" s="6">
        <f t="shared" si="12"/>
        <v>0.259943468604873</v>
      </c>
      <c r="J53" s="6">
        <v>78.7905</v>
      </c>
      <c r="K53" s="6">
        <f t="shared" si="13"/>
        <v>0.138533200307567</v>
      </c>
      <c r="L53" s="6">
        <v>107.2877</v>
      </c>
      <c r="M53" s="6">
        <f t="shared" si="14"/>
        <v>-0.109770812695065</v>
      </c>
      <c r="N53" s="6">
        <v>51.7886</v>
      </c>
      <c r="O53" s="6">
        <f t="shared" si="15"/>
        <v>-0.630883351817246</v>
      </c>
      <c r="P53" s="6">
        <v>57.28</v>
      </c>
      <c r="Q53" s="6">
        <f t="shared" si="16"/>
        <v>-0.0523468853603215</v>
      </c>
      <c r="R53" s="6">
        <v>78.67</v>
      </c>
      <c r="S53" s="6">
        <f t="shared" si="17"/>
        <v>-0.215626585489603</v>
      </c>
      <c r="T53" s="6">
        <v>110.8017</v>
      </c>
      <c r="U53" s="6">
        <f t="shared" si="18"/>
        <v>-0.519392136124741</v>
      </c>
      <c r="V53" s="6">
        <v>-12.0409</v>
      </c>
      <c r="W53" s="6" t="str">
        <f t="shared" si="21"/>
        <v/>
      </c>
      <c r="X53" s="6" t="str">
        <f t="shared" si="22"/>
        <v/>
      </c>
      <c r="Y53" s="6" t="str">
        <f t="shared" si="23"/>
        <v/>
      </c>
      <c r="Z53" s="6" t="str">
        <f t="shared" si="19"/>
        <v/>
      </c>
      <c r="AA53" s="6" t="str">
        <f t="shared" si="24"/>
        <v/>
      </c>
      <c r="AB53" s="6" t="str">
        <f t="shared" si="25"/>
        <v/>
      </c>
      <c r="AC53" s="6" t="str">
        <f t="shared" si="26"/>
        <v/>
      </c>
      <c r="AD53" s="6" t="str">
        <f t="shared" si="20"/>
        <v/>
      </c>
    </row>
    <row r="54" spans="1:30">
      <c r="A54" s="6" t="s">
        <v>99</v>
      </c>
      <c r="B54" s="6">
        <v>158.91</v>
      </c>
      <c r="C54" s="6">
        <f t="shared" si="9"/>
        <v>-9.56120880997098</v>
      </c>
      <c r="D54" s="6">
        <v>178.71</v>
      </c>
      <c r="E54" s="6">
        <f t="shared" si="10"/>
        <v>-5.26901669758812</v>
      </c>
      <c r="F54" s="6">
        <v>64.256</v>
      </c>
      <c r="G54" s="6">
        <f t="shared" si="11"/>
        <v>-6.52680211862496</v>
      </c>
      <c r="H54" s="6">
        <v>396.24</v>
      </c>
      <c r="I54" s="6">
        <f t="shared" si="12"/>
        <v>-3.65453351812677</v>
      </c>
      <c r="J54" s="6">
        <v>78.6815</v>
      </c>
      <c r="K54" s="6">
        <f t="shared" si="13"/>
        <v>-0.501026205870925</v>
      </c>
      <c r="L54" s="6">
        <v>107.4056</v>
      </c>
      <c r="M54" s="6">
        <f t="shared" si="14"/>
        <v>-0.482827696946164</v>
      </c>
      <c r="N54" s="6">
        <v>52.1174</v>
      </c>
      <c r="O54" s="6">
        <f t="shared" si="15"/>
        <v>0.210737620126222</v>
      </c>
      <c r="P54" s="6">
        <v>57.31</v>
      </c>
      <c r="Q54" s="6">
        <f t="shared" si="16"/>
        <v>-0.0697471665213611</v>
      </c>
      <c r="R54" s="6">
        <v>78.84</v>
      </c>
      <c r="S54" s="6">
        <f t="shared" si="17"/>
        <v>-8.75</v>
      </c>
      <c r="T54" s="6">
        <v>111.3802</v>
      </c>
      <c r="U54" s="6">
        <f t="shared" si="18"/>
        <v>-1.27312937380614</v>
      </c>
      <c r="V54" s="6">
        <v>39.6753</v>
      </c>
      <c r="W54" s="6">
        <f t="shared" si="21"/>
        <v>3.10867786797557</v>
      </c>
      <c r="X54" s="6" t="str">
        <f t="shared" si="22"/>
        <v/>
      </c>
      <c r="Y54" s="6" t="str">
        <f t="shared" si="23"/>
        <v/>
      </c>
      <c r="Z54" s="6">
        <f t="shared" si="19"/>
        <v>3.10867786797557</v>
      </c>
      <c r="AA54" s="6" t="str">
        <f t="shared" si="24"/>
        <v/>
      </c>
      <c r="AB54" s="6" t="str">
        <f t="shared" si="25"/>
        <v/>
      </c>
      <c r="AC54" s="6" t="str">
        <f t="shared" si="26"/>
        <v/>
      </c>
      <c r="AD54" s="6" t="str">
        <f t="shared" si="20"/>
        <v/>
      </c>
    </row>
    <row r="55" spans="1:30">
      <c r="A55" s="6" t="s">
        <v>100</v>
      </c>
      <c r="B55" s="6">
        <v>175.71</v>
      </c>
      <c r="C55" s="6">
        <f t="shared" si="9"/>
        <v>-1.0307536329841</v>
      </c>
      <c r="D55" s="6">
        <v>188.65</v>
      </c>
      <c r="E55" s="6">
        <f t="shared" si="10"/>
        <v>0.812269545235944</v>
      </c>
      <c r="F55" s="6">
        <v>68.7427</v>
      </c>
      <c r="G55" s="6">
        <f t="shared" si="11"/>
        <v>-1.17268367299996</v>
      </c>
      <c r="H55" s="6">
        <v>411.27</v>
      </c>
      <c r="I55" s="6">
        <f t="shared" si="12"/>
        <v>0.833598940838987</v>
      </c>
      <c r="J55" s="6">
        <v>79.0777</v>
      </c>
      <c r="K55" s="6">
        <f t="shared" si="13"/>
        <v>0.188270232398424</v>
      </c>
      <c r="L55" s="6">
        <v>107.9267</v>
      </c>
      <c r="M55" s="6">
        <f t="shared" si="14"/>
        <v>0.00917373383939601</v>
      </c>
      <c r="N55" s="6">
        <v>52.0078</v>
      </c>
      <c r="O55" s="6">
        <f t="shared" si="15"/>
        <v>2.59486629159402</v>
      </c>
      <c r="P55" s="6">
        <v>57.35</v>
      </c>
      <c r="Q55" s="6">
        <f t="shared" si="16"/>
        <v>0.0174398325776037</v>
      </c>
      <c r="R55" s="6">
        <v>86.4</v>
      </c>
      <c r="S55" s="6">
        <f t="shared" si="17"/>
        <v>1.64705882352942</v>
      </c>
      <c r="T55" s="6">
        <v>112.8165</v>
      </c>
      <c r="U55" s="6">
        <f t="shared" si="18"/>
        <v>0.918961760170034</v>
      </c>
      <c r="V55" s="6">
        <v>-4.1096</v>
      </c>
      <c r="W55" s="6" t="str">
        <f t="shared" si="21"/>
        <v/>
      </c>
      <c r="X55" s="6" t="str">
        <f t="shared" si="22"/>
        <v/>
      </c>
      <c r="Y55" s="6" t="str">
        <f t="shared" si="23"/>
        <v/>
      </c>
      <c r="Z55" s="6" t="str">
        <f t="shared" si="19"/>
        <v/>
      </c>
      <c r="AA55" s="6" t="str">
        <f t="shared" si="24"/>
        <v/>
      </c>
      <c r="AB55" s="6" t="str">
        <f t="shared" si="25"/>
        <v/>
      </c>
      <c r="AC55" s="6">
        <f t="shared" si="26"/>
        <v>-5.26901669758812</v>
      </c>
      <c r="AD55" s="6">
        <f t="shared" si="20"/>
        <v>-5.26901669758812</v>
      </c>
    </row>
    <row r="56" spans="1:30">
      <c r="A56" s="6" t="s">
        <v>101</v>
      </c>
      <c r="B56" s="6">
        <v>177.54</v>
      </c>
      <c r="C56" s="6">
        <f t="shared" si="9"/>
        <v>-0.582372046141799</v>
      </c>
      <c r="D56" s="6">
        <v>187.13</v>
      </c>
      <c r="E56" s="6">
        <f t="shared" si="10"/>
        <v>-1.45866245392312</v>
      </c>
      <c r="F56" s="6">
        <v>69.5584</v>
      </c>
      <c r="G56" s="6">
        <f t="shared" si="11"/>
        <v>-1.2430094031425</v>
      </c>
      <c r="H56" s="6">
        <v>407.87</v>
      </c>
      <c r="I56" s="6">
        <f t="shared" si="12"/>
        <v>-0.990411457701168</v>
      </c>
      <c r="J56" s="6">
        <v>78.9291</v>
      </c>
      <c r="K56" s="6">
        <f t="shared" si="13"/>
        <v>-0.27543649735744</v>
      </c>
      <c r="L56" s="6">
        <v>107.9168</v>
      </c>
      <c r="M56" s="6">
        <f t="shared" si="14"/>
        <v>-0.181938425821015</v>
      </c>
      <c r="N56" s="6">
        <v>50.6924</v>
      </c>
      <c r="O56" s="6">
        <f t="shared" si="15"/>
        <v>-1.14663692170888</v>
      </c>
      <c r="P56" s="6">
        <v>57.34</v>
      </c>
      <c r="Q56" s="6">
        <f t="shared" si="16"/>
        <v>-0.156712519589064</v>
      </c>
      <c r="R56" s="6">
        <v>85</v>
      </c>
      <c r="S56" s="6">
        <f t="shared" si="17"/>
        <v>-3.46394094264622</v>
      </c>
      <c r="T56" s="6">
        <v>111.7892</v>
      </c>
      <c r="U56" s="6">
        <f t="shared" si="18"/>
        <v>-1.3119364945403</v>
      </c>
      <c r="V56" s="6">
        <v>1.8389</v>
      </c>
      <c r="W56" s="6" t="str">
        <f t="shared" si="21"/>
        <v/>
      </c>
      <c r="X56" s="6" t="str">
        <f t="shared" si="22"/>
        <v/>
      </c>
      <c r="Y56" s="6" t="str">
        <f t="shared" si="23"/>
        <v/>
      </c>
      <c r="Z56" s="6" t="str">
        <f t="shared" si="19"/>
        <v/>
      </c>
      <c r="AA56" s="6" t="str">
        <f t="shared" si="24"/>
        <v/>
      </c>
      <c r="AB56" s="6">
        <f t="shared" si="25"/>
        <v>0.812269545235944</v>
      </c>
      <c r="AC56" s="6" t="str">
        <f t="shared" si="26"/>
        <v/>
      </c>
      <c r="AD56" s="6">
        <f t="shared" si="20"/>
        <v>0.812269545235944</v>
      </c>
    </row>
    <row r="57" spans="1:30">
      <c r="A57" s="6" t="s">
        <v>102</v>
      </c>
      <c r="B57" s="6">
        <v>178.58</v>
      </c>
      <c r="C57" s="6">
        <f t="shared" si="9"/>
        <v>0.938277187429359</v>
      </c>
      <c r="D57" s="6">
        <v>189.9</v>
      </c>
      <c r="E57" s="6">
        <f t="shared" si="10"/>
        <v>0.253405131453932</v>
      </c>
      <c r="F57" s="6">
        <v>70.4339</v>
      </c>
      <c r="G57" s="6">
        <f t="shared" si="11"/>
        <v>1.0274306631324</v>
      </c>
      <c r="H57" s="6">
        <v>411.95</v>
      </c>
      <c r="I57" s="6">
        <f t="shared" si="12"/>
        <v>0.167777075329467</v>
      </c>
      <c r="J57" s="6">
        <v>79.1471</v>
      </c>
      <c r="K57" s="6">
        <f t="shared" si="13"/>
        <v>0.0752330327383754</v>
      </c>
      <c r="L57" s="6">
        <v>108.1135</v>
      </c>
      <c r="M57" s="6">
        <f t="shared" si="14"/>
        <v>-0.00906372631985786</v>
      </c>
      <c r="N57" s="6">
        <v>51.2804</v>
      </c>
      <c r="O57" s="6">
        <f t="shared" si="15"/>
        <v>0.058340894235176</v>
      </c>
      <c r="P57" s="6">
        <v>57.43</v>
      </c>
      <c r="Q57" s="6">
        <f t="shared" si="16"/>
        <v>-0.139106242392628</v>
      </c>
      <c r="R57" s="6">
        <v>88.05</v>
      </c>
      <c r="S57" s="6">
        <f t="shared" si="17"/>
        <v>1.58052607291186</v>
      </c>
      <c r="T57" s="6">
        <v>113.2753</v>
      </c>
      <c r="U57" s="6">
        <f t="shared" si="18"/>
        <v>-1.76454774087244</v>
      </c>
      <c r="V57" s="6">
        <v>-1.7445</v>
      </c>
      <c r="W57" s="6" t="str">
        <f t="shared" si="21"/>
        <v/>
      </c>
      <c r="X57" s="6" t="str">
        <f t="shared" si="22"/>
        <v/>
      </c>
      <c r="Y57" s="6" t="str">
        <f t="shared" si="23"/>
        <v/>
      </c>
      <c r="Z57" s="6" t="str">
        <f t="shared" si="19"/>
        <v/>
      </c>
      <c r="AA57" s="6">
        <f t="shared" si="24"/>
        <v>-1.45866245392312</v>
      </c>
      <c r="AB57" s="6" t="str">
        <f t="shared" si="25"/>
        <v/>
      </c>
      <c r="AC57" s="6" t="str">
        <f t="shared" si="26"/>
        <v/>
      </c>
      <c r="AD57" s="6">
        <f t="shared" si="20"/>
        <v>-1.45866245392312</v>
      </c>
    </row>
    <row r="58" spans="1:30">
      <c r="A58" s="6" t="s">
        <v>103</v>
      </c>
      <c r="B58" s="6">
        <v>176.92</v>
      </c>
      <c r="C58" s="6">
        <f t="shared" si="9"/>
        <v>1.14337983077979</v>
      </c>
      <c r="D58" s="6">
        <v>189.42</v>
      </c>
      <c r="E58" s="6">
        <f t="shared" si="10"/>
        <v>0.488063660477445</v>
      </c>
      <c r="F58" s="6">
        <v>69.7176</v>
      </c>
      <c r="G58" s="6">
        <f t="shared" si="11"/>
        <v>2.15736468298917</v>
      </c>
      <c r="H58" s="6">
        <v>411.26</v>
      </c>
      <c r="I58" s="6">
        <f t="shared" si="12"/>
        <v>-1.40487149980821</v>
      </c>
      <c r="J58" s="6">
        <v>79.0876</v>
      </c>
      <c r="K58" s="6">
        <f t="shared" si="13"/>
        <v>-0.0764389795838483</v>
      </c>
      <c r="L58" s="6">
        <v>108.1233</v>
      </c>
      <c r="M58" s="6">
        <f t="shared" si="14"/>
        <v>0.0436729304628791</v>
      </c>
      <c r="N58" s="6">
        <v>51.2505</v>
      </c>
      <c r="O58" s="6">
        <f t="shared" si="15"/>
        <v>-0.290662044089585</v>
      </c>
      <c r="P58" s="6">
        <v>57.51</v>
      </c>
      <c r="Q58" s="6">
        <f t="shared" si="16"/>
        <v>-0.190905935439079</v>
      </c>
      <c r="R58" s="6">
        <v>86.68</v>
      </c>
      <c r="S58" s="6">
        <f t="shared" si="17"/>
        <v>-3.14001564420604</v>
      </c>
      <c r="T58" s="6">
        <v>115.31</v>
      </c>
      <c r="U58" s="6">
        <f t="shared" si="18"/>
        <v>-0.0691568925502928</v>
      </c>
      <c r="V58" s="6">
        <v>4.765</v>
      </c>
      <c r="W58" s="6" t="str">
        <f t="shared" si="21"/>
        <v/>
      </c>
      <c r="X58" s="6">
        <f t="shared" si="22"/>
        <v>0.938277187429359</v>
      </c>
      <c r="Y58" s="6" t="str">
        <f t="shared" si="23"/>
        <v/>
      </c>
      <c r="Z58" s="6">
        <f t="shared" si="19"/>
        <v>0.938277187429359</v>
      </c>
      <c r="AA58" s="6" t="str">
        <f t="shared" si="24"/>
        <v/>
      </c>
      <c r="AB58" s="6" t="str">
        <f t="shared" si="25"/>
        <v/>
      </c>
      <c r="AC58" s="6" t="str">
        <f t="shared" si="26"/>
        <v/>
      </c>
      <c r="AD58" s="6" t="str">
        <f t="shared" si="20"/>
        <v/>
      </c>
    </row>
    <row r="59" spans="1:30">
      <c r="A59" s="6" t="s">
        <v>104</v>
      </c>
      <c r="B59" s="6">
        <v>174.92</v>
      </c>
      <c r="C59" s="6">
        <f t="shared" si="9"/>
        <v>0.713956701980645</v>
      </c>
      <c r="D59" s="6">
        <v>188.5</v>
      </c>
      <c r="E59" s="6">
        <f t="shared" si="10"/>
        <v>0.436913895993185</v>
      </c>
      <c r="F59" s="6">
        <v>68.2453</v>
      </c>
      <c r="G59" s="6">
        <f t="shared" si="11"/>
        <v>-0.0145043894091645</v>
      </c>
      <c r="H59" s="6">
        <v>417.12</v>
      </c>
      <c r="I59" s="6">
        <f t="shared" si="12"/>
        <v>1.05385565811469</v>
      </c>
      <c r="J59" s="6">
        <v>79.1481</v>
      </c>
      <c r="K59" s="6">
        <f t="shared" si="13"/>
        <v>0.0997860102290193</v>
      </c>
      <c r="L59" s="6">
        <v>108.0761</v>
      </c>
      <c r="M59" s="6">
        <f t="shared" si="14"/>
        <v>0.0269327237220729</v>
      </c>
      <c r="N59" s="6">
        <v>51.3999</v>
      </c>
      <c r="O59" s="6">
        <f t="shared" si="15"/>
        <v>0.604607465111284</v>
      </c>
      <c r="P59" s="6">
        <v>57.62</v>
      </c>
      <c r="Q59" s="6">
        <f t="shared" si="16"/>
        <v>-0.0520381613183019</v>
      </c>
      <c r="R59" s="6">
        <v>89.49</v>
      </c>
      <c r="S59" s="6">
        <f t="shared" si="17"/>
        <v>2.64969029593942</v>
      </c>
      <c r="T59" s="6">
        <v>115.3898</v>
      </c>
      <c r="U59" s="6">
        <f t="shared" si="18"/>
        <v>-0.840012615227825</v>
      </c>
      <c r="V59" s="6">
        <v>-2.6684</v>
      </c>
      <c r="W59" s="6" t="str">
        <f t="shared" si="21"/>
        <v/>
      </c>
      <c r="X59" s="6" t="str">
        <f t="shared" si="22"/>
        <v/>
      </c>
      <c r="Y59" s="6" t="str">
        <f t="shared" si="23"/>
        <v/>
      </c>
      <c r="Z59" s="6" t="str">
        <f t="shared" si="19"/>
        <v/>
      </c>
      <c r="AA59" s="6">
        <f t="shared" si="24"/>
        <v>0.488063660477445</v>
      </c>
      <c r="AB59" s="6" t="str">
        <f t="shared" si="25"/>
        <v/>
      </c>
      <c r="AC59" s="6" t="str">
        <f t="shared" si="26"/>
        <v/>
      </c>
      <c r="AD59" s="6">
        <f t="shared" si="20"/>
        <v>0.488063660477445</v>
      </c>
    </row>
    <row r="60" spans="1:30">
      <c r="A60" s="6" t="s">
        <v>105</v>
      </c>
      <c r="B60" s="6">
        <v>173.68</v>
      </c>
      <c r="C60" s="6">
        <f t="shared" si="9"/>
        <v>1.66237415125263</v>
      </c>
      <c r="D60" s="6">
        <v>187.68</v>
      </c>
      <c r="E60" s="6">
        <f t="shared" si="10"/>
        <v>1.1261382617598</v>
      </c>
      <c r="F60" s="6">
        <v>68.2552</v>
      </c>
      <c r="G60" s="6">
        <f t="shared" si="11"/>
        <v>0.321592559277106</v>
      </c>
      <c r="H60" s="6">
        <v>412.77</v>
      </c>
      <c r="I60" s="6">
        <f t="shared" si="12"/>
        <v>1.04776126710568</v>
      </c>
      <c r="J60" s="6">
        <v>79.0692</v>
      </c>
      <c r="K60" s="6">
        <f t="shared" si="13"/>
        <v>0.124729804851675</v>
      </c>
      <c r="L60" s="6">
        <v>108.047</v>
      </c>
      <c r="M60" s="6">
        <f t="shared" si="14"/>
        <v>0.270612888077992</v>
      </c>
      <c r="N60" s="6">
        <v>51.091</v>
      </c>
      <c r="O60" s="6">
        <f t="shared" si="15"/>
        <v>-0.291761399674073</v>
      </c>
      <c r="P60" s="6">
        <v>57.65</v>
      </c>
      <c r="Q60" s="6">
        <f t="shared" si="16"/>
        <v>0.191171359054576</v>
      </c>
      <c r="R60" s="6">
        <v>87.18</v>
      </c>
      <c r="S60" s="6">
        <f t="shared" si="17"/>
        <v>2.0365168539326</v>
      </c>
      <c r="T60" s="6">
        <v>116.3673</v>
      </c>
      <c r="U60" s="6">
        <f t="shared" si="18"/>
        <v>0.352713001139215</v>
      </c>
      <c r="V60" s="6">
        <v>-3.3763</v>
      </c>
      <c r="W60" s="6" t="str">
        <f t="shared" si="21"/>
        <v/>
      </c>
      <c r="X60" s="6" t="str">
        <f t="shared" si="22"/>
        <v/>
      </c>
      <c r="Y60" s="6" t="str">
        <f t="shared" si="23"/>
        <v/>
      </c>
      <c r="Z60" s="6" t="str">
        <f t="shared" si="19"/>
        <v/>
      </c>
      <c r="AA60" s="6" t="str">
        <f t="shared" si="24"/>
        <v/>
      </c>
      <c r="AB60" s="6" t="str">
        <f t="shared" si="25"/>
        <v/>
      </c>
      <c r="AC60" s="6">
        <f t="shared" si="26"/>
        <v>0.436913895993185</v>
      </c>
      <c r="AD60" s="6">
        <f t="shared" si="20"/>
        <v>0.436913895993185</v>
      </c>
    </row>
    <row r="61" spans="1:30">
      <c r="A61" s="6" t="s">
        <v>106</v>
      </c>
      <c r="B61" s="6">
        <v>170.84</v>
      </c>
      <c r="C61" s="6">
        <f t="shared" si="9"/>
        <v>-0.204451194579114</v>
      </c>
      <c r="D61" s="6">
        <v>185.59</v>
      </c>
      <c r="E61" s="6">
        <f t="shared" si="10"/>
        <v>0.0107776041386121</v>
      </c>
      <c r="F61" s="6">
        <v>68.0364</v>
      </c>
      <c r="G61" s="6">
        <f t="shared" si="11"/>
        <v>-0.0145489174282809</v>
      </c>
      <c r="H61" s="6">
        <v>408.49</v>
      </c>
      <c r="I61" s="6">
        <f t="shared" si="12"/>
        <v>-1.33091787439613</v>
      </c>
      <c r="J61" s="6">
        <v>78.9707</v>
      </c>
      <c r="K61" s="6">
        <f t="shared" si="13"/>
        <v>-0.0622627970929046</v>
      </c>
      <c r="L61" s="6">
        <v>107.7554</v>
      </c>
      <c r="M61" s="6">
        <f t="shared" si="14"/>
        <v>0.0541333053536208</v>
      </c>
      <c r="N61" s="6">
        <v>51.2405</v>
      </c>
      <c r="O61" s="6">
        <f t="shared" si="15"/>
        <v>-0.82931738566645</v>
      </c>
      <c r="P61" s="6">
        <v>57.54</v>
      </c>
      <c r="Q61" s="6">
        <f t="shared" si="16"/>
        <v>-0.156168662155132</v>
      </c>
      <c r="R61" s="6">
        <v>85.44</v>
      </c>
      <c r="S61" s="6">
        <f t="shared" si="17"/>
        <v>-3.45762711864407</v>
      </c>
      <c r="T61" s="6">
        <v>115.9583</v>
      </c>
      <c r="U61" s="6">
        <f t="shared" si="18"/>
        <v>0.614402404507741</v>
      </c>
      <c r="V61" s="6">
        <v>-4.2328</v>
      </c>
      <c r="W61" s="6" t="str">
        <f t="shared" si="21"/>
        <v/>
      </c>
      <c r="X61" s="6">
        <f t="shared" si="22"/>
        <v>1.66237415125263</v>
      </c>
      <c r="Y61" s="6" t="str">
        <f t="shared" si="23"/>
        <v/>
      </c>
      <c r="Z61" s="6">
        <f t="shared" si="19"/>
        <v>1.66237415125263</v>
      </c>
      <c r="AA61" s="6" t="str">
        <f t="shared" si="24"/>
        <v/>
      </c>
      <c r="AB61" s="6" t="str">
        <f t="shared" si="25"/>
        <v/>
      </c>
      <c r="AC61" s="6" t="str">
        <f t="shared" si="26"/>
        <v/>
      </c>
      <c r="AD61" s="6" t="str">
        <f t="shared" si="20"/>
        <v/>
      </c>
    </row>
    <row r="62" spans="1:30">
      <c r="A62" s="6" t="s">
        <v>107</v>
      </c>
      <c r="B62" s="6">
        <v>171.19</v>
      </c>
      <c r="C62" s="6">
        <f t="shared" si="9"/>
        <v>3.46307264595671</v>
      </c>
      <c r="D62" s="6">
        <v>185.57</v>
      </c>
      <c r="E62" s="6">
        <f t="shared" si="10"/>
        <v>1.18872348546812</v>
      </c>
      <c r="F62" s="6">
        <v>68.0463</v>
      </c>
      <c r="G62" s="6">
        <f t="shared" si="11"/>
        <v>3.8251858045478</v>
      </c>
      <c r="H62" s="6">
        <v>414</v>
      </c>
      <c r="I62" s="6">
        <f t="shared" si="12"/>
        <v>0.0434971726837707</v>
      </c>
      <c r="J62" s="6">
        <v>79.0199</v>
      </c>
      <c r="K62" s="6">
        <f t="shared" si="13"/>
        <v>0.337761050563845</v>
      </c>
      <c r="L62" s="6">
        <v>107.6971</v>
      </c>
      <c r="M62" s="6">
        <f t="shared" si="14"/>
        <v>0.398622161937934</v>
      </c>
      <c r="N62" s="6">
        <v>51.669</v>
      </c>
      <c r="O62" s="6">
        <f t="shared" si="15"/>
        <v>-0.173304198134805</v>
      </c>
      <c r="P62" s="6">
        <v>57.63</v>
      </c>
      <c r="Q62" s="6">
        <f t="shared" si="16"/>
        <v>-0.121317157712308</v>
      </c>
      <c r="R62" s="6">
        <v>88.5</v>
      </c>
      <c r="S62" s="6">
        <f t="shared" si="17"/>
        <v>4.09315455187016</v>
      </c>
      <c r="T62" s="6">
        <v>115.2502</v>
      </c>
      <c r="U62" s="6">
        <f t="shared" si="18"/>
        <v>0.0779781938930579</v>
      </c>
      <c r="V62" s="6">
        <v>1.8563</v>
      </c>
      <c r="W62" s="6" t="str">
        <f t="shared" si="21"/>
        <v/>
      </c>
      <c r="X62" s="6" t="str">
        <f t="shared" si="22"/>
        <v/>
      </c>
      <c r="Y62" s="6" t="str">
        <f t="shared" si="23"/>
        <v/>
      </c>
      <c r="Z62" s="6" t="str">
        <f t="shared" si="19"/>
        <v/>
      </c>
      <c r="AA62" s="6" t="str">
        <f t="shared" si="24"/>
        <v/>
      </c>
      <c r="AB62" s="6" t="str">
        <f t="shared" si="25"/>
        <v/>
      </c>
      <c r="AC62" s="6" t="str">
        <f t="shared" si="26"/>
        <v/>
      </c>
      <c r="AD62" s="6" t="str">
        <f t="shared" si="20"/>
        <v/>
      </c>
    </row>
    <row r="63" spans="1:30">
      <c r="A63" s="6" t="s">
        <v>108</v>
      </c>
      <c r="B63" s="6">
        <v>165.46</v>
      </c>
      <c r="C63" s="6">
        <f t="shared" si="9"/>
        <v>0.828762949421091</v>
      </c>
      <c r="D63" s="6">
        <v>183.39</v>
      </c>
      <c r="E63" s="6">
        <f t="shared" si="10"/>
        <v>0.741595253790384</v>
      </c>
      <c r="F63" s="6">
        <v>65.5393</v>
      </c>
      <c r="G63" s="6">
        <f t="shared" si="11"/>
        <v>-0.22728449076399</v>
      </c>
      <c r="H63" s="6">
        <v>413.82</v>
      </c>
      <c r="I63" s="6">
        <f t="shared" si="12"/>
        <v>-0.760210076980272</v>
      </c>
      <c r="J63" s="6">
        <v>78.7539</v>
      </c>
      <c r="K63" s="6">
        <f t="shared" si="13"/>
        <v>0.0125723864675464</v>
      </c>
      <c r="L63" s="6">
        <v>107.2695</v>
      </c>
      <c r="M63" s="6">
        <f t="shared" si="14"/>
        <v>0.00904346269523515</v>
      </c>
      <c r="N63" s="6">
        <v>51.7587</v>
      </c>
      <c r="O63" s="6">
        <f t="shared" si="15"/>
        <v>0.406018304771738</v>
      </c>
      <c r="P63" s="6">
        <v>57.7</v>
      </c>
      <c r="Q63" s="6">
        <f t="shared" si="16"/>
        <v>-0.1211701575212</v>
      </c>
      <c r="R63" s="6">
        <v>85.02</v>
      </c>
      <c r="S63" s="6">
        <f t="shared" si="17"/>
        <v>-1.12803814397022</v>
      </c>
      <c r="T63" s="6">
        <v>115.1604</v>
      </c>
      <c r="U63" s="6">
        <f t="shared" si="18"/>
        <v>-0.551215169082209</v>
      </c>
      <c r="V63" s="6">
        <v>-0.358</v>
      </c>
      <c r="W63" s="6" t="str">
        <f t="shared" si="21"/>
        <v/>
      </c>
      <c r="X63" s="6" t="str">
        <f t="shared" si="22"/>
        <v/>
      </c>
      <c r="Y63" s="6" t="str">
        <f t="shared" si="23"/>
        <v/>
      </c>
      <c r="Z63" s="6" t="str">
        <f t="shared" si="19"/>
        <v/>
      </c>
      <c r="AA63" s="6" t="str">
        <f t="shared" si="24"/>
        <v/>
      </c>
      <c r="AB63" s="6" t="str">
        <f t="shared" si="25"/>
        <v/>
      </c>
      <c r="AC63" s="6" t="str">
        <f t="shared" si="26"/>
        <v/>
      </c>
      <c r="AD63" s="6" t="str">
        <f t="shared" si="20"/>
        <v/>
      </c>
    </row>
    <row r="64" spans="1:30">
      <c r="A64" s="6" t="s">
        <v>109</v>
      </c>
      <c r="B64" s="6">
        <v>164.1</v>
      </c>
      <c r="C64" s="6">
        <f t="shared" si="9"/>
        <v>0.403817914831128</v>
      </c>
      <c r="D64" s="6">
        <v>182.04</v>
      </c>
      <c r="E64" s="6">
        <f t="shared" si="10"/>
        <v>0.352811466372649</v>
      </c>
      <c r="F64" s="6">
        <v>65.6886</v>
      </c>
      <c r="G64" s="6">
        <f t="shared" si="11"/>
        <v>0.87083374922261</v>
      </c>
      <c r="H64" s="6">
        <v>416.99</v>
      </c>
      <c r="I64" s="6">
        <f t="shared" si="12"/>
        <v>-0.0982271202683238</v>
      </c>
      <c r="J64" s="6">
        <v>78.744</v>
      </c>
      <c r="K64" s="6">
        <f t="shared" si="13"/>
        <v>0.0500606063686293</v>
      </c>
      <c r="L64" s="6">
        <v>107.2598</v>
      </c>
      <c r="M64" s="6">
        <f t="shared" si="14"/>
        <v>0</v>
      </c>
      <c r="N64" s="6">
        <v>51.5494</v>
      </c>
      <c r="O64" s="6">
        <f t="shared" si="15"/>
        <v>0.135393174396903</v>
      </c>
      <c r="P64" s="6">
        <v>57.77</v>
      </c>
      <c r="Q64" s="6">
        <f t="shared" si="16"/>
        <v>-0.017307026652813</v>
      </c>
      <c r="R64" s="6">
        <v>85.99</v>
      </c>
      <c r="S64" s="6">
        <f t="shared" si="17"/>
        <v>-0.428439092172306</v>
      </c>
      <c r="T64" s="6">
        <v>115.7987</v>
      </c>
      <c r="U64" s="6">
        <f t="shared" si="18"/>
        <v>0</v>
      </c>
      <c r="V64" s="6">
        <v>-3.8991</v>
      </c>
      <c r="W64" s="6" t="str">
        <f t="shared" si="21"/>
        <v/>
      </c>
      <c r="X64" s="6" t="str">
        <f t="shared" si="22"/>
        <v/>
      </c>
      <c r="Y64" s="6">
        <f t="shared" si="23"/>
        <v>0.828762949421091</v>
      </c>
      <c r="Z64" s="6">
        <f t="shared" si="19"/>
        <v>0.828762949421091</v>
      </c>
      <c r="AA64" s="6" t="str">
        <f t="shared" si="24"/>
        <v/>
      </c>
      <c r="AB64" s="6" t="str">
        <f t="shared" si="25"/>
        <v/>
      </c>
      <c r="AC64" s="6" t="str">
        <f t="shared" si="26"/>
        <v/>
      </c>
      <c r="AD64" s="6" t="str">
        <f t="shared" si="20"/>
        <v/>
      </c>
    </row>
    <row r="65" spans="1:30">
      <c r="A65" s="6" t="s">
        <v>110</v>
      </c>
      <c r="B65" s="6">
        <v>163.44</v>
      </c>
      <c r="C65" s="6">
        <f t="shared" si="9"/>
        <v>3.31879385549023</v>
      </c>
      <c r="D65" s="6">
        <v>181.4</v>
      </c>
      <c r="E65" s="6">
        <f t="shared" si="10"/>
        <v>2.11664039630715</v>
      </c>
      <c r="F65" s="6">
        <v>65.1215</v>
      </c>
      <c r="G65" s="6">
        <f t="shared" si="11"/>
        <v>1.86742210340745</v>
      </c>
      <c r="H65" s="6">
        <v>417.4</v>
      </c>
      <c r="I65" s="6">
        <f t="shared" si="12"/>
        <v>1.43377885783718</v>
      </c>
      <c r="J65" s="6">
        <v>78.7046</v>
      </c>
      <c r="K65" s="6">
        <f t="shared" si="13"/>
        <v>0.642694560241419</v>
      </c>
      <c r="L65" s="6">
        <v>107.2598</v>
      </c>
      <c r="M65" s="6">
        <f t="shared" si="14"/>
        <v>0.236152554363223</v>
      </c>
      <c r="N65" s="6">
        <v>51.4797</v>
      </c>
      <c r="O65" s="6">
        <f t="shared" si="15"/>
        <v>1.09599855464086</v>
      </c>
      <c r="P65" s="6">
        <v>57.78</v>
      </c>
      <c r="Q65" s="6">
        <f t="shared" si="16"/>
        <v>0.103950103950101</v>
      </c>
      <c r="R65" s="6">
        <v>86.36</v>
      </c>
      <c r="S65" s="6">
        <f t="shared" si="17"/>
        <v>3.07949391262832</v>
      </c>
      <c r="T65" s="6">
        <v>115.7987</v>
      </c>
      <c r="U65" s="6">
        <f t="shared" si="18"/>
        <v>0.21575187755194</v>
      </c>
      <c r="V65" s="6">
        <v>-3.433</v>
      </c>
      <c r="W65" s="6" t="str">
        <f t="shared" si="21"/>
        <v/>
      </c>
      <c r="X65" s="6" t="str">
        <f t="shared" si="22"/>
        <v/>
      </c>
      <c r="Y65" s="6" t="str">
        <f t="shared" si="23"/>
        <v/>
      </c>
      <c r="Z65" s="6" t="str">
        <f t="shared" si="19"/>
        <v/>
      </c>
      <c r="AA65" s="6" t="str">
        <f t="shared" si="24"/>
        <v/>
      </c>
      <c r="AB65" s="6" t="str">
        <f t="shared" si="25"/>
        <v/>
      </c>
      <c r="AC65" s="6">
        <f t="shared" si="26"/>
        <v>0.352811466372649</v>
      </c>
      <c r="AD65" s="6">
        <f t="shared" si="20"/>
        <v>0.352811466372649</v>
      </c>
    </row>
    <row r="66" spans="1:30">
      <c r="A66" s="6" t="s">
        <v>111</v>
      </c>
      <c r="B66" s="6">
        <v>158.19</v>
      </c>
      <c r="C66" s="6">
        <f t="shared" si="9"/>
        <v>-1.23001998001998</v>
      </c>
      <c r="D66" s="6">
        <v>177.64</v>
      </c>
      <c r="E66" s="6">
        <f t="shared" si="10"/>
        <v>-1.33303710286603</v>
      </c>
      <c r="F66" s="6">
        <v>63.9277</v>
      </c>
      <c r="G66" s="6">
        <f t="shared" si="11"/>
        <v>-1.0927685119287</v>
      </c>
      <c r="H66" s="6">
        <v>411.5</v>
      </c>
      <c r="I66" s="6">
        <f t="shared" si="12"/>
        <v>-1.65619099968931</v>
      </c>
      <c r="J66" s="6">
        <v>78.202</v>
      </c>
      <c r="K66" s="6">
        <f t="shared" si="13"/>
        <v>-0.2388084072806</v>
      </c>
      <c r="L66" s="6">
        <v>107.0071</v>
      </c>
      <c r="M66" s="6">
        <f t="shared" si="14"/>
        <v>-0.334926937309243</v>
      </c>
      <c r="N66" s="6">
        <v>50.9216</v>
      </c>
      <c r="O66" s="6">
        <f t="shared" si="15"/>
        <v>-1.23701982567679</v>
      </c>
      <c r="P66" s="6">
        <v>57.72</v>
      </c>
      <c r="Q66" s="6">
        <f t="shared" si="16"/>
        <v>-0.138408304498272</v>
      </c>
      <c r="R66" s="6">
        <v>83.78</v>
      </c>
      <c r="S66" s="6">
        <f t="shared" si="17"/>
        <v>-3.85586412669268</v>
      </c>
      <c r="T66" s="6">
        <v>115.5494</v>
      </c>
      <c r="U66" s="6">
        <f t="shared" si="18"/>
        <v>-0.966004293923794</v>
      </c>
      <c r="V66" s="6">
        <v>1.3468</v>
      </c>
      <c r="W66" s="6" t="str">
        <f t="shared" si="21"/>
        <v/>
      </c>
      <c r="X66" s="6" t="str">
        <f t="shared" si="22"/>
        <v/>
      </c>
      <c r="Y66" s="6" t="str">
        <f t="shared" si="23"/>
        <v/>
      </c>
      <c r="Z66" s="6" t="str">
        <f t="shared" si="19"/>
        <v/>
      </c>
      <c r="AA66" s="6" t="str">
        <f t="shared" si="24"/>
        <v/>
      </c>
      <c r="AB66" s="6">
        <f t="shared" si="25"/>
        <v>2.11664039630715</v>
      </c>
      <c r="AC66" s="6" t="str">
        <f t="shared" si="26"/>
        <v/>
      </c>
      <c r="AD66" s="6">
        <f t="shared" si="20"/>
        <v>2.11664039630715</v>
      </c>
    </row>
    <row r="67" spans="1:30">
      <c r="A67" s="6" t="s">
        <v>112</v>
      </c>
      <c r="B67" s="6">
        <v>160.16</v>
      </c>
      <c r="C67" s="6">
        <f t="shared" si="9"/>
        <v>-0.927873314363481</v>
      </c>
      <c r="D67" s="6">
        <v>180.04</v>
      </c>
      <c r="E67" s="6">
        <f t="shared" si="10"/>
        <v>-0.182957254532357</v>
      </c>
      <c r="F67" s="6">
        <v>64.634</v>
      </c>
      <c r="G67" s="6">
        <f t="shared" si="11"/>
        <v>-0.153707122278268</v>
      </c>
      <c r="H67" s="6">
        <v>418.43</v>
      </c>
      <c r="I67" s="6">
        <f t="shared" si="12"/>
        <v>0.273191305806519</v>
      </c>
      <c r="J67" s="6">
        <v>78.3892</v>
      </c>
      <c r="K67" s="6">
        <f t="shared" si="13"/>
        <v>0.10062520431513</v>
      </c>
      <c r="L67" s="6">
        <v>107.3667</v>
      </c>
      <c r="M67" s="6">
        <f t="shared" si="14"/>
        <v>-0.117496022996844</v>
      </c>
      <c r="N67" s="6">
        <v>51.5594</v>
      </c>
      <c r="O67" s="6">
        <f t="shared" si="15"/>
        <v>1.25251366807013</v>
      </c>
      <c r="P67" s="6">
        <v>57.8</v>
      </c>
      <c r="Q67" s="6">
        <f t="shared" si="16"/>
        <v>-0.0864304235090874</v>
      </c>
      <c r="R67" s="6">
        <v>87.14</v>
      </c>
      <c r="S67" s="6">
        <f t="shared" si="17"/>
        <v>-0.240412135088719</v>
      </c>
      <c r="T67" s="6">
        <v>116.6765</v>
      </c>
      <c r="U67" s="6">
        <f t="shared" si="18"/>
        <v>0.775357837531576</v>
      </c>
      <c r="V67" s="6">
        <v>-3.3098</v>
      </c>
      <c r="W67" s="6" t="str">
        <f t="shared" si="21"/>
        <v/>
      </c>
      <c r="X67" s="6" t="str">
        <f t="shared" si="22"/>
        <v/>
      </c>
      <c r="Y67" s="6" t="str">
        <f t="shared" si="23"/>
        <v/>
      </c>
      <c r="Z67" s="6" t="str">
        <f t="shared" si="19"/>
        <v/>
      </c>
      <c r="AA67" s="6" t="str">
        <f t="shared" si="24"/>
        <v/>
      </c>
      <c r="AB67" s="6" t="str">
        <f t="shared" si="25"/>
        <v/>
      </c>
      <c r="AC67" s="6" t="str">
        <f t="shared" si="26"/>
        <v/>
      </c>
      <c r="AD67" s="6" t="str">
        <f t="shared" si="20"/>
        <v/>
      </c>
    </row>
    <row r="68" spans="1:30">
      <c r="A68" s="6" t="s">
        <v>113</v>
      </c>
      <c r="B68" s="6">
        <v>161.66</v>
      </c>
      <c r="C68" s="6">
        <f t="shared" si="9"/>
        <v>-3.06410025784015</v>
      </c>
      <c r="D68" s="6">
        <v>180.37</v>
      </c>
      <c r="E68" s="6">
        <f t="shared" si="10"/>
        <v>-2.44997295835587</v>
      </c>
      <c r="F68" s="6">
        <v>64.7335</v>
      </c>
      <c r="G68" s="6">
        <f t="shared" si="11"/>
        <v>-3.42838303128672</v>
      </c>
      <c r="H68" s="6">
        <v>417.29</v>
      </c>
      <c r="I68" s="6">
        <f t="shared" si="12"/>
        <v>-2.32204302333746</v>
      </c>
      <c r="J68" s="6">
        <v>78.3104</v>
      </c>
      <c r="K68" s="6">
        <f t="shared" si="13"/>
        <v>-0.48834292525417</v>
      </c>
      <c r="L68" s="6">
        <v>107.493</v>
      </c>
      <c r="M68" s="6">
        <f t="shared" si="14"/>
        <v>-0.360394431683564</v>
      </c>
      <c r="N68" s="6">
        <v>50.9216</v>
      </c>
      <c r="O68" s="6">
        <f t="shared" si="15"/>
        <v>-0.370566022969609</v>
      </c>
      <c r="P68" s="6">
        <v>57.85</v>
      </c>
      <c r="Q68" s="6">
        <f t="shared" si="16"/>
        <v>-0.258620689655165</v>
      </c>
      <c r="R68" s="6">
        <v>87.35</v>
      </c>
      <c r="S68" s="6">
        <f t="shared" si="17"/>
        <v>-7.02501330494945</v>
      </c>
      <c r="T68" s="6">
        <v>115.7788</v>
      </c>
      <c r="U68" s="6">
        <f t="shared" si="18"/>
        <v>-0.879491738873228</v>
      </c>
      <c r="V68" s="6">
        <v>6.7787</v>
      </c>
      <c r="W68" s="6">
        <f t="shared" si="21"/>
        <v>-0.927873314363481</v>
      </c>
      <c r="X68" s="6" t="str">
        <f t="shared" si="22"/>
        <v/>
      </c>
      <c r="Y68" s="6" t="str">
        <f t="shared" si="23"/>
        <v/>
      </c>
      <c r="Z68" s="6">
        <f t="shared" si="19"/>
        <v>-0.927873314363481</v>
      </c>
      <c r="AA68" s="6" t="str">
        <f t="shared" si="24"/>
        <v/>
      </c>
      <c r="AB68" s="6" t="str">
        <f t="shared" si="25"/>
        <v/>
      </c>
      <c r="AC68" s="6" t="str">
        <f t="shared" si="26"/>
        <v/>
      </c>
      <c r="AD68" s="6" t="str">
        <f t="shared" si="20"/>
        <v/>
      </c>
    </row>
    <row r="69" spans="1:30">
      <c r="A69" s="6" t="s">
        <v>114</v>
      </c>
      <c r="B69" s="6">
        <v>166.77</v>
      </c>
      <c r="C69" s="6">
        <f t="shared" si="9"/>
        <v>1.43543580074206</v>
      </c>
      <c r="D69" s="6">
        <v>184.9</v>
      </c>
      <c r="E69" s="6">
        <f t="shared" si="10"/>
        <v>1.52089167078462</v>
      </c>
      <c r="F69" s="6">
        <v>67.0316</v>
      </c>
      <c r="G69" s="6">
        <f t="shared" si="11"/>
        <v>0.252907085436527</v>
      </c>
      <c r="H69" s="6">
        <v>427.21</v>
      </c>
      <c r="I69" s="6">
        <f t="shared" si="12"/>
        <v>-0.764227642276427</v>
      </c>
      <c r="J69" s="6">
        <v>78.6947</v>
      </c>
      <c r="K69" s="6">
        <f t="shared" si="13"/>
        <v>-0.0751708804262452</v>
      </c>
      <c r="L69" s="6">
        <v>107.8818</v>
      </c>
      <c r="M69" s="6">
        <f t="shared" si="14"/>
        <v>-0.0989918389609268</v>
      </c>
      <c r="N69" s="6">
        <v>51.111</v>
      </c>
      <c r="O69" s="6">
        <f t="shared" si="15"/>
        <v>0.588443674722505</v>
      </c>
      <c r="P69" s="6">
        <v>58</v>
      </c>
      <c r="Q69" s="6">
        <f t="shared" si="16"/>
        <v>-0.292246862643974</v>
      </c>
      <c r="R69" s="6">
        <v>93.95</v>
      </c>
      <c r="S69" s="6">
        <f t="shared" si="17"/>
        <v>-2.36932349579133</v>
      </c>
      <c r="T69" s="6">
        <v>116.8061</v>
      </c>
      <c r="U69" s="6">
        <f t="shared" si="18"/>
        <v>0.299767296083542</v>
      </c>
      <c r="V69" s="6">
        <v>-3.4135</v>
      </c>
      <c r="W69" s="6" t="str">
        <f t="shared" si="21"/>
        <v/>
      </c>
      <c r="X69" s="6" t="str">
        <f t="shared" si="22"/>
        <v/>
      </c>
      <c r="Y69" s="6" t="str">
        <f t="shared" si="23"/>
        <v/>
      </c>
      <c r="Z69" s="6" t="str">
        <f t="shared" si="19"/>
        <v/>
      </c>
      <c r="AA69" s="6" t="str">
        <f t="shared" si="24"/>
        <v/>
      </c>
      <c r="AB69" s="6" t="str">
        <f t="shared" si="25"/>
        <v/>
      </c>
      <c r="AC69" s="6" t="str">
        <f t="shared" si="26"/>
        <v/>
      </c>
      <c r="AD69" s="6" t="str">
        <f t="shared" si="20"/>
        <v/>
      </c>
    </row>
    <row r="70" spans="1:30">
      <c r="A70" s="6" t="s">
        <v>115</v>
      </c>
      <c r="B70" s="6">
        <v>164.41</v>
      </c>
      <c r="C70" s="6">
        <f t="shared" si="9"/>
        <v>2.07363258210715</v>
      </c>
      <c r="D70" s="6">
        <v>182.13</v>
      </c>
      <c r="E70" s="6">
        <f t="shared" si="10"/>
        <v>1.15523465703971</v>
      </c>
      <c r="F70" s="6">
        <v>66.8625</v>
      </c>
      <c r="G70" s="6">
        <f t="shared" si="11"/>
        <v>2.11179953481766</v>
      </c>
      <c r="H70" s="6">
        <v>430.5</v>
      </c>
      <c r="I70" s="6">
        <f t="shared" si="12"/>
        <v>-0.561291663779362</v>
      </c>
      <c r="J70" s="6">
        <v>78.7539</v>
      </c>
      <c r="K70" s="6">
        <f t="shared" si="13"/>
        <v>0.0501814153445856</v>
      </c>
      <c r="L70" s="6">
        <v>107.9887</v>
      </c>
      <c r="M70" s="6">
        <f t="shared" si="14"/>
        <v>0</v>
      </c>
      <c r="N70" s="6">
        <v>50.812</v>
      </c>
      <c r="O70" s="6">
        <f t="shared" si="15"/>
        <v>-1.14377654431235</v>
      </c>
      <c r="P70" s="6">
        <v>58.17</v>
      </c>
      <c r="Q70" s="6">
        <f t="shared" si="16"/>
        <v>-0.171614896172989</v>
      </c>
      <c r="R70" s="6">
        <v>96.23</v>
      </c>
      <c r="S70" s="6">
        <f t="shared" si="17"/>
        <v>-0.936792258595842</v>
      </c>
      <c r="T70" s="6">
        <v>116.457</v>
      </c>
      <c r="U70" s="6">
        <f t="shared" si="18"/>
        <v>0.776743389114176</v>
      </c>
      <c r="V70" s="6">
        <v>-0.667</v>
      </c>
      <c r="W70" s="6" t="str">
        <f t="shared" si="21"/>
        <v/>
      </c>
      <c r="X70" s="6" t="str">
        <f t="shared" si="22"/>
        <v/>
      </c>
      <c r="Y70" s="6">
        <f t="shared" si="23"/>
        <v>1.43543580074206</v>
      </c>
      <c r="Z70" s="6">
        <f t="shared" si="19"/>
        <v>1.43543580074206</v>
      </c>
      <c r="AA70" s="6" t="str">
        <f t="shared" si="24"/>
        <v/>
      </c>
      <c r="AB70" s="6" t="str">
        <f t="shared" si="25"/>
        <v/>
      </c>
      <c r="AC70" s="6" t="str">
        <f t="shared" si="26"/>
        <v/>
      </c>
      <c r="AD70" s="6" t="str">
        <f t="shared" si="20"/>
        <v/>
      </c>
    </row>
    <row r="71" spans="1:30">
      <c r="A71" s="6" t="s">
        <v>116</v>
      </c>
      <c r="B71" s="6">
        <v>161.07</v>
      </c>
      <c r="C71" s="6">
        <f t="shared" si="9"/>
        <v>-1.75663311985361</v>
      </c>
      <c r="D71" s="6">
        <v>180.05</v>
      </c>
      <c r="E71" s="6">
        <f t="shared" si="10"/>
        <v>-0.326616474756403</v>
      </c>
      <c r="F71" s="6">
        <v>65.4797</v>
      </c>
      <c r="G71" s="6">
        <f t="shared" si="11"/>
        <v>-3.04890959136143</v>
      </c>
      <c r="H71" s="6">
        <v>432.93</v>
      </c>
      <c r="I71" s="6">
        <f t="shared" si="12"/>
        <v>-0.395720694811907</v>
      </c>
      <c r="J71" s="6">
        <v>78.7144</v>
      </c>
      <c r="K71" s="6">
        <f t="shared" si="13"/>
        <v>-0.137523660666716</v>
      </c>
      <c r="L71" s="6">
        <v>107.9887</v>
      </c>
      <c r="M71" s="6">
        <f t="shared" si="14"/>
        <v>-0.170652092521906</v>
      </c>
      <c r="N71" s="6">
        <v>51.3999</v>
      </c>
      <c r="O71" s="6">
        <f t="shared" si="15"/>
        <v>0.781548705621238</v>
      </c>
      <c r="P71" s="6">
        <v>58.27</v>
      </c>
      <c r="Q71" s="6">
        <f t="shared" si="16"/>
        <v>-0.256761383087978</v>
      </c>
      <c r="R71" s="6">
        <v>97.14</v>
      </c>
      <c r="S71" s="6">
        <f t="shared" si="17"/>
        <v>-0.47131147540983</v>
      </c>
      <c r="T71" s="6">
        <v>115.5594</v>
      </c>
      <c r="U71" s="6">
        <f t="shared" si="18"/>
        <v>0.242279456731898</v>
      </c>
      <c r="V71" s="6">
        <v>-2.1219</v>
      </c>
      <c r="W71" s="6" t="str">
        <f t="shared" si="21"/>
        <v/>
      </c>
      <c r="X71" s="6" t="str">
        <f t="shared" si="22"/>
        <v/>
      </c>
      <c r="Y71" s="6" t="str">
        <f t="shared" si="23"/>
        <v/>
      </c>
      <c r="Z71" s="6" t="str">
        <f t="shared" si="19"/>
        <v/>
      </c>
      <c r="AA71" s="6" t="str">
        <f t="shared" si="24"/>
        <v/>
      </c>
      <c r="AB71" s="6" t="str">
        <f t="shared" si="25"/>
        <v/>
      </c>
      <c r="AC71" s="6" t="str">
        <f t="shared" si="26"/>
        <v/>
      </c>
      <c r="AD71" s="6" t="str">
        <f t="shared" si="20"/>
        <v/>
      </c>
    </row>
    <row r="72" spans="1:30">
      <c r="A72" s="6" t="s">
        <v>117</v>
      </c>
      <c r="B72" s="6">
        <v>163.95</v>
      </c>
      <c r="C72" s="6">
        <f t="shared" si="9"/>
        <v>0.5458113577824</v>
      </c>
      <c r="D72" s="6">
        <v>180.64</v>
      </c>
      <c r="E72" s="6">
        <f t="shared" si="10"/>
        <v>0.366707411934653</v>
      </c>
      <c r="F72" s="6">
        <v>67.5389</v>
      </c>
      <c r="G72" s="6">
        <f t="shared" si="11"/>
        <v>-0.0736809555443529</v>
      </c>
      <c r="H72" s="6">
        <v>434.65</v>
      </c>
      <c r="I72" s="6">
        <f t="shared" si="12"/>
        <v>0.202872490029282</v>
      </c>
      <c r="J72" s="6">
        <v>78.8228</v>
      </c>
      <c r="K72" s="6">
        <f t="shared" si="13"/>
        <v>-0.199669538683611</v>
      </c>
      <c r="L72" s="6">
        <v>108.1733</v>
      </c>
      <c r="M72" s="6">
        <f t="shared" si="14"/>
        <v>-0.0808233451073725</v>
      </c>
      <c r="N72" s="6">
        <v>51.0013</v>
      </c>
      <c r="O72" s="6">
        <f t="shared" si="15"/>
        <v>-0.117114594084344</v>
      </c>
      <c r="P72" s="6">
        <v>58.42</v>
      </c>
      <c r="Q72" s="6">
        <f t="shared" si="16"/>
        <v>-0.307167235494876</v>
      </c>
      <c r="R72" s="6">
        <v>97.6</v>
      </c>
      <c r="S72" s="6">
        <f t="shared" si="17"/>
        <v>3.18215456179298</v>
      </c>
      <c r="T72" s="6">
        <v>115.2801</v>
      </c>
      <c r="U72" s="6">
        <f t="shared" si="18"/>
        <v>-1.16301401103941</v>
      </c>
      <c r="V72" s="6">
        <v>6.9226</v>
      </c>
      <c r="W72" s="6" t="str">
        <f t="shared" si="21"/>
        <v/>
      </c>
      <c r="X72" s="6" t="str">
        <f t="shared" si="22"/>
        <v/>
      </c>
      <c r="Y72" s="6" t="str">
        <f t="shared" si="23"/>
        <v/>
      </c>
      <c r="Z72" s="6" t="str">
        <f t="shared" si="19"/>
        <v/>
      </c>
      <c r="AA72" s="6">
        <f t="shared" si="24"/>
        <v>-0.326616474756403</v>
      </c>
      <c r="AB72" s="6" t="str">
        <f t="shared" si="25"/>
        <v/>
      </c>
      <c r="AC72" s="6" t="str">
        <f t="shared" si="26"/>
        <v/>
      </c>
      <c r="AD72" s="6">
        <f t="shared" si="20"/>
        <v>-0.326616474756403</v>
      </c>
    </row>
    <row r="73" spans="1:30">
      <c r="A73" s="6" t="s">
        <v>118</v>
      </c>
      <c r="B73" s="6">
        <v>163.06</v>
      </c>
      <c r="C73" s="6" t="s">
        <v>59</v>
      </c>
      <c r="D73" s="6">
        <v>179.98</v>
      </c>
      <c r="E73" s="6" t="s">
        <v>59</v>
      </c>
      <c r="F73" s="6">
        <v>67.5887</v>
      </c>
      <c r="G73" s="6" t="s">
        <v>59</v>
      </c>
      <c r="H73" s="6">
        <v>433.77</v>
      </c>
      <c r="I73" s="6" t="s">
        <v>59</v>
      </c>
      <c r="J73" s="6">
        <v>78.9805</v>
      </c>
      <c r="K73" s="6" t="s">
        <v>59</v>
      </c>
      <c r="L73" s="6">
        <v>108.2608</v>
      </c>
      <c r="M73" s="6" t="s">
        <v>59</v>
      </c>
      <c r="N73" s="6">
        <v>51.0611</v>
      </c>
      <c r="O73" s="6" t="s">
        <v>59</v>
      </c>
      <c r="P73" s="6">
        <v>58.6</v>
      </c>
      <c r="Q73" s="6" t="s">
        <v>59</v>
      </c>
      <c r="R73" s="6">
        <v>94.59</v>
      </c>
      <c r="S73" s="6" t="s">
        <v>59</v>
      </c>
      <c r="T73" s="6">
        <v>116.6366</v>
      </c>
      <c r="U73" s="6" t="s">
        <v>59</v>
      </c>
      <c r="V73" s="6">
        <v>0.644</v>
      </c>
      <c r="W73" s="6" t="str">
        <f t="shared" si="21"/>
        <v/>
      </c>
      <c r="X73" s="6" t="str">
        <f t="shared" si="22"/>
        <v/>
      </c>
      <c r="Y73" s="6" t="str">
        <f t="shared" si="23"/>
        <v/>
      </c>
      <c r="Z73" s="6" t="str">
        <f t="shared" si="19"/>
        <v/>
      </c>
      <c r="AA73" s="6" t="str">
        <f t="shared" si="24"/>
        <v/>
      </c>
      <c r="AB73" s="6" t="str">
        <f t="shared" si="25"/>
        <v/>
      </c>
      <c r="AC73" s="6">
        <f t="shared" si="26"/>
        <v>0.366707411934653</v>
      </c>
      <c r="AD73" s="6">
        <f t="shared" si="20"/>
        <v>0.366707411934653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幽若玲珑</cp:lastModifiedBy>
  <dcterms:created xsi:type="dcterms:W3CDTF">2026-08-10T05:38:00Z</dcterms:created>
  <dcterms:modified xsi:type="dcterms:W3CDTF">2026-08-10T05:42:34Z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10B92913F2B64198A288C309F681C933_12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