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color rgb="00FFFFFF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公式说明：</t>
        </is>
      </c>
    </row>
    <row r="4">
      <c r="A4" t="inlineStr">
        <is>
          <t>1. 统计头公式（第2-10行）</t>
        </is>
      </c>
    </row>
    <row r="5">
      <c r="A5" t="inlineStr">
        <is>
          <t xml:space="preserve">   Hit Ratio = Up Count / (Up Count + Down Count)；</t>
        </is>
      </c>
    </row>
    <row r="6">
      <c r="A6" t="inlineStr">
        <is>
          <t xml:space="preserve">   Up Count = COUNTIF(该列数据区, "&gt;0")；Down Count = COUNTIF(该列数据区, "&lt;0")；</t>
        </is>
      </c>
    </row>
    <row r="7">
      <c r="A7" t="inlineStr">
        <is>
          <t xml:space="preserve">   Average = AVERAGE(该列数据区)；Max/Min/Count/Std/Sum 对应 MAX/MIN/COUNT/STDEV/SUM。</t>
        </is>
      </c>
    </row>
    <row r="8">
      <c r="A8" t="inlineStr">
        <is>
          <t>2. 回报率公式</t>
        </is>
      </c>
    </row>
    <row r="9">
      <c r="A9" t="inlineStr">
        <is>
          <t xml:space="preserve">   =IF(COUNT(B14:B15)=2,(B14/B15-1)*100,"")</t>
        </is>
      </c>
    </row>
    <row r="10">
      <c r="A10" t="inlineStr">
        <is>
          <t xml:space="preserve">   B14 是今日 Adj Close，B15 是前一交易日 Adj Close；</t>
        </is>
      </c>
    </row>
    <row r="11">
      <c r="A11" t="inlineStr">
        <is>
          <t xml:space="preserve">   COUNT 判断两天价格都存在才计算当日回报率，否则留空，避免 #DIV/0!。</t>
        </is>
      </c>
    </row>
    <row r="12">
      <c r="A12" t="inlineStr">
        <is>
          <t>3. 策略公式</t>
        </is>
      </c>
    </row>
    <row r="13">
      <c r="A13" t="inlineStr">
        <is>
          <t xml:space="preserve">   =IF(条件, 该基金次日实际回报, "")</t>
        </is>
      </c>
    </row>
    <row r="14">
      <c r="A14" t="inlineStr">
        <is>
          <t xml:space="preserve">   条件引用回报率列和阈值参数；满足条件时显示次日实际回报（日期降序，次日=上一行）。</t>
        </is>
      </c>
    </row>
    <row r="15">
      <c r="A15" t="inlineStr">
        <is>
          <t>4. 合并公式</t>
        </is>
      </c>
    </row>
    <row r="16">
      <c r="A16" t="inlineStr">
        <is>
          <t xml:space="preserve">   合并列按隐藏辅助的 |Average| 优先级取第一个非空策略（公式形如）：</t>
        </is>
      </c>
    </row>
    <row r="17">
      <c r="A17" t="inlineStr">
        <is>
          <t xml:space="preserve">   =IF(策略1&lt;&gt;"",策略1,IF(策略2&lt;&gt;"",策略2,策略3))</t>
        </is>
      </c>
    </row>
    <row r="18">
      <c r="A18" t="inlineStr">
        <is>
          <t xml:space="preserve">   同一天多条策略触发时，历史 |Average| 最大的策略生效；全部未触发则留空。</t>
        </is>
      </c>
    </row>
    <row r="19">
      <c r="A19" t="inlineStr">
        <is>
          <t>5. 阈值参数</t>
        </is>
      </c>
    </row>
    <row r="20">
      <c r="A20" t="inlineStr">
        <is>
          <t xml:space="preserve">   每个策略列正上方的第11/12行是该策略条件阈值，修改数字可调整条件，公式自动更新。</t>
        </is>
      </c>
    </row>
    <row r="21">
      <c r="A21" t="inlineStr">
        <is>
          <t>6. 合并优先级隐藏辅助</t>
        </is>
      </c>
    </row>
    <row r="22">
      <c r="A22" t="inlineStr">
        <is>
          <t xml:space="preserve">   合并列正上方第12行为白色隐藏辅助，按各策略列统计头 |Average| 生成优先级顺序；</t>
        </is>
      </c>
    </row>
    <row r="23">
      <c r="A23" t="inlineStr">
        <is>
          <t xml:space="preserve">   改阈值后 Average 重算，优先级和合并结果自动更新。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D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</row>
    <row r="3">
      <c r="A3" s="2" t="inlineStr">
        <is>
          <t>Up Count</t>
        </is>
      </c>
      <c r="B3" s="3">
        <f>COUNTIF(B14:B73,"&gt;0")</f>
        <v/>
      </c>
      <c r="C3" s="3">
        <f>COUNTIF(C14:C73,"&gt;0")</f>
        <v/>
      </c>
      <c r="D3" s="3">
        <f>COUNTIF(D14:D73,"&gt;0")</f>
        <v/>
      </c>
      <c r="E3" s="3">
        <f>COUNTIF(E14:E73,"&gt;0")</f>
        <v/>
      </c>
      <c r="F3" s="3">
        <f>COUNTIF(F14:F73,"&gt;0")</f>
        <v/>
      </c>
      <c r="G3" s="3">
        <f>COUNTIF(G14:G73,"&gt;0")</f>
        <v/>
      </c>
      <c r="H3" s="3">
        <f>COUNTIF(H14:H73,"&gt;0")</f>
        <v/>
      </c>
      <c r="I3" s="3">
        <f>COUNTIF(I14:I73,"&gt;0")</f>
        <v/>
      </c>
      <c r="J3" s="3">
        <f>COUNTIF(J14:J73,"&gt;0")</f>
        <v/>
      </c>
      <c r="K3" s="3">
        <f>COUNTIF(K14:K73,"&gt;0")</f>
        <v/>
      </c>
      <c r="L3" s="3">
        <f>COUNTIF(L14:L73,"&gt;0")</f>
        <v/>
      </c>
      <c r="M3" s="3">
        <f>COUNTIF(M14:M73,"&gt;0")</f>
        <v/>
      </c>
      <c r="N3" s="3">
        <f>COUNTIF(N14:N73,"&gt;0")</f>
        <v/>
      </c>
      <c r="O3" s="3">
        <f>COUNTIF(O14:O73,"&gt;0")</f>
        <v/>
      </c>
      <c r="P3" s="3">
        <f>COUNTIF(P14:P73,"&gt;0")</f>
        <v/>
      </c>
      <c r="Q3" s="3">
        <f>COUNTIF(Q14:Q73,"&gt;0")</f>
        <v/>
      </c>
      <c r="R3" s="3">
        <f>COUNTIF(R14:R73,"&gt;0")</f>
        <v/>
      </c>
      <c r="S3" s="3">
        <f>COUNTIF(S14:S73,"&gt;0")</f>
        <v/>
      </c>
      <c r="T3" s="3">
        <f>COUNTIF(T14:T73,"&gt;0")</f>
        <v/>
      </c>
      <c r="U3" s="3">
        <f>COUNTIF(U14:U73,"&gt;0")</f>
        <v/>
      </c>
      <c r="V3" s="3">
        <f>COUNTIF(V14:V73,"&gt;0")</f>
        <v/>
      </c>
      <c r="W3" s="3">
        <f>COUNTIF(W14:W73,"&gt;0")</f>
        <v/>
      </c>
      <c r="X3" s="3">
        <f>COUNTIF(X14:X73,"&gt;0")</f>
        <v/>
      </c>
      <c r="Y3" s="3">
        <f>COUNTIF(Y14:Y73,"&gt;0")</f>
        <v/>
      </c>
      <c r="Z3" s="3">
        <f>COUNTIF(Z14:Z73,"&gt;0")</f>
        <v/>
      </c>
      <c r="AA3" s="3">
        <f>COUNTIF(AA14:AA73,"&gt;0")</f>
        <v/>
      </c>
      <c r="AB3" s="3">
        <f>COUNTIF(AB14:AB73,"&gt;0")</f>
        <v/>
      </c>
      <c r="AC3" s="3">
        <f>COUNTIF(AC14:AC73,"&gt;0")</f>
        <v/>
      </c>
      <c r="AD3" s="3">
        <f>COUNTIF(AD14:AD73,"&gt;0")</f>
        <v/>
      </c>
    </row>
    <row r="4">
      <c r="A4" s="2" t="inlineStr">
        <is>
          <t>Down Count</t>
        </is>
      </c>
      <c r="B4" s="3">
        <f>COUNTIF(B14:B73,"&lt;0")</f>
        <v/>
      </c>
      <c r="C4" s="3">
        <f>COUNTIF(C14:C73,"&lt;0")</f>
        <v/>
      </c>
      <c r="D4" s="3">
        <f>COUNTIF(D14:D73,"&lt;0")</f>
        <v/>
      </c>
      <c r="E4" s="3">
        <f>COUNTIF(E14:E73,"&lt;0")</f>
        <v/>
      </c>
      <c r="F4" s="3">
        <f>COUNTIF(F14:F73,"&lt;0")</f>
        <v/>
      </c>
      <c r="G4" s="3">
        <f>COUNTIF(G14:G73,"&lt;0")</f>
        <v/>
      </c>
      <c r="H4" s="3">
        <f>COUNTIF(H14:H73,"&lt;0")</f>
        <v/>
      </c>
      <c r="I4" s="3">
        <f>COUNTIF(I14:I73,"&lt;0")</f>
        <v/>
      </c>
      <c r="J4" s="3">
        <f>COUNTIF(J14:J73,"&lt;0")</f>
        <v/>
      </c>
      <c r="K4" s="3">
        <f>COUNTIF(K14:K73,"&lt;0")</f>
        <v/>
      </c>
      <c r="L4" s="3">
        <f>COUNTIF(L14:L73,"&lt;0")</f>
        <v/>
      </c>
      <c r="M4" s="3">
        <f>COUNTIF(M14:M73,"&lt;0")</f>
        <v/>
      </c>
      <c r="N4" s="3">
        <f>COUNTIF(N14:N73,"&lt;0")</f>
        <v/>
      </c>
      <c r="O4" s="3">
        <f>COUNTIF(O14:O73,"&lt;0")</f>
        <v/>
      </c>
      <c r="P4" s="3">
        <f>COUNTIF(P14:P73,"&lt;0")</f>
        <v/>
      </c>
      <c r="Q4" s="3">
        <f>COUNTIF(Q14:Q73,"&lt;0")</f>
        <v/>
      </c>
      <c r="R4" s="3">
        <f>COUNTIF(R14:R73,"&lt;0")</f>
        <v/>
      </c>
      <c r="S4" s="3">
        <f>COUNTIF(S14:S73,"&lt;0")</f>
        <v/>
      </c>
      <c r="T4" s="3">
        <f>COUNTIF(T14:T73,"&lt;0")</f>
        <v/>
      </c>
      <c r="U4" s="3">
        <f>COUNTIF(U14:U73,"&lt;0")</f>
        <v/>
      </c>
      <c r="V4" s="3">
        <f>COUNTIF(V14:V73,"&lt;0")</f>
        <v/>
      </c>
      <c r="W4" s="3">
        <f>COUNTIF(W14:W73,"&lt;0")</f>
        <v/>
      </c>
      <c r="X4" s="3">
        <f>COUNTIF(X14:X73,"&lt;0")</f>
        <v/>
      </c>
      <c r="Y4" s="3">
        <f>COUNTIF(Y14:Y73,"&lt;0")</f>
        <v/>
      </c>
      <c r="Z4" s="3">
        <f>COUNTIF(Z14:Z73,"&lt;0")</f>
        <v/>
      </c>
      <c r="AA4" s="3">
        <f>COUNTIF(AA14:AA73,"&lt;0")</f>
        <v/>
      </c>
      <c r="AB4" s="3">
        <f>COUNTIF(AB14:AB73,"&lt;0")</f>
        <v/>
      </c>
      <c r="AC4" s="3">
        <f>COUNTIF(AC14:AC73,"&lt;0")</f>
        <v/>
      </c>
      <c r="AD4" s="3">
        <f>COUNTIF(AD14:AD73,"&lt;0")</f>
        <v/>
      </c>
    </row>
    <row r="5">
      <c r="A5" s="2" t="inlineStr">
        <is>
          <t>Average</t>
        </is>
      </c>
      <c r="B5" s="3">
        <f>AVERAGE(B14:B73)</f>
        <v/>
      </c>
      <c r="C5" s="3">
        <f>AVERAGE(C14:C73)</f>
        <v/>
      </c>
      <c r="D5" s="3">
        <f>AVERAGE(D14:D73)</f>
        <v/>
      </c>
      <c r="E5" s="3">
        <f>AVERAGE(E14:E73)</f>
        <v/>
      </c>
      <c r="F5" s="3">
        <f>AVERAGE(F14:F73)</f>
        <v/>
      </c>
      <c r="G5" s="3">
        <f>AVERAGE(G14:G73)</f>
        <v/>
      </c>
      <c r="H5" s="3">
        <f>AVERAGE(H14:H73)</f>
        <v/>
      </c>
      <c r="I5" s="3">
        <f>AVERAGE(I14:I73)</f>
        <v/>
      </c>
      <c r="J5" s="3">
        <f>AVERAGE(J14:J73)</f>
        <v/>
      </c>
      <c r="K5" s="3">
        <f>AVERAGE(K14:K73)</f>
        <v/>
      </c>
      <c r="L5" s="3">
        <f>AVERAGE(L14:L73)</f>
        <v/>
      </c>
      <c r="M5" s="3">
        <f>AVERAGE(M14:M73)</f>
        <v/>
      </c>
      <c r="N5" s="3">
        <f>AVERAGE(N14:N73)</f>
        <v/>
      </c>
      <c r="O5" s="3">
        <f>AVERAGE(O14:O73)</f>
        <v/>
      </c>
      <c r="P5" s="3">
        <f>AVERAGE(P14:P73)</f>
        <v/>
      </c>
      <c r="Q5" s="3">
        <f>AVERAGE(Q14:Q73)</f>
        <v/>
      </c>
      <c r="R5" s="3">
        <f>AVERAGE(R14:R73)</f>
        <v/>
      </c>
      <c r="S5" s="3">
        <f>AVERAGE(S14:S73)</f>
        <v/>
      </c>
      <c r="T5" s="3">
        <f>AVERAGE(T14:T73)</f>
        <v/>
      </c>
      <c r="U5" s="3">
        <f>AVERAGE(U14:U73)</f>
        <v/>
      </c>
      <c r="V5" s="3">
        <f>AVERAGE(V14:V73)</f>
        <v/>
      </c>
      <c r="W5" s="3">
        <f>AVERAGE(W14:W73)</f>
        <v/>
      </c>
      <c r="X5" s="3">
        <f>AVERAGE(X14:X73)</f>
        <v/>
      </c>
      <c r="Y5" s="3">
        <f>AVERAGE(Y14:Y73)</f>
        <v/>
      </c>
      <c r="Z5" s="3">
        <f>AVERAGE(Z14:Z73)</f>
        <v/>
      </c>
      <c r="AA5" s="3">
        <f>AVERAGE(AA14:AA73)</f>
        <v/>
      </c>
      <c r="AB5" s="3">
        <f>AVERAGE(AB14:AB73)</f>
        <v/>
      </c>
      <c r="AC5" s="3">
        <f>AVERAGE(AC14:AC73)</f>
        <v/>
      </c>
      <c r="AD5" s="3">
        <f>AVERAGE(AD14:AD73)</f>
        <v/>
      </c>
    </row>
    <row r="6">
      <c r="A6" s="2" t="inlineStr">
        <is>
          <t>Max</t>
        </is>
      </c>
      <c r="B6" s="3">
        <f>MAX(B14:B73)</f>
        <v/>
      </c>
      <c r="C6" s="3">
        <f>MAX(C14:C73)</f>
        <v/>
      </c>
      <c r="D6" s="3">
        <f>MAX(D14:D73)</f>
        <v/>
      </c>
      <c r="E6" s="3">
        <f>MAX(E14:E73)</f>
        <v/>
      </c>
      <c r="F6" s="3">
        <f>MAX(F14:F73)</f>
        <v/>
      </c>
      <c r="G6" s="3">
        <f>MAX(G14:G73)</f>
        <v/>
      </c>
      <c r="H6" s="3">
        <f>MAX(H14:H73)</f>
        <v/>
      </c>
      <c r="I6" s="3">
        <f>MAX(I14:I73)</f>
        <v/>
      </c>
      <c r="J6" s="3">
        <f>MAX(J14:J73)</f>
        <v/>
      </c>
      <c r="K6" s="3">
        <f>MAX(K14:K73)</f>
        <v/>
      </c>
      <c r="L6" s="3">
        <f>MAX(L14:L73)</f>
        <v/>
      </c>
      <c r="M6" s="3">
        <f>MAX(M14:M73)</f>
        <v/>
      </c>
      <c r="N6" s="3">
        <f>MAX(N14:N73)</f>
        <v/>
      </c>
      <c r="O6" s="3">
        <f>MAX(O14:O73)</f>
        <v/>
      </c>
      <c r="P6" s="3">
        <f>MAX(P14:P73)</f>
        <v/>
      </c>
      <c r="Q6" s="3">
        <f>MAX(Q14:Q73)</f>
        <v/>
      </c>
      <c r="R6" s="3">
        <f>MAX(R14:R73)</f>
        <v/>
      </c>
      <c r="S6" s="3">
        <f>MAX(S14:S73)</f>
        <v/>
      </c>
      <c r="T6" s="3">
        <f>MAX(T14:T73)</f>
        <v/>
      </c>
      <c r="U6" s="3">
        <f>MAX(U14:U73)</f>
        <v/>
      </c>
      <c r="V6" s="3">
        <f>MAX(V14:V73)</f>
        <v/>
      </c>
      <c r="W6" s="3">
        <f>MAX(W14:W73)</f>
        <v/>
      </c>
      <c r="X6" s="3">
        <f>MAX(X14:X73)</f>
        <v/>
      </c>
      <c r="Y6" s="3">
        <f>MAX(Y14:Y73)</f>
        <v/>
      </c>
      <c r="Z6" s="3">
        <f>MAX(Z14:Z73)</f>
        <v/>
      </c>
      <c r="AA6" s="3">
        <f>MAX(AA14:AA73)</f>
        <v/>
      </c>
      <c r="AB6" s="3">
        <f>MAX(AB14:AB73)</f>
        <v/>
      </c>
      <c r="AC6" s="3">
        <f>MAX(AC14:AC73)</f>
        <v/>
      </c>
      <c r="AD6" s="3">
        <f>MAX(AD14:AD73)</f>
        <v/>
      </c>
    </row>
    <row r="7">
      <c r="A7" s="2" t="inlineStr">
        <is>
          <t>Min</t>
        </is>
      </c>
      <c r="B7" s="3">
        <f>MIN(B14:B73)</f>
        <v/>
      </c>
      <c r="C7" s="3">
        <f>MIN(C14:C73)</f>
        <v/>
      </c>
      <c r="D7" s="3">
        <f>MIN(D14:D73)</f>
        <v/>
      </c>
      <c r="E7" s="3">
        <f>MIN(E14:E73)</f>
        <v/>
      </c>
      <c r="F7" s="3">
        <f>MIN(F14:F73)</f>
        <v/>
      </c>
      <c r="G7" s="3">
        <f>MIN(G14:G73)</f>
        <v/>
      </c>
      <c r="H7" s="3">
        <f>MIN(H14:H73)</f>
        <v/>
      </c>
      <c r="I7" s="3">
        <f>MIN(I14:I73)</f>
        <v/>
      </c>
      <c r="J7" s="3">
        <f>MIN(J14:J73)</f>
        <v/>
      </c>
      <c r="K7" s="3">
        <f>MIN(K14:K73)</f>
        <v/>
      </c>
      <c r="L7" s="3">
        <f>MIN(L14:L73)</f>
        <v/>
      </c>
      <c r="M7" s="3">
        <f>MIN(M14:M73)</f>
        <v/>
      </c>
      <c r="N7" s="3">
        <f>MIN(N14:N73)</f>
        <v/>
      </c>
      <c r="O7" s="3">
        <f>MIN(O14:O73)</f>
        <v/>
      </c>
      <c r="P7" s="3">
        <f>MIN(P14:P73)</f>
        <v/>
      </c>
      <c r="Q7" s="3">
        <f>MIN(Q14:Q73)</f>
        <v/>
      </c>
      <c r="R7" s="3">
        <f>MIN(R14:R73)</f>
        <v/>
      </c>
      <c r="S7" s="3">
        <f>MIN(S14:S73)</f>
        <v/>
      </c>
      <c r="T7" s="3">
        <f>MIN(T14:T73)</f>
        <v/>
      </c>
      <c r="U7" s="3">
        <f>MIN(U14:U73)</f>
        <v/>
      </c>
      <c r="V7" s="3">
        <f>MIN(V14:V73)</f>
        <v/>
      </c>
      <c r="W7" s="3">
        <f>MIN(W14:W73)</f>
        <v/>
      </c>
      <c r="X7" s="3">
        <f>MIN(X14:X73)</f>
        <v/>
      </c>
      <c r="Y7" s="3">
        <f>MIN(Y14:Y73)</f>
        <v/>
      </c>
      <c r="Z7" s="3">
        <f>MIN(Z14:Z73)</f>
        <v/>
      </c>
      <c r="AA7" s="3">
        <f>MIN(AA14:AA73)</f>
        <v/>
      </c>
      <c r="AB7" s="3">
        <f>MIN(AB14:AB73)</f>
        <v/>
      </c>
      <c r="AC7" s="3">
        <f>MIN(AC14:AC73)</f>
        <v/>
      </c>
      <c r="AD7" s="3">
        <f>MIN(AD14:AD73)</f>
        <v/>
      </c>
    </row>
    <row r="8">
      <c r="A8" s="2" t="inlineStr">
        <is>
          <t>Count</t>
        </is>
      </c>
      <c r="B8" s="3">
        <f>COUNT(B14:B73)</f>
        <v/>
      </c>
      <c r="C8" s="3">
        <f>COUNT(C14:C73)</f>
        <v/>
      </c>
      <c r="D8" s="3">
        <f>COUNT(D14:D73)</f>
        <v/>
      </c>
      <c r="E8" s="3">
        <f>COUNT(E14:E73)</f>
        <v/>
      </c>
      <c r="F8" s="3">
        <f>COUNT(F14:F73)</f>
        <v/>
      </c>
      <c r="G8" s="3">
        <f>COUNT(G14:G73)</f>
        <v/>
      </c>
      <c r="H8" s="3">
        <f>COUNT(H14:H73)</f>
        <v/>
      </c>
      <c r="I8" s="3">
        <f>COUNT(I14:I73)</f>
        <v/>
      </c>
      <c r="J8" s="3">
        <f>COUNT(J14:J73)</f>
        <v/>
      </c>
      <c r="K8" s="3">
        <f>COUNT(K14:K73)</f>
        <v/>
      </c>
      <c r="L8" s="3">
        <f>COUNT(L14:L73)</f>
        <v/>
      </c>
      <c r="M8" s="3">
        <f>COUNT(M14:M73)</f>
        <v/>
      </c>
      <c r="N8" s="3">
        <f>COUNT(N14:N73)</f>
        <v/>
      </c>
      <c r="O8" s="3">
        <f>COUNT(O14:O73)</f>
        <v/>
      </c>
      <c r="P8" s="3">
        <f>COUNT(P14:P73)</f>
        <v/>
      </c>
      <c r="Q8" s="3">
        <f>COUNT(Q14:Q73)</f>
        <v/>
      </c>
      <c r="R8" s="3">
        <f>COUNT(R14:R73)</f>
        <v/>
      </c>
      <c r="S8" s="3">
        <f>COUNT(S14:S73)</f>
        <v/>
      </c>
      <c r="T8" s="3">
        <f>COUNT(T14:T73)</f>
        <v/>
      </c>
      <c r="U8" s="3">
        <f>COUNT(U14:U73)</f>
        <v/>
      </c>
      <c r="V8" s="3">
        <f>COUNT(V14:V73)</f>
        <v/>
      </c>
      <c r="W8" s="3">
        <f>COUNT(W14:W73)</f>
        <v/>
      </c>
      <c r="X8" s="3">
        <f>COUNT(X14:X73)</f>
        <v/>
      </c>
      <c r="Y8" s="3">
        <f>COUNT(Y14:Y73)</f>
        <v/>
      </c>
      <c r="Z8" s="3">
        <f>COUNT(Z14:Z73)</f>
        <v/>
      </c>
      <c r="AA8" s="3">
        <f>COUNT(AA14:AA73)</f>
        <v/>
      </c>
      <c r="AB8" s="3">
        <f>COUNT(AB14:AB73)</f>
        <v/>
      </c>
      <c r="AC8" s="3">
        <f>COUNT(AC14:AC73)</f>
        <v/>
      </c>
      <c r="AD8" s="3">
        <f>COUNT(AD14:AD73)</f>
        <v/>
      </c>
    </row>
    <row r="9">
      <c r="A9" s="2" t="inlineStr">
        <is>
          <t>Std</t>
        </is>
      </c>
      <c r="B9" s="3">
        <f>STDEV(B14:B73)</f>
        <v/>
      </c>
      <c r="C9" s="3">
        <f>STDEV(C14:C73)</f>
        <v/>
      </c>
      <c r="D9" s="3">
        <f>STDEV(D14:D73)</f>
        <v/>
      </c>
      <c r="E9" s="3">
        <f>STDEV(E14:E73)</f>
        <v/>
      </c>
      <c r="F9" s="3">
        <f>STDEV(F14:F73)</f>
        <v/>
      </c>
      <c r="G9" s="3">
        <f>STDEV(G14:G73)</f>
        <v/>
      </c>
      <c r="H9" s="3">
        <f>STDEV(H14:H73)</f>
        <v/>
      </c>
      <c r="I9" s="3">
        <f>STDEV(I14:I73)</f>
        <v/>
      </c>
      <c r="J9" s="3">
        <f>STDEV(J14:J73)</f>
        <v/>
      </c>
      <c r="K9" s="3">
        <f>STDEV(K14:K73)</f>
        <v/>
      </c>
      <c r="L9" s="3">
        <f>STDEV(L14:L73)</f>
        <v/>
      </c>
      <c r="M9" s="3">
        <f>STDEV(M14:M73)</f>
        <v/>
      </c>
      <c r="N9" s="3">
        <f>STDEV(N14:N73)</f>
        <v/>
      </c>
      <c r="O9" s="3">
        <f>STDEV(O14:O73)</f>
        <v/>
      </c>
      <c r="P9" s="3">
        <f>STDEV(P14:P73)</f>
        <v/>
      </c>
      <c r="Q9" s="3">
        <f>STDEV(Q14:Q73)</f>
        <v/>
      </c>
      <c r="R9" s="3">
        <f>STDEV(R14:R73)</f>
        <v/>
      </c>
      <c r="S9" s="3">
        <f>STDEV(S14:S73)</f>
        <v/>
      </c>
      <c r="T9" s="3">
        <f>STDEV(T14:T73)</f>
        <v/>
      </c>
      <c r="U9" s="3">
        <f>STDEV(U14:U73)</f>
        <v/>
      </c>
      <c r="V9" s="3">
        <f>STDEV(V14:V73)</f>
        <v/>
      </c>
      <c r="W9" s="3">
        <f>STDEV(W14:W73)</f>
        <v/>
      </c>
      <c r="X9" s="3">
        <f>STDEV(X14:X73)</f>
        <v/>
      </c>
      <c r="Y9" s="3">
        <f>STDEV(Y14:Y73)</f>
        <v/>
      </c>
      <c r="Z9" s="3">
        <f>STDEV(Z14:Z73)</f>
        <v/>
      </c>
      <c r="AA9" s="3">
        <f>STDEV(AA14:AA73)</f>
        <v/>
      </c>
      <c r="AB9" s="3">
        <f>STDEV(AB14:AB73)</f>
        <v/>
      </c>
      <c r="AC9" s="3">
        <f>STDEV(AC14:AC73)</f>
        <v/>
      </c>
      <c r="AD9" s="3">
        <f>STDEV(AD14:AD73)</f>
        <v/>
      </c>
    </row>
    <row r="10">
      <c r="A10" s="2" t="inlineStr">
        <is>
          <t>Sum</t>
        </is>
      </c>
      <c r="B10" s="3">
        <f>SUM(B14:B73)</f>
        <v/>
      </c>
      <c r="C10" s="3">
        <f>SUM(C14:C73)</f>
        <v/>
      </c>
      <c r="D10" s="3">
        <f>SUM(D14:D73)</f>
        <v/>
      </c>
      <c r="E10" s="3">
        <f>SUM(E14:E73)</f>
        <v/>
      </c>
      <c r="F10" s="3">
        <f>SUM(F14:F73)</f>
        <v/>
      </c>
      <c r="G10" s="3">
        <f>SUM(G14:G73)</f>
        <v/>
      </c>
      <c r="H10" s="3">
        <f>SUM(H14:H73)</f>
        <v/>
      </c>
      <c r="I10" s="3">
        <f>SUM(I14:I73)</f>
        <v/>
      </c>
      <c r="J10" s="3">
        <f>SUM(J14:J73)</f>
        <v/>
      </c>
      <c r="K10" s="3">
        <f>SUM(K14:K73)</f>
        <v/>
      </c>
      <c r="L10" s="3">
        <f>SUM(L14:L73)</f>
        <v/>
      </c>
      <c r="M10" s="3">
        <f>SUM(M14:M73)</f>
        <v/>
      </c>
      <c r="N10" s="3">
        <f>SUM(N14:N73)</f>
        <v/>
      </c>
      <c r="O10" s="3">
        <f>SUM(O14:O73)</f>
        <v/>
      </c>
      <c r="P10" s="3">
        <f>SUM(P14:P73)</f>
        <v/>
      </c>
      <c r="Q10" s="3">
        <f>SUM(Q14:Q73)</f>
        <v/>
      </c>
      <c r="R10" s="3">
        <f>SUM(R14:R73)</f>
        <v/>
      </c>
      <c r="S10" s="3">
        <f>SUM(S14:S73)</f>
        <v/>
      </c>
      <c r="T10" s="3">
        <f>SUM(T14:T73)</f>
        <v/>
      </c>
      <c r="U10" s="3">
        <f>SUM(U14:U73)</f>
        <v/>
      </c>
      <c r="V10" s="3">
        <f>SUM(V14:V73)</f>
        <v/>
      </c>
      <c r="W10" s="3">
        <f>SUM(W14:W73)</f>
        <v/>
      </c>
      <c r="X10" s="3">
        <f>SUM(X14:X73)</f>
        <v/>
      </c>
      <c r="Y10" s="3">
        <f>SUM(Y14:Y73)</f>
        <v/>
      </c>
      <c r="Z10" s="3">
        <f>SUM(Z14:Z73)</f>
        <v/>
      </c>
      <c r="AA10" s="3">
        <f>SUM(AA14:AA73)</f>
        <v/>
      </c>
      <c r="AB10" s="3">
        <f>SUM(AB14:AB73)</f>
        <v/>
      </c>
      <c r="AC10" s="3">
        <f>SUM(AC14:AC73)</f>
        <v/>
      </c>
      <c r="AD10" s="3">
        <f>SUM(AD14:AD73)</f>
        <v/>
      </c>
    </row>
    <row r="11">
      <c r="W11" s="3" t="n">
        <v>0</v>
      </c>
      <c r="X11" s="3" t="n">
        <v>0</v>
      </c>
      <c r="Y11" s="3" t="n">
        <v>0</v>
      </c>
      <c r="AA11" s="3" t="n">
        <v>0</v>
      </c>
      <c r="AB11" s="3" t="n">
        <v>-1</v>
      </c>
      <c r="AC11" s="3" t="n">
        <v>0</v>
      </c>
    </row>
    <row r="12">
      <c r="W12" s="3" t="n">
        <v>-2</v>
      </c>
      <c r="X12" s="3" t="n">
        <v>0</v>
      </c>
      <c r="Y12" s="3" t="n">
        <v>0</v>
      </c>
      <c r="Z12" s="4">
        <f>IF(ABS($W$5)&gt;=MAX(ABS($X$5),ABS($Y$5)),"W"&amp;","&amp;IF(ABS($X$5)&gt;=ABS($Y$5),"X,Y","Y,X"),IF(ABS($X$5)&gt;=MAX(ABS($W$5),ABS($Y$5)),"X"&amp;","&amp;IF(ABS($W$5)&gt;=ABS($Y$5),"W,Y","Y,W"),"Y"&amp;","&amp;IF(ABS($W$5)&gt;=ABS($X$5),"W,X","X,W")))</f>
        <v/>
      </c>
      <c r="AA12" s="3" t="n">
        <v>0</v>
      </c>
      <c r="AB12" s="3" t="n">
        <v>0</v>
      </c>
      <c r="AC12" s="3" t="n">
        <v>0</v>
      </c>
      <c r="AD12" s="4">
        <f>IF(ABS($AA$5)&gt;=MAX(ABS($AB$5),ABS($AC$5)),"AA"&amp;","&amp;IF(ABS($AB$5)&gt;=ABS($AC$5),"AB,AC","AC,AB"),IF(ABS($AB$5)&gt;=MAX(ABS($AA$5),ABS($AC$5)),"AB"&amp;","&amp;IF(ABS($AA$5)&gt;=ABS($AC$5),"AA,AC","AC,AA"),"AC"&amp;","&amp;IF(ABS($AA$5)&gt;=ABS($AB$5),"AA,AB","AB,AA")))</f>
        <v/>
      </c>
    </row>
    <row r="13">
      <c r="A13" s="5" t="inlineStr">
        <is>
          <t>日期</t>
        </is>
      </c>
      <c r="B13" s="5" t="inlineStr">
        <is>
          <t>Ultra NASDAQ-100 ProFunds Investor Class（UOPIX） Adj Close</t>
        </is>
      </c>
      <c r="C13" s="5" t="inlineStr">
        <is>
          <t>Ultra NASDAQ-100 ProFunds Investor Class（UOPIX）回报</t>
        </is>
      </c>
      <c r="D13" s="5" t="inlineStr">
        <is>
          <t>UltraBull ProFund Investor Shares（ULPIX） Adj Close</t>
        </is>
      </c>
      <c r="E13" s="5" t="inlineStr">
        <is>
          <t>UltraBull ProFund Investor Shares（ULPIX）回报</t>
        </is>
      </c>
      <c r="F13" s="5" t="inlineStr">
        <is>
          <t>EEM Adj Close</t>
        </is>
      </c>
      <c r="G13" s="5" t="inlineStr">
        <is>
          <t>EEM回报</t>
        </is>
      </c>
      <c r="H13" s="5" t="inlineStr">
        <is>
          <t>GLD Adj Close</t>
        </is>
      </c>
      <c r="I13" s="5" t="inlineStr">
        <is>
          <t>GLD回报</t>
        </is>
      </c>
      <c r="J13" s="5" t="inlineStr">
        <is>
          <t>HYG Adj Close</t>
        </is>
      </c>
      <c r="K13" s="5" t="inlineStr">
        <is>
          <t>HYG回报</t>
        </is>
      </c>
      <c r="L13" s="5" t="inlineStr">
        <is>
          <t>TIP Adj Close</t>
        </is>
      </c>
      <c r="M13" s="5" t="inlineStr">
        <is>
          <t>TIP回报</t>
        </is>
      </c>
      <c r="N13" s="5" t="inlineStr">
        <is>
          <t>XLF Adj Close</t>
        </is>
      </c>
      <c r="O13" s="5" t="inlineStr">
        <is>
          <t>XLF回报</t>
        </is>
      </c>
      <c r="P13" s="5" t="inlineStr">
        <is>
          <t>FXY Adj Close</t>
        </is>
      </c>
      <c r="Q13" s="5" t="inlineStr">
        <is>
          <t>FXY回报</t>
        </is>
      </c>
      <c r="R13" s="5" t="inlineStr">
        <is>
          <t>GDX Adj Close</t>
        </is>
      </c>
      <c r="S13" s="5" t="inlineStr">
        <is>
          <t>GDX回报</t>
        </is>
      </c>
      <c r="T13" s="5" t="inlineStr">
        <is>
          <t>XLC Adj Close</t>
        </is>
      </c>
      <c r="U13" s="5" t="inlineStr">
        <is>
          <t>XLC回报</t>
        </is>
      </c>
      <c r="V13" s="5" t="inlineStr">
        <is>
          <t>VIX_Chg%</t>
        </is>
      </c>
      <c r="W13" s="5" t="inlineStr">
        <is>
          <t>VIX&gt;0 且 该基金当日回报&lt;=-2%，买基金第二天</t>
        </is>
      </c>
      <c r="X13" s="5" t="inlineStr">
        <is>
          <t>HYG&lt;0 且 TIP&gt;0，买基金第二天</t>
        </is>
      </c>
      <c r="Y13" s="5" t="inlineStr">
        <is>
          <t>EEM&gt;0 且 GLD&lt;0 且 HYG&gt;0，买基金第二天</t>
        </is>
      </c>
      <c r="Z13" s="5" t="inlineStr">
        <is>
          <t>Ultra NASDAQ-100 ProFunds Investor Class（UOPIX）合并效果</t>
        </is>
      </c>
      <c r="AA13" s="5" t="inlineStr">
        <is>
          <t>GDX&gt;0 且 XLC&lt;0，买基金第二天</t>
        </is>
      </c>
      <c r="AB13" s="5" t="inlineStr">
        <is>
          <t>XLF&lt;=-1% 且 该基金当日回报&lt;0，买基金第二天</t>
        </is>
      </c>
      <c r="AC13" s="5" t="inlineStr">
        <is>
          <t>FXY&gt;0 且 GDX&gt;0，买基金第二天</t>
        </is>
      </c>
      <c r="AD13" s="5" t="inlineStr">
        <is>
          <t>UltraBull ProFund Investor Shares（ULPIX）合并效果</t>
        </is>
      </c>
    </row>
    <row r="14">
      <c r="A14" s="6" t="inlineStr">
        <is>
          <t>2026/08/04</t>
        </is>
      </c>
      <c r="B14" s="6" t="n">
        <v>164.02</v>
      </c>
      <c r="C14" s="6">
        <f>IF(COUNT(B14:B15)=2,(B14/B15-1)*100,"")</f>
        <v/>
      </c>
      <c r="D14" s="6" t="n">
        <v>194.03</v>
      </c>
      <c r="E14" s="6">
        <f>IF(COUNT(D14:D15)=2,(D14/D15-1)*100,"")</f>
        <v/>
      </c>
      <c r="F14" s="6" t="n">
        <v>66</v>
      </c>
      <c r="G14" s="6">
        <f>IF(COUNT(F14:F15)=2,(F14/F15-1)*100,"")</f>
        <v/>
      </c>
      <c r="H14" s="6" t="n">
        <v>374.16</v>
      </c>
      <c r="I14" s="6">
        <f>IF(COUNT(H14:H15)=2,(H14/H15-1)*100,"")</f>
        <v/>
      </c>
      <c r="J14" s="6" t="n">
        <v>79.55</v>
      </c>
      <c r="K14" s="6">
        <f>IF(COUNT(J14:J15)=2,(J14/J15-1)*100,"")</f>
        <v/>
      </c>
      <c r="L14" s="6" t="n">
        <v>107.05</v>
      </c>
      <c r="M14" s="6">
        <f>IF(COUNT(L14:L15)=2,(L14/L15-1)*100,"")</f>
        <v/>
      </c>
      <c r="N14" s="6" t="n">
        <v>57.88</v>
      </c>
      <c r="O14" s="6">
        <f>IF(COUNT(N14:N15)=2,(N14/N15-1)*100,"")</f>
        <v/>
      </c>
      <c r="P14" s="6" t="n">
        <v>58.15</v>
      </c>
      <c r="Q14" s="6">
        <f>IF(COUNT(P14:P15)=2,(P14/P15-1)*100,"")</f>
        <v/>
      </c>
      <c r="R14" s="6" t="n">
        <v>77.92</v>
      </c>
      <c r="S14" s="6">
        <f>IF(COUNT(R14:R15)=2,(R14/R15-1)*100,"")</f>
        <v/>
      </c>
      <c r="T14" s="6" t="n">
        <v>112.04</v>
      </c>
      <c r="U14" s="6">
        <f>IF(COUNT(T14:T15)=2,(T14/T15-1)*100,"")</f>
        <v/>
      </c>
      <c r="V14" s="6" t="n">
        <v/>
      </c>
      <c r="W14" s="6" t="inlineStr"/>
      <c r="X14" s="6" t="inlineStr"/>
      <c r="Y14" s="6" t="inlineStr"/>
      <c r="Z14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14" s="6" t="inlineStr"/>
      <c r="AB14" s="6" t="inlineStr"/>
      <c r="AC14" s="6" t="inlineStr"/>
      <c r="AD14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15">
      <c r="A15" s="6" t="inlineStr">
        <is>
          <t>2026/08/03</t>
        </is>
      </c>
      <c r="B15" s="6" t="n">
        <v>153.8</v>
      </c>
      <c r="C15" s="6">
        <f>IF(COUNT(B15:B16)=2,(B15/B16-1)*100,"")</f>
        <v/>
      </c>
      <c r="D15" s="6" t="n">
        <v>187.34</v>
      </c>
      <c r="E15" s="6">
        <f>IF(COUNT(D15:D16)=2,(D15/D16-1)*100,"")</f>
        <v/>
      </c>
      <c r="F15" s="6" t="n">
        <v>64.31999999999999</v>
      </c>
      <c r="G15" s="6">
        <f>IF(COUNT(F15:F16)=2,(F15/F16-1)*100,"")</f>
        <v/>
      </c>
      <c r="H15" s="6" t="n">
        <v>371.71</v>
      </c>
      <c r="I15" s="6">
        <f>IF(COUNT(H15:H16)=2,(H15/H16-1)*100,"")</f>
        <v/>
      </c>
      <c r="J15" s="6" t="n">
        <v>79.31</v>
      </c>
      <c r="K15" s="6">
        <f>IF(COUNT(J15:J16)=2,(J15/J16-1)*100,"")</f>
        <v/>
      </c>
      <c r="L15" s="6" t="n">
        <v>106.86</v>
      </c>
      <c r="M15" s="6">
        <f>IF(COUNT(L15:L16)=2,(L15/L16-1)*100,"")</f>
        <v/>
      </c>
      <c r="N15" s="6" t="n">
        <v>57.38</v>
      </c>
      <c r="O15" s="6">
        <f>IF(COUNT(N15:N16)=2,(N15/N16-1)*100,"")</f>
        <v/>
      </c>
      <c r="P15" s="6" t="n">
        <v>58.5</v>
      </c>
      <c r="Q15" s="6">
        <f>IF(COUNT(P15:P16)=2,(P15/P16-1)*100,"")</f>
        <v/>
      </c>
      <c r="R15" s="6" t="n">
        <v>76.05</v>
      </c>
      <c r="S15" s="6">
        <f>IF(COUNT(R15:R16)=2,(R15/R16-1)*100,"")</f>
        <v/>
      </c>
      <c r="T15" s="6" t="n">
        <v>111.34</v>
      </c>
      <c r="U15" s="6">
        <f>IF(COUNT(T15:T16)=2,(T15/T16-1)*100,"")</f>
        <v/>
      </c>
      <c r="V15" s="6" t="n">
        <v/>
      </c>
      <c r="W15" s="6">
        <f>IF(AND(V15&gt;$W$11,C15&lt;=$W$12),C14,"")</f>
        <v/>
      </c>
      <c r="X15" s="6">
        <f>IF(AND(K15&lt;$X$11,M15&gt;$X$12),C14,"")</f>
        <v/>
      </c>
      <c r="Y15" s="6">
        <f>IF(AND(G15&gt;$Y$11,I15&lt;$Y$12,K15&gt;$Y$12),C14,"")</f>
        <v/>
      </c>
      <c r="Z15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15" s="6">
        <f>IF(AND(S15&gt;$AA$11,U15&lt;$AA$12),E14,"")</f>
        <v/>
      </c>
      <c r="AB15" s="6">
        <f>IF(AND(O15&lt;=$AB$11,E15&lt;$AB$12),E14,"")</f>
        <v/>
      </c>
      <c r="AC15" s="6">
        <f>IF(AND(Q15&gt;$AC$11,S15&gt;$AC$12),E14,"")</f>
        <v/>
      </c>
      <c r="AD15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16">
      <c r="A16" s="6" t="inlineStr">
        <is>
          <t>2026/07/31</t>
        </is>
      </c>
      <c r="B16" s="6" t="n">
        <v>148.6</v>
      </c>
      <c r="C16" s="6">
        <f>IF(COUNT(B16:B17)=2,(B16/B17-1)*100,"")</f>
        <v/>
      </c>
      <c r="D16" s="6" t="n">
        <v>182.05</v>
      </c>
      <c r="E16" s="6">
        <f>IF(COUNT(D16:D17)=2,(D16/D17-1)*100,"")</f>
        <v/>
      </c>
      <c r="F16" s="6" t="n">
        <v>64.09</v>
      </c>
      <c r="G16" s="6">
        <f>IF(COUNT(F16:F17)=2,(F16/F17-1)*100,"")</f>
        <v/>
      </c>
      <c r="H16" s="6" t="n">
        <v>371.54</v>
      </c>
      <c r="I16" s="6">
        <f>IF(COUNT(H16:H17)=2,(H16/H17-1)*100,"")</f>
        <v/>
      </c>
      <c r="J16" s="6" t="n">
        <v>79.096</v>
      </c>
      <c r="K16" s="6">
        <f>IF(COUNT(J16:J17)=2,(J16/J17-1)*100,"")</f>
        <v/>
      </c>
      <c r="L16" s="6" t="n">
        <v>106.846</v>
      </c>
      <c r="M16" s="6">
        <f>IF(COUNT(L16:L17)=2,(L16/L17-1)*100,"")</f>
        <v/>
      </c>
      <c r="N16" s="6" t="n">
        <v>56.94</v>
      </c>
      <c r="O16" s="6">
        <f>IF(COUNT(N16:N17)=2,(N16/N17-1)*100,"")</f>
        <v/>
      </c>
      <c r="P16" s="6" t="n">
        <v>57.66</v>
      </c>
      <c r="Q16" s="6">
        <f>IF(COUNT(P16:P17)=2,(P16/P17-1)*100,"")</f>
        <v/>
      </c>
      <c r="R16" s="6" t="n">
        <v>74.09999999999999</v>
      </c>
      <c r="S16" s="6">
        <f>IF(COUNT(R16:R17)=2,(R16/R17-1)*100,"")</f>
        <v/>
      </c>
      <c r="T16" s="6" t="n">
        <v>108.24</v>
      </c>
      <c r="U16" s="6">
        <f>IF(COUNT(T16:T17)=2,(T16/T17-1)*100,"")</f>
        <v/>
      </c>
      <c r="V16" s="6" t="n">
        <v/>
      </c>
      <c r="W16" s="6">
        <f>IF(AND(V16&gt;$W$11,C16&lt;=$W$12),C15,"")</f>
        <v/>
      </c>
      <c r="X16" s="6">
        <f>IF(AND(K16&lt;$X$11,M16&gt;$X$12),C15,"")</f>
        <v/>
      </c>
      <c r="Y16" s="6">
        <f>IF(AND(G16&gt;$Y$11,I16&lt;$Y$12,K16&gt;$Y$12),C15,"")</f>
        <v/>
      </c>
      <c r="Z16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16" s="6">
        <f>IF(AND(S16&gt;$AA$11,U16&lt;$AA$12),E15,"")</f>
        <v/>
      </c>
      <c r="AB16" s="6">
        <f>IF(AND(O16&lt;=$AB$11,E16&lt;$AB$12),E15,"")</f>
        <v/>
      </c>
      <c r="AC16" s="6">
        <f>IF(AND(Q16&gt;$AC$11,S16&gt;$AC$12),E15,"")</f>
        <v/>
      </c>
      <c r="AD16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17">
      <c r="A17" s="6" t="inlineStr">
        <is>
          <t>2026/07/30</t>
        </is>
      </c>
      <c r="B17" s="6" t="n">
        <v>146.84</v>
      </c>
      <c r="C17" s="6">
        <f>IF(COUNT(B17:B18)=2,(B17/B18-1)*100,"")</f>
        <v/>
      </c>
      <c r="D17" s="6" t="n">
        <v>179.55</v>
      </c>
      <c r="E17" s="6">
        <f>IF(COUNT(D17:D18)=2,(D17/D18-1)*100,"")</f>
        <v/>
      </c>
      <c r="F17" s="6" t="n">
        <v>63.59</v>
      </c>
      <c r="G17" s="6">
        <f>IF(COUNT(F17:F18)=2,(F17/F18-1)*100,"")</f>
        <v/>
      </c>
      <c r="H17" s="6" t="n">
        <v>377.16</v>
      </c>
      <c r="I17" s="6">
        <f>IF(COUNT(H17:H18)=2,(H17/H18-1)*100,"")</f>
        <v/>
      </c>
      <c r="J17" s="6" t="n">
        <v>79.086</v>
      </c>
      <c r="K17" s="6">
        <f>IF(COUNT(J17:J18)=2,(J17/J18-1)*100,"")</f>
        <v/>
      </c>
      <c r="L17" s="6" t="n">
        <v>106.9552</v>
      </c>
      <c r="M17" s="6">
        <f>IF(COUNT(L17:L18)=2,(L17/L18-1)*100,"")</f>
        <v/>
      </c>
      <c r="N17" s="6" t="n">
        <v>57</v>
      </c>
      <c r="O17" s="6">
        <f>IF(COUNT(N17:N18)=2,(N17/N18-1)*100,"")</f>
        <v/>
      </c>
      <c r="P17" s="6" t="n">
        <v>57.58</v>
      </c>
      <c r="Q17" s="6">
        <f>IF(COUNT(P17:P18)=2,(P17/P18-1)*100,"")</f>
        <v/>
      </c>
      <c r="R17" s="6" t="n">
        <v>76.78</v>
      </c>
      <c r="S17" s="6">
        <f>IF(COUNT(R17:R18)=2,(R17/R18-1)*100,"")</f>
        <v/>
      </c>
      <c r="T17" s="6" t="n">
        <v>106.58</v>
      </c>
      <c r="U17" s="6">
        <f>IF(COUNT(T17:T18)=2,(T17/T18-1)*100,"")</f>
        <v/>
      </c>
      <c r="V17" s="6" t="n">
        <v/>
      </c>
      <c r="W17" s="6">
        <f>IF(AND(V17&gt;$W$11,C17&lt;=$W$12),C16,"")</f>
        <v/>
      </c>
      <c r="X17" s="6">
        <f>IF(AND(K17&lt;$X$11,M17&gt;$X$12),C16,"")</f>
        <v/>
      </c>
      <c r="Y17" s="6">
        <f>IF(AND(G17&gt;$Y$11,I17&lt;$Y$12,K17&gt;$Y$12),C16,"")</f>
        <v/>
      </c>
      <c r="Z17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17" s="6">
        <f>IF(AND(S17&gt;$AA$11,U17&lt;$AA$12),E16,"")</f>
        <v/>
      </c>
      <c r="AB17" s="6">
        <f>IF(AND(O17&lt;=$AB$11,E17&lt;$AB$12),E16,"")</f>
        <v/>
      </c>
      <c r="AC17" s="6">
        <f>IF(AND(Q17&gt;$AC$11,S17&gt;$AC$12),E16,"")</f>
        <v/>
      </c>
      <c r="AD17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18">
      <c r="A18" s="6" t="inlineStr">
        <is>
          <t>2026/07/29</t>
        </is>
      </c>
      <c r="B18" s="6" t="n">
        <v>137.65</v>
      </c>
      <c r="C18" s="6">
        <f>IF(COUNT(B18:B19)=2,(B18/B19-1)*100,"")</f>
        <v/>
      </c>
      <c r="D18" s="6" t="n">
        <v>173.8</v>
      </c>
      <c r="E18" s="6">
        <f>IF(COUNT(D18:D19)=2,(D18/D19-1)*100,"")</f>
        <v/>
      </c>
      <c r="F18" s="6" t="n">
        <v>61.07</v>
      </c>
      <c r="G18" s="6">
        <f>IF(COUNT(F18:F19)=2,(F18/F19-1)*100,"")</f>
        <v/>
      </c>
      <c r="H18" s="6" t="n">
        <v>371.08</v>
      </c>
      <c r="I18" s="6">
        <f>IF(COUNT(H18:H19)=2,(H18/H19-1)*100,"")</f>
        <v/>
      </c>
      <c r="J18" s="6" t="n">
        <v>78.85720000000001</v>
      </c>
      <c r="K18" s="6">
        <f>IF(COUNT(J18:J19)=2,(J18/J19-1)*100,"")</f>
        <v/>
      </c>
      <c r="L18" s="6" t="n">
        <v>106.985</v>
      </c>
      <c r="M18" s="6">
        <f>IF(COUNT(L18:L19)=2,(L18/L19-1)*100,"")</f>
        <v/>
      </c>
      <c r="N18" s="6" t="n">
        <v>56.68</v>
      </c>
      <c r="O18" s="6">
        <f>IF(COUNT(N18:N19)=2,(N18/N19-1)*100,"")</f>
        <v/>
      </c>
      <c r="P18" s="6" t="n">
        <v>56.13</v>
      </c>
      <c r="Q18" s="6">
        <f>IF(COUNT(P18:P19)=2,(P18/P19-1)*100,"")</f>
        <v/>
      </c>
      <c r="R18" s="6" t="n">
        <v>73.56999999999999</v>
      </c>
      <c r="S18" s="6">
        <f>IF(COUNT(R18:R19)=2,(R18/R19-1)*100,"")</f>
        <v/>
      </c>
      <c r="T18" s="6" t="n">
        <v>109.51</v>
      </c>
      <c r="U18" s="6">
        <f>IF(COUNT(T18:T19)=2,(T18/T19-1)*100,"")</f>
        <v/>
      </c>
      <c r="V18" s="6" t="n">
        <v/>
      </c>
      <c r="W18" s="6">
        <f>IF(AND(V18&gt;$W$11,C18&lt;=$W$12),C17,"")</f>
        <v/>
      </c>
      <c r="X18" s="6">
        <f>IF(AND(K18&lt;$X$11,M18&gt;$X$12),C17,"")</f>
        <v/>
      </c>
      <c r="Y18" s="6">
        <f>IF(AND(G18&gt;$Y$11,I18&lt;$Y$12,K18&gt;$Y$12),C17,"")</f>
        <v/>
      </c>
      <c r="Z18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18" s="6">
        <f>IF(AND(S18&gt;$AA$11,U18&lt;$AA$12),E17,"")</f>
        <v/>
      </c>
      <c r="AB18" s="6">
        <f>IF(AND(O18&lt;=$AB$11,E18&lt;$AB$12),E17,"")</f>
        <v/>
      </c>
      <c r="AC18" s="6">
        <f>IF(AND(Q18&gt;$AC$11,S18&gt;$AC$12),E17,"")</f>
        <v/>
      </c>
      <c r="AD18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19">
      <c r="A19" s="6" t="inlineStr">
        <is>
          <t>2026/07/28</t>
        </is>
      </c>
      <c r="B19" s="6" t="n">
        <v>143.57</v>
      </c>
      <c r="C19" s="6">
        <f>IF(COUNT(B19:B20)=2,(B19/B20-1)*100,"")</f>
        <v/>
      </c>
      <c r="D19" s="6" t="n">
        <v>179.29</v>
      </c>
      <c r="E19" s="6">
        <f>IF(COUNT(D19:D20)=2,(D19/D20-1)*100,"")</f>
        <v/>
      </c>
      <c r="F19" s="6" t="n">
        <v>62.36</v>
      </c>
      <c r="G19" s="6">
        <f>IF(COUNT(F19:F20)=2,(F19/F20-1)*100,"")</f>
        <v/>
      </c>
      <c r="H19" s="6" t="n">
        <v>369.37</v>
      </c>
      <c r="I19" s="6">
        <f>IF(COUNT(H19:H20)=2,(H19/H20-1)*100,"")</f>
        <v/>
      </c>
      <c r="J19" s="6" t="n">
        <v>79.0363</v>
      </c>
      <c r="K19" s="6">
        <f>IF(COUNT(J19:J20)=2,(J19/J20-1)*100,"")</f>
        <v/>
      </c>
      <c r="L19" s="6" t="n">
        <v>106.8758</v>
      </c>
      <c r="M19" s="6">
        <f>IF(COUNT(L19:L20)=2,(L19/L20-1)*100,"")</f>
        <v/>
      </c>
      <c r="N19" s="6" t="n">
        <v>57.6</v>
      </c>
      <c r="O19" s="6">
        <f>IF(COUNT(N19:N20)=2,(N19/N20-1)*100,"")</f>
        <v/>
      </c>
      <c r="P19" s="6" t="n">
        <v>56</v>
      </c>
      <c r="Q19" s="6">
        <f>IF(COUNT(P19:P20)=2,(P19/P20-1)*100,"")</f>
        <v/>
      </c>
      <c r="R19" s="6" t="n">
        <v>74.20999999999999</v>
      </c>
      <c r="S19" s="6">
        <f>IF(COUNT(R19:R20)=2,(R19/R20-1)*100,"")</f>
        <v/>
      </c>
      <c r="T19" s="6" t="n">
        <v>109.67</v>
      </c>
      <c r="U19" s="6">
        <f>IF(COUNT(T19:T20)=2,(T19/T20-1)*100,"")</f>
        <v/>
      </c>
      <c r="V19" s="6" t="n">
        <v/>
      </c>
      <c r="W19" s="6">
        <f>IF(AND(V19&gt;$W$11,C19&lt;=$W$12),C18,"")</f>
        <v/>
      </c>
      <c r="X19" s="6">
        <f>IF(AND(K19&lt;$X$11,M19&gt;$X$12),C18,"")</f>
        <v/>
      </c>
      <c r="Y19" s="6">
        <f>IF(AND(G19&gt;$Y$11,I19&lt;$Y$12,K19&gt;$Y$12),C18,"")</f>
        <v/>
      </c>
      <c r="Z19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19" s="6">
        <f>IF(AND(S19&gt;$AA$11,U19&lt;$AA$12),E18,"")</f>
        <v/>
      </c>
      <c r="AB19" s="6">
        <f>IF(AND(O19&lt;=$AB$11,E19&lt;$AB$12),E18,"")</f>
        <v/>
      </c>
      <c r="AC19" s="6">
        <f>IF(AND(Q19&gt;$AC$11,S19&gt;$AC$12),E18,"")</f>
        <v/>
      </c>
      <c r="AD19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0">
      <c r="A20" s="6" t="inlineStr">
        <is>
          <t>2026/07/27</t>
        </is>
      </c>
      <c r="B20" s="6" t="n">
        <v>146.46</v>
      </c>
      <c r="C20" s="6">
        <f>IF(COUNT(B20:B21)=2,(B20/B21-1)*100,"")</f>
        <v/>
      </c>
      <c r="D20" s="6" t="n">
        <v>178.54</v>
      </c>
      <c r="E20" s="6">
        <f>IF(COUNT(D20:D21)=2,(D20/D21-1)*100,"")</f>
        <v/>
      </c>
      <c r="F20" s="6" t="n">
        <v>63.62</v>
      </c>
      <c r="G20" s="6">
        <f>IF(COUNT(F20:F21)=2,(F20/F21-1)*100,"")</f>
        <v/>
      </c>
      <c r="H20" s="6" t="n">
        <v>374.63</v>
      </c>
      <c r="I20" s="6">
        <f>IF(COUNT(H20:H21)=2,(H20/H21-1)*100,"")</f>
        <v/>
      </c>
      <c r="J20" s="6" t="n">
        <v>78.887</v>
      </c>
      <c r="K20" s="6">
        <f>IF(COUNT(J20:J21)=2,(J20/J21-1)*100,"")</f>
        <v/>
      </c>
      <c r="L20" s="6" t="n">
        <v>106.6077</v>
      </c>
      <c r="M20" s="6">
        <f>IF(COUNT(L20:L21)=2,(L20/L21-1)*100,"")</f>
        <v/>
      </c>
      <c r="N20" s="6" t="n">
        <v>56.88</v>
      </c>
      <c r="O20" s="6">
        <f>IF(COUNT(N20:N21)=2,(N20/N21-1)*100,"")</f>
        <v/>
      </c>
      <c r="P20" s="6" t="n">
        <v>56.01</v>
      </c>
      <c r="Q20" s="6">
        <f>IF(COUNT(P20:P21)=2,(P20/P21-1)*100,"")</f>
        <v/>
      </c>
      <c r="R20" s="6" t="n">
        <v>75.73</v>
      </c>
      <c r="S20" s="6">
        <f>IF(COUNT(R20:R21)=2,(R20/R21-1)*100,"")</f>
        <v/>
      </c>
      <c r="T20" s="6" t="n">
        <v>107.66</v>
      </c>
      <c r="U20" s="6">
        <f>IF(COUNT(T20:T21)=2,(T20/T21-1)*100,"")</f>
        <v/>
      </c>
      <c r="V20" s="6" t="n">
        <v/>
      </c>
      <c r="W20" s="6">
        <f>IF(AND(V20&gt;$W$11,C20&lt;=$W$12),C19,"")</f>
        <v/>
      </c>
      <c r="X20" s="6">
        <f>IF(AND(K20&lt;$X$11,M20&gt;$X$12),C19,"")</f>
        <v/>
      </c>
      <c r="Y20" s="6">
        <f>IF(AND(G20&gt;$Y$11,I20&lt;$Y$12,K20&gt;$Y$12),C19,"")</f>
        <v/>
      </c>
      <c r="Z20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0" s="6">
        <f>IF(AND(S20&gt;$AA$11,U20&lt;$AA$12),E19,"")</f>
        <v/>
      </c>
      <c r="AB20" s="6">
        <f>IF(AND(O20&lt;=$AB$11,E20&lt;$AB$12),E19,"")</f>
        <v/>
      </c>
      <c r="AC20" s="6">
        <f>IF(AND(Q20&gt;$AC$11,S20&gt;$AC$12),E19,"")</f>
        <v/>
      </c>
      <c r="AD20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1">
      <c r="A21" s="6" t="inlineStr">
        <is>
          <t>2026/07/24</t>
        </is>
      </c>
      <c r="B21" s="6" t="n">
        <v>147.47</v>
      </c>
      <c r="C21" s="6">
        <f>IF(COUNT(B21:B22)=2,(B21/B22-1)*100,"")</f>
        <v/>
      </c>
      <c r="D21" s="6" t="n">
        <v>178.56</v>
      </c>
      <c r="E21" s="6">
        <f>IF(COUNT(D21:D22)=2,(D21/D22-1)*100,"")</f>
        <v/>
      </c>
      <c r="F21" s="6" t="n">
        <v>63.33</v>
      </c>
      <c r="G21" s="6">
        <f>IF(COUNT(F21:F22)=2,(F21/F22-1)*100,"")</f>
        <v/>
      </c>
      <c r="H21" s="6" t="n">
        <v>371.9</v>
      </c>
      <c r="I21" s="6">
        <f>IF(COUNT(H21:H22)=2,(H21/H22-1)*100,"")</f>
        <v/>
      </c>
      <c r="J21" s="6" t="n">
        <v>78.8472</v>
      </c>
      <c r="K21" s="6">
        <f>IF(COUNT(J21:J22)=2,(J21/J22-1)*100,"")</f>
        <v/>
      </c>
      <c r="L21" s="6" t="n">
        <v>106.7169</v>
      </c>
      <c r="M21" s="6">
        <f>IF(COUNT(L21:L22)=2,(L21/L22-1)*100,"")</f>
        <v/>
      </c>
      <c r="N21" s="6" t="n">
        <v>56.31</v>
      </c>
      <c r="O21" s="6">
        <f>IF(COUNT(N21:N22)=2,(N21/N22-1)*100,"")</f>
        <v/>
      </c>
      <c r="P21" s="6" t="n">
        <v>56.04</v>
      </c>
      <c r="Q21" s="6">
        <f>IF(COUNT(P21:P22)=2,(P21/P22-1)*100,"")</f>
        <v/>
      </c>
      <c r="R21" s="6" t="n">
        <v>75.23</v>
      </c>
      <c r="S21" s="6">
        <f>IF(COUNT(R21:R22)=2,(R21/R22-1)*100,"")</f>
        <v/>
      </c>
      <c r="T21" s="6" t="n">
        <v>106.3</v>
      </c>
      <c r="U21" s="6">
        <f>IF(COUNT(T21:T22)=2,(T21/T22-1)*100,"")</f>
        <v/>
      </c>
      <c r="V21" s="6" t="n">
        <v>-0.6417</v>
      </c>
      <c r="W21" s="6">
        <f>IF(AND(V21&gt;$W$11,C21&lt;=$W$12),C20,"")</f>
        <v/>
      </c>
      <c r="X21" s="6">
        <f>IF(AND(K21&lt;$X$11,M21&gt;$X$12),C20,"")</f>
        <v/>
      </c>
      <c r="Y21" s="6">
        <f>IF(AND(G21&gt;$Y$11,I21&lt;$Y$12,K21&gt;$Y$12),C20,"")</f>
        <v/>
      </c>
      <c r="Z21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1" s="6">
        <f>IF(AND(S21&gt;$AA$11,U21&lt;$AA$12),E20,"")</f>
        <v/>
      </c>
      <c r="AB21" s="6">
        <f>IF(AND(O21&lt;=$AB$11,E21&lt;$AB$12),E20,"")</f>
        <v/>
      </c>
      <c r="AC21" s="6">
        <f>IF(AND(Q21&gt;$AC$11,S21&gt;$AC$12),E20,"")</f>
        <v/>
      </c>
      <c r="AD21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2">
      <c r="A22" s="6" t="inlineStr">
        <is>
          <t>2026/07/23</t>
        </is>
      </c>
      <c r="B22" s="6" t="n">
        <v>150.94</v>
      </c>
      <c r="C22" s="6">
        <f>IF(COUNT(B22:B23)=2,(B22/B23-1)*100,"")</f>
        <v/>
      </c>
      <c r="D22" s="6" t="n">
        <v>178.37</v>
      </c>
      <c r="E22" s="6">
        <f>IF(COUNT(D22:D23)=2,(D22/D23-1)*100,"")</f>
        <v/>
      </c>
      <c r="F22" s="6" t="n">
        <v>64.59999999999999</v>
      </c>
      <c r="G22" s="6">
        <f>IF(COUNT(F22:F23)=2,(F22/F23-1)*100,"")</f>
        <v/>
      </c>
      <c r="H22" s="6" t="n">
        <v>371.52</v>
      </c>
      <c r="I22" s="6">
        <f>IF(COUNT(H22:H23)=2,(H22/H23-1)*100,"")</f>
        <v/>
      </c>
      <c r="J22" s="6" t="n">
        <v>78.8472</v>
      </c>
      <c r="K22" s="6">
        <f>IF(COUNT(J22:J23)=2,(J22/J23-1)*100,"")</f>
        <v/>
      </c>
      <c r="L22" s="6" t="n">
        <v>106.707</v>
      </c>
      <c r="M22" s="6">
        <f>IF(COUNT(L22:L23)=2,(L22/L23-1)*100,"")</f>
        <v/>
      </c>
      <c r="N22" s="6" t="n">
        <v>55.83</v>
      </c>
      <c r="O22" s="6">
        <f>IF(COUNT(N22:N23)=2,(N22/N23-1)*100,"")</f>
        <v/>
      </c>
      <c r="P22" s="6" t="n">
        <v>56.01</v>
      </c>
      <c r="Q22" s="6">
        <f>IF(COUNT(P22:P23)=2,(P22/P23-1)*100,"")</f>
        <v/>
      </c>
      <c r="R22" s="6" t="n">
        <v>75.02</v>
      </c>
      <c r="S22" s="6">
        <f>IF(COUNT(R22:R23)=2,(R22/R23-1)*100,"")</f>
        <v/>
      </c>
      <c r="T22" s="6" t="n">
        <v>105.38</v>
      </c>
      <c r="U22" s="6">
        <f>IF(COUNT(T22:T23)=2,(T22/T23-1)*100,"")</f>
        <v/>
      </c>
      <c r="V22" s="6" t="n">
        <v>12.3798</v>
      </c>
      <c r="W22" s="6">
        <f>IF(AND(V22&gt;$W$11,C22&lt;=$W$12),C21,"")</f>
        <v/>
      </c>
      <c r="X22" s="6">
        <f>IF(AND(K22&lt;$X$11,M22&gt;$X$12),C21,"")</f>
        <v/>
      </c>
      <c r="Y22" s="6">
        <f>IF(AND(G22&gt;$Y$11,I22&lt;$Y$12,K22&gt;$Y$12),C21,"")</f>
        <v/>
      </c>
      <c r="Z22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2" s="6">
        <f>IF(AND(S22&gt;$AA$11,U22&lt;$AA$12),E21,"")</f>
        <v/>
      </c>
      <c r="AB22" s="6">
        <f>IF(AND(O22&lt;=$AB$11,E22&lt;$AB$12),E21,"")</f>
        <v/>
      </c>
      <c r="AC22" s="6">
        <f>IF(AND(Q22&gt;$AC$11,S22&gt;$AC$12),E21,"")</f>
        <v/>
      </c>
      <c r="AD22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3">
      <c r="A23" s="6" t="inlineStr">
        <is>
          <t>2026/07/22</t>
        </is>
      </c>
      <c r="B23" s="6" t="n">
        <v>156.87</v>
      </c>
      <c r="C23" s="6">
        <f>IF(COUNT(B23:B24)=2,(B23/B24-1)*100,"")</f>
        <v/>
      </c>
      <c r="D23" s="6" t="n">
        <v>182.85</v>
      </c>
      <c r="E23" s="6">
        <f>IF(COUNT(D23:D24)=2,(D23/D24-1)*100,"")</f>
        <v/>
      </c>
      <c r="F23" s="6" t="n">
        <v>64.98999999999999</v>
      </c>
      <c r="G23" s="6">
        <f>IF(COUNT(F23:F24)=2,(F23/F24-1)*100,"")</f>
        <v/>
      </c>
      <c r="H23" s="6" t="n">
        <v>379.12</v>
      </c>
      <c r="I23" s="6">
        <f>IF(COUNT(H23:H24)=2,(H23/H24-1)*100,"")</f>
        <v/>
      </c>
      <c r="J23" s="6" t="n">
        <v>79.1358</v>
      </c>
      <c r="K23" s="6">
        <f>IF(COUNT(J23:J24)=2,(J23/J24-1)*100,"")</f>
        <v/>
      </c>
      <c r="L23" s="6" t="n">
        <v>106.985</v>
      </c>
      <c r="M23" s="6">
        <f>IF(COUNT(L23:L24)=2,(L23/L24-1)*100,"")</f>
        <v/>
      </c>
      <c r="N23" s="6" t="n">
        <v>56.05</v>
      </c>
      <c r="O23" s="6">
        <f>IF(COUNT(N23:N24)=2,(N23/N24-1)*100,"")</f>
        <v/>
      </c>
      <c r="P23" s="6" t="n">
        <v>56.23</v>
      </c>
      <c r="Q23" s="6">
        <f>IF(COUNT(P23:P24)=2,(P23/P24-1)*100,"")</f>
        <v/>
      </c>
      <c r="R23" s="6" t="n">
        <v>76.68000000000001</v>
      </c>
      <c r="S23" s="6">
        <f>IF(COUNT(R23:R24)=2,(R23/R24-1)*100,"")</f>
        <v/>
      </c>
      <c r="T23" s="6" t="n">
        <v>109.2</v>
      </c>
      <c r="U23" s="6">
        <f>IF(COUNT(T23:T24)=2,(T23/T24-1)*100,"")</f>
        <v/>
      </c>
      <c r="V23" s="6" t="n">
        <v>-2.4047</v>
      </c>
      <c r="W23" s="6">
        <f>IF(AND(V23&gt;$W$11,C23&lt;=$W$12),C22,"")</f>
        <v/>
      </c>
      <c r="X23" s="6">
        <f>IF(AND(K23&lt;$X$11,M23&gt;$X$12),C22,"")</f>
        <v/>
      </c>
      <c r="Y23" s="6">
        <f>IF(AND(G23&gt;$Y$11,I23&lt;$Y$12,K23&gt;$Y$12),C22,"")</f>
        <v/>
      </c>
      <c r="Z23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3" s="6">
        <f>IF(AND(S23&gt;$AA$11,U23&lt;$AA$12),E22,"")</f>
        <v/>
      </c>
      <c r="AB23" s="6">
        <f>IF(AND(O23&lt;=$AB$11,E23&lt;$AB$12),E22,"")</f>
        <v/>
      </c>
      <c r="AC23" s="6">
        <f>IF(AND(Q23&gt;$AC$11,S23&gt;$AC$12),E22,"")</f>
        <v/>
      </c>
      <c r="AD23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4">
      <c r="A24" s="6" t="inlineStr">
        <is>
          <t>2026/07/21</t>
        </is>
      </c>
      <c r="B24" s="6" t="n">
        <v>158.58</v>
      </c>
      <c r="C24" s="6">
        <f>IF(COUNT(B24:B25)=2,(B24/B25-1)*100,"")</f>
        <v/>
      </c>
      <c r="D24" s="6" t="n">
        <v>183.34</v>
      </c>
      <c r="E24" s="6">
        <f>IF(COUNT(D24:D25)=2,(D24/D25-1)*100,"")</f>
        <v/>
      </c>
      <c r="F24" s="6" t="n">
        <v>65.34</v>
      </c>
      <c r="G24" s="6">
        <f>IF(COUNT(F24:F25)=2,(F24/F25-1)*100,"")</f>
        <v/>
      </c>
      <c r="H24" s="6" t="n">
        <v>374.81</v>
      </c>
      <c r="I24" s="6">
        <f>IF(COUNT(H24:H25)=2,(H24/H25-1)*100,"")</f>
        <v/>
      </c>
      <c r="J24" s="6" t="n">
        <v>79.26519999999999</v>
      </c>
      <c r="K24" s="6">
        <f>IF(COUNT(J24:J25)=2,(J24/J25-1)*100,"")</f>
        <v/>
      </c>
      <c r="L24" s="6" t="n">
        <v>107.0942</v>
      </c>
      <c r="M24" s="6">
        <f>IF(COUNT(L24:L25)=2,(L24/L25-1)*100,"")</f>
        <v/>
      </c>
      <c r="N24" s="6" t="n">
        <v>56.11</v>
      </c>
      <c r="O24" s="6">
        <f>IF(COUNT(N24:N25)=2,(N24/N25-1)*100,"")</f>
        <v/>
      </c>
      <c r="P24" s="6" t="n">
        <v>56.22</v>
      </c>
      <c r="Q24" s="6">
        <f>IF(COUNT(P24:P25)=2,(P24/P25-1)*100,"")</f>
        <v/>
      </c>
      <c r="R24" s="6" t="n">
        <v>74.19</v>
      </c>
      <c r="S24" s="6">
        <f>IF(COUNT(R24:R25)=2,(R24/R25-1)*100,"")</f>
        <v/>
      </c>
      <c r="T24" s="6" t="n">
        <v>110.03</v>
      </c>
      <c r="U24" s="6">
        <f>IF(COUNT(T24:T25)=2,(T24/T25-1)*100,"")</f>
        <v/>
      </c>
      <c r="V24" s="6" t="n">
        <v>-8.5791</v>
      </c>
      <c r="W24" s="6">
        <f>IF(AND(V24&gt;$W$11,C24&lt;=$W$12),C23,"")</f>
        <v/>
      </c>
      <c r="X24" s="6">
        <f>IF(AND(K24&lt;$X$11,M24&gt;$X$12),C23,"")</f>
        <v/>
      </c>
      <c r="Y24" s="6">
        <f>IF(AND(G24&gt;$Y$11,I24&lt;$Y$12,K24&gt;$Y$12),C23,"")</f>
        <v/>
      </c>
      <c r="Z24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4" s="6">
        <f>IF(AND(S24&gt;$AA$11,U24&lt;$AA$12),E23,"")</f>
        <v/>
      </c>
      <c r="AB24" s="6">
        <f>IF(AND(O24&lt;=$AB$11,E24&lt;$AB$12),E23,"")</f>
        <v/>
      </c>
      <c r="AC24" s="6">
        <f>IF(AND(Q24&gt;$AC$11,S24&gt;$AC$12),E23,"")</f>
        <v/>
      </c>
      <c r="AD24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5">
      <c r="A25" s="6" t="inlineStr">
        <is>
          <t>2026/07/20</t>
        </is>
      </c>
      <c r="B25" s="6" t="n">
        <v>152.76</v>
      </c>
      <c r="C25" s="6">
        <f>IF(COUNT(B25:B26)=2,(B25/B26-1)*100,"")</f>
        <v/>
      </c>
      <c r="D25" s="6" t="n">
        <v>180.23</v>
      </c>
      <c r="E25" s="6">
        <f>IF(COUNT(D25:D26)=2,(D25/D26-1)*100,"")</f>
        <v/>
      </c>
      <c r="F25" s="6" t="n">
        <v>63.56</v>
      </c>
      <c r="G25" s="6">
        <f>IF(COUNT(F25:F26)=2,(F25/F26-1)*100,"")</f>
        <v/>
      </c>
      <c r="H25" s="6" t="n">
        <v>367.6</v>
      </c>
      <c r="I25" s="6">
        <f>IF(COUNT(H25:H26)=2,(H25/H26-1)*100,"")</f>
        <v/>
      </c>
      <c r="J25" s="6" t="n">
        <v>79.295</v>
      </c>
      <c r="K25" s="6">
        <f>IF(COUNT(J25:J26)=2,(J25/J26-1)*100,"")</f>
        <v/>
      </c>
      <c r="L25" s="6" t="n">
        <v>107.2629</v>
      </c>
      <c r="M25" s="6">
        <f>IF(COUNT(L25:L26)=2,(L25/L26-1)*100,"")</f>
        <v/>
      </c>
      <c r="N25" s="6" t="n">
        <v>56.04</v>
      </c>
      <c r="O25" s="6">
        <f>IF(COUNT(N25:N26)=2,(N25/N26-1)*100,"")</f>
        <v/>
      </c>
      <c r="P25" s="6" t="n">
        <v>56.46</v>
      </c>
      <c r="Q25" s="6">
        <f>IF(COUNT(P25:P26)=2,(P25/P26-1)*100,"")</f>
        <v/>
      </c>
      <c r="R25" s="6" t="n">
        <v>70.73999999999999</v>
      </c>
      <c r="S25" s="6">
        <f>IF(COUNT(R25:R26)=2,(R25/R26-1)*100,"")</f>
        <v/>
      </c>
      <c r="T25" s="6" t="n">
        <v>110.8</v>
      </c>
      <c r="U25" s="6">
        <f>IF(COUNT(T25:T26)=2,(T25/T26-1)*100,"")</f>
        <v/>
      </c>
      <c r="V25" s="6" t="n">
        <v>-0.6393</v>
      </c>
      <c r="W25" s="6">
        <f>IF(AND(V25&gt;$W$11,C25&lt;=$W$12),C24,"")</f>
        <v/>
      </c>
      <c r="X25" s="6">
        <f>IF(AND(K25&lt;$X$11,M25&gt;$X$12),C24,"")</f>
        <v/>
      </c>
      <c r="Y25" s="6">
        <f>IF(AND(G25&gt;$Y$11,I25&lt;$Y$12,K25&gt;$Y$12),C24,"")</f>
        <v/>
      </c>
      <c r="Z25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5" s="6">
        <f>IF(AND(S25&gt;$AA$11,U25&lt;$AA$12),E24,"")</f>
        <v/>
      </c>
      <c r="AB25" s="6">
        <f>IF(AND(O25&lt;=$AB$11,E25&lt;$AB$12),E24,"")</f>
        <v/>
      </c>
      <c r="AC25" s="6">
        <f>IF(AND(Q25&gt;$AC$11,S25&gt;$AC$12),E24,"")</f>
        <v/>
      </c>
      <c r="AD25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6">
      <c r="A26" s="6" t="inlineStr">
        <is>
          <t>2026/07/17</t>
        </is>
      </c>
      <c r="B26" s="6" t="n">
        <v>152.68</v>
      </c>
      <c r="C26" s="6">
        <f>IF(COUNT(B26:B27)=2,(B26/B27-1)*100,"")</f>
        <v/>
      </c>
      <c r="D26" s="6" t="n">
        <v>180.98</v>
      </c>
      <c r="E26" s="6">
        <f>IF(COUNT(D26:D27)=2,(D26/D27-1)*100,"")</f>
        <v/>
      </c>
      <c r="F26" s="6" t="n">
        <v>63.29</v>
      </c>
      <c r="G26" s="6">
        <f>IF(COUNT(F26:F27)=2,(F26/F27-1)*100,"")</f>
        <v/>
      </c>
      <c r="H26" s="6" t="n">
        <v>368.41</v>
      </c>
      <c r="I26" s="6">
        <f>IF(COUNT(H26:H27)=2,(H26/H27-1)*100,"")</f>
        <v/>
      </c>
      <c r="J26" s="6" t="n">
        <v>79.26519999999999</v>
      </c>
      <c r="K26" s="6">
        <f>IF(COUNT(J26:J27)=2,(J26/J27-1)*100,"")</f>
        <v/>
      </c>
      <c r="L26" s="6" t="n">
        <v>107.4813</v>
      </c>
      <c r="M26" s="6">
        <f>IF(COUNT(L26:L27)=2,(L26/L27-1)*100,"")</f>
        <v/>
      </c>
      <c r="N26" s="6" t="n">
        <v>56.26</v>
      </c>
      <c r="O26" s="6">
        <f>IF(COUNT(N26:N27)=2,(N26/N27-1)*100,"")</f>
        <v/>
      </c>
      <c r="P26" s="6" t="n">
        <v>56.51</v>
      </c>
      <c r="Q26" s="6">
        <f>IF(COUNT(P26:P27)=2,(P26/P27-1)*100,"")</f>
        <v/>
      </c>
      <c r="R26" s="6" t="n">
        <v>71.31999999999999</v>
      </c>
      <c r="S26" s="6">
        <f>IF(COUNT(R26:R27)=2,(R26/R27-1)*100,"")</f>
        <v/>
      </c>
      <c r="T26" s="6" t="n">
        <v>110.65</v>
      </c>
      <c r="U26" s="6">
        <f>IF(COUNT(T26:T27)=2,(T26/T27-1)*100,"")</f>
        <v/>
      </c>
      <c r="V26" s="6" t="n">
        <v>12.1937</v>
      </c>
      <c r="W26" s="6">
        <f>IF(AND(V26&gt;$W$11,C26&lt;=$W$12),C25,"")</f>
        <v/>
      </c>
      <c r="X26" s="6">
        <f>IF(AND(K26&lt;$X$11,M26&gt;$X$12),C25,"")</f>
        <v/>
      </c>
      <c r="Y26" s="6">
        <f>IF(AND(G26&gt;$Y$11,I26&lt;$Y$12,K26&gt;$Y$12),C25,"")</f>
        <v/>
      </c>
      <c r="Z26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6" s="6">
        <f>IF(AND(S26&gt;$AA$11,U26&lt;$AA$12),E25,"")</f>
        <v/>
      </c>
      <c r="AB26" s="6">
        <f>IF(AND(O26&lt;=$AB$11,E26&lt;$AB$12),E25,"")</f>
        <v/>
      </c>
      <c r="AC26" s="6">
        <f>IF(AND(Q26&gt;$AC$11,S26&gt;$AC$12),E25,"")</f>
        <v/>
      </c>
      <c r="AD26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7">
      <c r="A27" s="6" t="inlineStr">
        <is>
          <t>2026/07/16</t>
        </is>
      </c>
      <c r="B27" s="6" t="n">
        <v>157.41</v>
      </c>
      <c r="C27" s="6">
        <f>IF(COUNT(B27:B28)=2,(B27/B28-1)*100,"")</f>
        <v/>
      </c>
      <c r="D27" s="6" t="n">
        <v>184.73</v>
      </c>
      <c r="E27" s="6">
        <f>IF(COUNT(D27:D28)=2,(D27/D28-1)*100,"")</f>
        <v/>
      </c>
      <c r="F27" s="6" t="n">
        <v>64.19</v>
      </c>
      <c r="G27" s="6">
        <f>IF(COUNT(F27:F28)=2,(F27/F28-1)*100,"")</f>
        <v/>
      </c>
      <c r="H27" s="6" t="n">
        <v>364.96</v>
      </c>
      <c r="I27" s="6">
        <f>IF(COUNT(H27:H28)=2,(H27/H28-1)*100,"")</f>
        <v/>
      </c>
      <c r="J27" s="6" t="n">
        <v>79.4145</v>
      </c>
      <c r="K27" s="6">
        <f>IF(COUNT(J27:J28)=2,(J27/J28-1)*100,"")</f>
        <v/>
      </c>
      <c r="L27" s="6" t="n">
        <v>107.1835</v>
      </c>
      <c r="M27" s="6">
        <f>IF(COUNT(L27:L28)=2,(L27/L28-1)*100,"")</f>
        <v/>
      </c>
      <c r="N27" s="6" t="n">
        <v>56.75</v>
      </c>
      <c r="O27" s="6">
        <f>IF(COUNT(N27:N28)=2,(N27/N28-1)*100,"")</f>
        <v/>
      </c>
      <c r="P27" s="6" t="n">
        <v>56.45</v>
      </c>
      <c r="Q27" s="6">
        <f>IF(COUNT(P27:P28)=2,(P27/P28-1)*100,"")</f>
        <v/>
      </c>
      <c r="R27" s="6" t="n">
        <v>71.40000000000001</v>
      </c>
      <c r="S27" s="6">
        <f>IF(COUNT(R27:R28)=2,(R27/R28-1)*100,"")</f>
        <v/>
      </c>
      <c r="T27" s="6" t="n">
        <v>112.65</v>
      </c>
      <c r="U27" s="6">
        <f>IF(COUNT(T27:T28)=2,(T27/T28-1)*100,"")</f>
        <v/>
      </c>
      <c r="V27" s="6" t="n">
        <v>6.7645</v>
      </c>
      <c r="W27" s="6">
        <f>IF(AND(V27&gt;$W$11,C27&lt;=$W$12),C26,"")</f>
        <v/>
      </c>
      <c r="X27" s="6">
        <f>IF(AND(K27&lt;$X$11,M27&gt;$X$12),C26,"")</f>
        <v/>
      </c>
      <c r="Y27" s="6">
        <f>IF(AND(G27&gt;$Y$11,I27&lt;$Y$12,K27&gt;$Y$12),C26,"")</f>
        <v/>
      </c>
      <c r="Z27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7" s="6">
        <f>IF(AND(S27&gt;$AA$11,U27&lt;$AA$12),E26,"")</f>
        <v/>
      </c>
      <c r="AB27" s="6">
        <f>IF(AND(O27&lt;=$AB$11,E27&lt;$AB$12),E26,"")</f>
        <v/>
      </c>
      <c r="AC27" s="6">
        <f>IF(AND(Q27&gt;$AC$11,S27&gt;$AC$12),E26,"")</f>
        <v/>
      </c>
      <c r="AD27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8">
      <c r="A28" s="6" t="inlineStr">
        <is>
          <t>2026/07/15</t>
        </is>
      </c>
      <c r="B28" s="6" t="n">
        <v>162.7</v>
      </c>
      <c r="C28" s="6">
        <f>IF(COUNT(B28:B29)=2,(B28/B29-1)*100,"")</f>
        <v/>
      </c>
      <c r="D28" s="6" t="n">
        <v>186.67</v>
      </c>
      <c r="E28" s="6">
        <f>IF(COUNT(D28:D29)=2,(D28/D29-1)*100,"")</f>
        <v/>
      </c>
      <c r="F28" s="6" t="n">
        <v>65.56999999999999</v>
      </c>
      <c r="G28" s="6">
        <f>IF(COUNT(F28:F29)=2,(F28/F29-1)*100,"")</f>
        <v/>
      </c>
      <c r="H28" s="6" t="n">
        <v>372.35</v>
      </c>
      <c r="I28" s="6">
        <f>IF(COUNT(H28:H29)=2,(H28/H29-1)*100,"")</f>
        <v/>
      </c>
      <c r="J28" s="6" t="n">
        <v>79.42440000000001</v>
      </c>
      <c r="K28" s="6">
        <f>IF(COUNT(J28:J29)=2,(J28/J29-1)*100,"")</f>
        <v/>
      </c>
      <c r="L28" s="6" t="n">
        <v>107.2828</v>
      </c>
      <c r="M28" s="6">
        <f>IF(COUNT(L28:L29)=2,(L28/L29-1)*100,"")</f>
        <v/>
      </c>
      <c r="N28" s="6" t="n">
        <v>56.56</v>
      </c>
      <c r="O28" s="6">
        <f>IF(COUNT(N28:N29)=2,(N28/N29-1)*100,"")</f>
        <v/>
      </c>
      <c r="P28" s="6" t="n">
        <v>56.53</v>
      </c>
      <c r="Q28" s="6">
        <f>IF(COUNT(P28:P29)=2,(P28/P29-1)*100,"")</f>
        <v/>
      </c>
      <c r="R28" s="6" t="n">
        <v>74</v>
      </c>
      <c r="S28" s="6">
        <f>IF(COUNT(R28:R29)=2,(R28/R29-1)*100,"")</f>
        <v/>
      </c>
      <c r="T28" s="6" t="n">
        <v>113.38</v>
      </c>
      <c r="U28" s="6">
        <f>IF(COUNT(T28:T29)=2,(T28/T29-1)*100,"")</f>
        <v/>
      </c>
      <c r="V28" s="6" t="n">
        <v>-5.0303</v>
      </c>
      <c r="W28" s="6">
        <f>IF(AND(V28&gt;$W$11,C28&lt;=$W$12),C27,"")</f>
        <v/>
      </c>
      <c r="X28" s="6">
        <f>IF(AND(K28&lt;$X$11,M28&gt;$X$12),C27,"")</f>
        <v/>
      </c>
      <c r="Y28" s="6">
        <f>IF(AND(G28&gt;$Y$11,I28&lt;$Y$12,K28&gt;$Y$12),C27,"")</f>
        <v/>
      </c>
      <c r="Z28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8" s="6">
        <f>IF(AND(S28&gt;$AA$11,U28&lt;$AA$12),E27,"")</f>
        <v/>
      </c>
      <c r="AB28" s="6">
        <f>IF(AND(O28&lt;=$AB$11,E28&lt;$AB$12),E27,"")</f>
        <v/>
      </c>
      <c r="AC28" s="6">
        <f>IF(AND(Q28&gt;$AC$11,S28&gt;$AC$12),E27,"")</f>
        <v/>
      </c>
      <c r="AD28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29">
      <c r="A29" s="6" t="inlineStr">
        <is>
          <t>2026/07/14</t>
        </is>
      </c>
      <c r="B29" s="6" t="n">
        <v>163.66</v>
      </c>
      <c r="C29" s="6">
        <f>IF(COUNT(B29:B30)=2,(B29/B30-1)*100,"")</f>
        <v/>
      </c>
      <c r="D29" s="6" t="n">
        <v>185.27</v>
      </c>
      <c r="E29" s="6">
        <f>IF(COUNT(D29:D30)=2,(D29/D30-1)*100,"")</f>
        <v/>
      </c>
      <c r="F29" s="6" t="n">
        <v>65.67</v>
      </c>
      <c r="G29" s="6">
        <f>IF(COUNT(F29:F30)=2,(F29/F30-1)*100,"")</f>
        <v/>
      </c>
      <c r="H29" s="6" t="n">
        <v>372.15</v>
      </c>
      <c r="I29" s="6">
        <f>IF(COUNT(H29:H30)=2,(H29/H30-1)*100,"")</f>
        <v/>
      </c>
      <c r="J29" s="6" t="n">
        <v>79.295</v>
      </c>
      <c r="K29" s="6">
        <f>IF(COUNT(J29:J30)=2,(J29/J30-1)*100,"")</f>
        <v/>
      </c>
      <c r="L29" s="6" t="n">
        <v>107.2232</v>
      </c>
      <c r="M29" s="6">
        <f>IF(COUNT(L29:L30)=2,(L29/L30-1)*100,"")</f>
        <v/>
      </c>
      <c r="N29" s="6" t="n">
        <v>56.18</v>
      </c>
      <c r="O29" s="6">
        <f>IF(COUNT(N29:N30)=2,(N29/N30-1)*100,"")</f>
        <v/>
      </c>
      <c r="P29" s="6" t="n">
        <v>56.57</v>
      </c>
      <c r="Q29" s="6">
        <f>IF(COUNT(P29:P30)=2,(P29/P30-1)*100,"")</f>
        <v/>
      </c>
      <c r="R29" s="6" t="n">
        <v>74.88</v>
      </c>
      <c r="S29" s="6">
        <f>IF(COUNT(R29:R30)=2,(R29/R30-1)*100,"")</f>
        <v/>
      </c>
      <c r="T29" s="6" t="n">
        <v>111.45</v>
      </c>
      <c r="U29" s="6">
        <f>IF(COUNT(T29:T30)=2,(T29/T30-1)*100,"")</f>
        <v/>
      </c>
      <c r="V29" s="6" t="n">
        <v>-3.8462</v>
      </c>
      <c r="W29" s="6">
        <f>IF(AND(V29&gt;$W$11,C29&lt;=$W$12),C28,"")</f>
        <v/>
      </c>
      <c r="X29" s="6">
        <f>IF(AND(K29&lt;$X$11,M29&gt;$X$12),C28,"")</f>
        <v/>
      </c>
      <c r="Y29" s="6">
        <f>IF(AND(G29&gt;$Y$11,I29&lt;$Y$12,K29&gt;$Y$12),C28,"")</f>
        <v/>
      </c>
      <c r="Z29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29" s="6">
        <f>IF(AND(S29&gt;$AA$11,U29&lt;$AA$12),E28,"")</f>
        <v/>
      </c>
      <c r="AB29" s="6">
        <f>IF(AND(O29&lt;=$AB$11,E29&lt;$AB$12),E28,"")</f>
        <v/>
      </c>
      <c r="AC29" s="6">
        <f>IF(AND(Q29&gt;$AC$11,S29&gt;$AC$12),E28,"")</f>
        <v/>
      </c>
      <c r="AD29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0">
      <c r="A30" s="6" t="inlineStr">
        <is>
          <t>2026/07/13</t>
        </is>
      </c>
      <c r="B30" s="6" t="n">
        <v>160.15</v>
      </c>
      <c r="C30" s="6">
        <f>IF(COUNT(B30:B31)=2,(B30/B31-1)*100,"")</f>
        <v/>
      </c>
      <c r="D30" s="6" t="n">
        <v>183.93</v>
      </c>
      <c r="E30" s="6">
        <f>IF(COUNT(D30:D31)=2,(D30/D31-1)*100,"")</f>
        <v/>
      </c>
      <c r="F30" s="6" t="n">
        <v>64.5</v>
      </c>
      <c r="G30" s="6">
        <f>IF(COUNT(F30:F31)=2,(F30/F31-1)*100,"")</f>
        <v/>
      </c>
      <c r="H30" s="6" t="n">
        <v>367.13</v>
      </c>
      <c r="I30" s="6">
        <f>IF(COUNT(H30:H31)=2,(H30/H31-1)*100,"")</f>
        <v/>
      </c>
      <c r="J30" s="6" t="n">
        <v>79.1358</v>
      </c>
      <c r="K30" s="6">
        <f>IF(COUNT(J30:J31)=2,(J30/J31-1)*100,"")</f>
        <v/>
      </c>
      <c r="L30" s="6" t="n">
        <v>107.124</v>
      </c>
      <c r="M30" s="6">
        <f>IF(COUNT(L30:L31)=2,(L30/L31-1)*100,"")</f>
        <v/>
      </c>
      <c r="N30" s="6" t="n">
        <v>56.07</v>
      </c>
      <c r="O30" s="6">
        <f>IF(COUNT(N30:N31)=2,(N30/N31-1)*100,"")</f>
        <v/>
      </c>
      <c r="P30" s="6" t="n">
        <v>56.46</v>
      </c>
      <c r="Q30" s="6">
        <f>IF(COUNT(P30:P31)=2,(P30/P31-1)*100,"")</f>
        <v/>
      </c>
      <c r="R30" s="6" t="n">
        <v>73.37</v>
      </c>
      <c r="S30" s="6">
        <f>IF(COUNT(R30:R31)=2,(R30/R31-1)*100,"")</f>
        <v/>
      </c>
      <c r="T30" s="6" t="n">
        <v>111.59</v>
      </c>
      <c r="U30" s="6">
        <f>IF(COUNT(T30:T31)=2,(T30/T31-1)*100,"")</f>
        <v/>
      </c>
      <c r="V30" s="6" t="n">
        <v>14.1717</v>
      </c>
      <c r="W30" s="6">
        <f>IF(AND(V30&gt;$W$11,C30&lt;=$W$12),C29,"")</f>
        <v/>
      </c>
      <c r="X30" s="6">
        <f>IF(AND(K30&lt;$X$11,M30&gt;$X$12),C29,"")</f>
        <v/>
      </c>
      <c r="Y30" s="6">
        <f>IF(AND(G30&gt;$Y$11,I30&lt;$Y$12,K30&gt;$Y$12),C29,"")</f>
        <v/>
      </c>
      <c r="Z30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0" s="6">
        <f>IF(AND(S30&gt;$AA$11,U30&lt;$AA$12),E29,"")</f>
        <v/>
      </c>
      <c r="AB30" s="6">
        <f>IF(AND(O30&lt;=$AB$11,E30&lt;$AB$12),E29,"")</f>
        <v/>
      </c>
      <c r="AC30" s="6">
        <f>IF(AND(Q30&gt;$AC$11,S30&gt;$AC$12),E29,"")</f>
        <v/>
      </c>
      <c r="AD30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1">
      <c r="A31" s="6" t="inlineStr">
        <is>
          <t>2026/07/10</t>
        </is>
      </c>
      <c r="B31" s="6" t="n">
        <v>166.49</v>
      </c>
      <c r="C31" s="6">
        <f>IF(COUNT(B31:B32)=2,(B31/B32-1)*100,"")</f>
        <v/>
      </c>
      <c r="D31" s="6" t="n">
        <v>186.95</v>
      </c>
      <c r="E31" s="6">
        <f>IF(COUNT(D31:D32)=2,(D31/D32-1)*100,"")</f>
        <v/>
      </c>
      <c r="F31" s="6" t="n">
        <v>66.90000000000001</v>
      </c>
      <c r="G31" s="6">
        <f>IF(COUNT(F31:F32)=2,(F31/F32-1)*100,"")</f>
        <v/>
      </c>
      <c r="H31" s="6" t="n">
        <v>377.01</v>
      </c>
      <c r="I31" s="6">
        <f>IF(COUNT(H31:H32)=2,(H31/H32-1)*100,"")</f>
        <v/>
      </c>
      <c r="J31" s="6" t="n">
        <v>79.3249</v>
      </c>
      <c r="K31" s="6">
        <f>IF(COUNT(J31:J32)=2,(J31/J32-1)*100,"")</f>
        <v/>
      </c>
      <c r="L31" s="6" t="n">
        <v>107.3424</v>
      </c>
      <c r="M31" s="6">
        <f>IF(COUNT(L31:L32)=2,(L31/L32-1)*100,"")</f>
        <v/>
      </c>
      <c r="N31" s="6" t="n">
        <v>55.71</v>
      </c>
      <c r="O31" s="6">
        <f>IF(COUNT(N31:N32)=2,(N31/N32-1)*100,"")</f>
        <v/>
      </c>
      <c r="P31" s="6" t="n">
        <v>56.74</v>
      </c>
      <c r="Q31" s="6">
        <f>IF(COUNT(P31:P32)=2,(P31/P32-1)*100,"")</f>
        <v/>
      </c>
      <c r="R31" s="6" t="n">
        <v>75.53</v>
      </c>
      <c r="S31" s="6">
        <f>IF(COUNT(R31:R32)=2,(R31/R32-1)*100,"")</f>
        <v/>
      </c>
      <c r="T31" s="6" t="n">
        <v>111.64</v>
      </c>
      <c r="U31" s="6">
        <f>IF(COUNT(T31:T32)=2,(T31/T32-1)*100,"")</f>
        <v/>
      </c>
      <c r="V31" s="6" t="n">
        <v>-5.1136</v>
      </c>
      <c r="W31" s="6">
        <f>IF(AND(V31&gt;$W$11,C31&lt;=$W$12),C30,"")</f>
        <v/>
      </c>
      <c r="X31" s="6">
        <f>IF(AND(K31&lt;$X$11,M31&gt;$X$12),C30,"")</f>
        <v/>
      </c>
      <c r="Y31" s="6">
        <f>IF(AND(G31&gt;$Y$11,I31&lt;$Y$12,K31&gt;$Y$12),C30,"")</f>
        <v/>
      </c>
      <c r="Z31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1" s="6">
        <f>IF(AND(S31&gt;$AA$11,U31&lt;$AA$12),E30,"")</f>
        <v/>
      </c>
      <c r="AB31" s="6">
        <f>IF(AND(O31&lt;=$AB$11,E31&lt;$AB$12),E30,"")</f>
        <v/>
      </c>
      <c r="AC31" s="6">
        <f>IF(AND(Q31&gt;$AC$11,S31&gt;$AC$12),E30,"")</f>
        <v/>
      </c>
      <c r="AD31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2">
      <c r="A32" s="6" t="inlineStr">
        <is>
          <t>2026/07/09</t>
        </is>
      </c>
      <c r="B32" s="6" t="n">
        <v>165.43</v>
      </c>
      <c r="C32" s="6">
        <f>IF(COUNT(B32:B33)=2,(B32/B33-1)*100,"")</f>
        <v/>
      </c>
      <c r="D32" s="6" t="n">
        <v>185.38</v>
      </c>
      <c r="E32" s="6">
        <f>IF(COUNT(D32:D33)=2,(D32/D33-1)*100,"")</f>
        <v/>
      </c>
      <c r="F32" s="6" t="n">
        <v>66.78</v>
      </c>
      <c r="G32" s="6">
        <f>IF(COUNT(F32:F33)=2,(F32/F33-1)*100,"")</f>
        <v/>
      </c>
      <c r="H32" s="6" t="n">
        <v>378.18</v>
      </c>
      <c r="I32" s="6">
        <f>IF(COUNT(H32:H33)=2,(H32/H33-1)*100,"")</f>
        <v/>
      </c>
      <c r="J32" s="6" t="n">
        <v>79.3647</v>
      </c>
      <c r="K32" s="6">
        <f>IF(COUNT(J32:J33)=2,(J32/J33-1)*100,"")</f>
        <v/>
      </c>
      <c r="L32" s="6" t="n">
        <v>107.3324</v>
      </c>
      <c r="M32" s="6">
        <f>IF(COUNT(L32:L33)=2,(L32/L33-1)*100,"")</f>
        <v/>
      </c>
      <c r="N32" s="6" t="n">
        <v>55.54</v>
      </c>
      <c r="O32" s="6">
        <f>IF(COUNT(N32:N33)=2,(N32/N33-1)*100,"")</f>
        <v/>
      </c>
      <c r="P32" s="6" t="n">
        <v>56.48</v>
      </c>
      <c r="Q32" s="6">
        <f>IF(COUNT(P32:P33)=2,(P32/P33-1)*100,"")</f>
        <v/>
      </c>
      <c r="R32" s="6" t="n">
        <v>75.78</v>
      </c>
      <c r="S32" s="6">
        <f>IF(COUNT(R32:R33)=2,(R32/R33-1)*100,"")</f>
        <v/>
      </c>
      <c r="T32" s="6" t="n">
        <v>110.51</v>
      </c>
      <c r="U32" s="6">
        <f>IF(COUNT(T32:T33)=2,(T32/T33-1)*100,"")</f>
        <v/>
      </c>
      <c r="V32" s="6" t="n">
        <v>-6.2722</v>
      </c>
      <c r="W32" s="6">
        <f>IF(AND(V32&gt;$W$11,C32&lt;=$W$12),C31,"")</f>
        <v/>
      </c>
      <c r="X32" s="6">
        <f>IF(AND(K32&lt;$X$11,M32&gt;$X$12),C31,"")</f>
        <v/>
      </c>
      <c r="Y32" s="6">
        <f>IF(AND(G32&gt;$Y$11,I32&lt;$Y$12,K32&gt;$Y$12),C31,"")</f>
        <v/>
      </c>
      <c r="Z32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2" s="6">
        <f>IF(AND(S32&gt;$AA$11,U32&lt;$AA$12),E31,"")</f>
        <v/>
      </c>
      <c r="AB32" s="6">
        <f>IF(AND(O32&lt;=$AB$11,E32&lt;$AB$12),E31,"")</f>
        <v/>
      </c>
      <c r="AC32" s="6">
        <f>IF(AND(Q32&gt;$AC$11,S32&gt;$AC$12),E31,"")</f>
        <v/>
      </c>
      <c r="AD32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3">
      <c r="A33" s="6" t="inlineStr">
        <is>
          <t>2026/07/08</t>
        </is>
      </c>
      <c r="B33" s="6" t="n">
        <v>160.25</v>
      </c>
      <c r="C33" s="6">
        <f>IF(COUNT(B33:B34)=2,(B33/B34-1)*100,"")</f>
        <v/>
      </c>
      <c r="D33" s="6" t="n">
        <v>182.42</v>
      </c>
      <c r="E33" s="6">
        <f>IF(COUNT(D33:D34)=2,(D33/D34-1)*100,"")</f>
        <v/>
      </c>
      <c r="F33" s="6" t="n">
        <v>66.23</v>
      </c>
      <c r="G33" s="6">
        <f>IF(COUNT(F33:F34)=2,(F33/F34-1)*100,"")</f>
        <v/>
      </c>
      <c r="H33" s="6" t="n">
        <v>374.45</v>
      </c>
      <c r="I33" s="6">
        <f>IF(COUNT(H33:H34)=2,(H33/H34-1)*100,"")</f>
        <v/>
      </c>
      <c r="J33" s="6" t="n">
        <v>79.27509999999999</v>
      </c>
      <c r="K33" s="6">
        <f>IF(COUNT(J33:J34)=2,(J33/J34-1)*100,"")</f>
        <v/>
      </c>
      <c r="L33" s="6" t="n">
        <v>107.2629</v>
      </c>
      <c r="M33" s="6">
        <f>IF(COUNT(L33:L34)=2,(L33/L34-1)*100,"")</f>
        <v/>
      </c>
      <c r="N33" s="6" t="n">
        <v>54.97</v>
      </c>
      <c r="O33" s="6">
        <f>IF(COUNT(N33:N34)=2,(N33/N34-1)*100,"")</f>
        <v/>
      </c>
      <c r="P33" s="6" t="n">
        <v>56.46</v>
      </c>
      <c r="Q33" s="6">
        <f>IF(COUNT(P33:P34)=2,(P33/P34-1)*100,"")</f>
        <v/>
      </c>
      <c r="R33" s="6" t="n">
        <v>73.53</v>
      </c>
      <c r="S33" s="6">
        <f>IF(COUNT(R33:R34)=2,(R33/R34-1)*100,"")</f>
        <v/>
      </c>
      <c r="T33" s="6" t="n">
        <v>109.46</v>
      </c>
      <c r="U33" s="6">
        <f>IF(COUNT(T33:T34)=2,(T33/T34-1)*100,"")</f>
        <v/>
      </c>
      <c r="V33" s="6" t="n">
        <v>4.7737</v>
      </c>
      <c r="W33" s="6">
        <f>IF(AND(V33&gt;$W$11,C33&lt;=$W$12),C32,"")</f>
        <v/>
      </c>
      <c r="X33" s="6">
        <f>IF(AND(K33&lt;$X$11,M33&gt;$X$12),C32,"")</f>
        <v/>
      </c>
      <c r="Y33" s="6">
        <f>IF(AND(G33&gt;$Y$11,I33&lt;$Y$12,K33&gt;$Y$12),C32,"")</f>
        <v/>
      </c>
      <c r="Z33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3" s="6">
        <f>IF(AND(S33&gt;$AA$11,U33&lt;$AA$12),E32,"")</f>
        <v/>
      </c>
      <c r="AB33" s="6">
        <f>IF(AND(O33&lt;=$AB$11,E33&lt;$AB$12),E32,"")</f>
        <v/>
      </c>
      <c r="AC33" s="6">
        <f>IF(AND(Q33&gt;$AC$11,S33&gt;$AC$12),E32,"")</f>
        <v/>
      </c>
      <c r="AD33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4">
      <c r="A34" s="6" t="inlineStr">
        <is>
          <t>2026/07/07</t>
        </is>
      </c>
      <c r="B34" s="6" t="n">
        <v>159.4</v>
      </c>
      <c r="C34" s="6">
        <f>IF(COUNT(B34:B35)=2,(B34/B35-1)*100,"")</f>
        <v/>
      </c>
      <c r="D34" s="6" t="n">
        <v>183.5</v>
      </c>
      <c r="E34" s="6">
        <f>IF(COUNT(D34:D35)=2,(D34/D35-1)*100,"")</f>
        <v/>
      </c>
      <c r="F34" s="6" t="n">
        <v>65.72</v>
      </c>
      <c r="G34" s="6">
        <f>IF(COUNT(F34:F35)=2,(F34/F35-1)*100,"")</f>
        <v/>
      </c>
      <c r="H34" s="6" t="n">
        <v>377.49</v>
      </c>
      <c r="I34" s="6">
        <f>IF(COUNT(H34:H35)=2,(H34/H35-1)*100,"")</f>
        <v/>
      </c>
      <c r="J34" s="6" t="n">
        <v>79.3746</v>
      </c>
      <c r="K34" s="6">
        <f>IF(COUNT(J34:J35)=2,(J34/J35-1)*100,"")</f>
        <v/>
      </c>
      <c r="L34" s="6" t="n">
        <v>107.3821</v>
      </c>
      <c r="M34" s="6">
        <f>IF(COUNT(L34:L35)=2,(L34/L35-1)*100,"")</f>
        <v/>
      </c>
      <c r="N34" s="6" t="n">
        <v>56.05</v>
      </c>
      <c r="O34" s="6">
        <f>IF(COUNT(N34:N35)=2,(N34/N35-1)*100,"")</f>
        <v/>
      </c>
      <c r="P34" s="6" t="n">
        <v>56.63</v>
      </c>
      <c r="Q34" s="6">
        <f>IF(COUNT(P34:P35)=2,(P34/P35-1)*100,"")</f>
        <v/>
      </c>
      <c r="R34" s="6" t="n">
        <v>75.76000000000001</v>
      </c>
      <c r="S34" s="6">
        <f>IF(COUNT(R34:R35)=2,(R34/R35-1)*100,"")</f>
        <v/>
      </c>
      <c r="T34" s="6" t="n">
        <v>111.02</v>
      </c>
      <c r="U34" s="6">
        <f>IF(COUNT(T34:T35)=2,(T34/T35-1)*100,"")</f>
        <v/>
      </c>
      <c r="V34" s="6" t="n">
        <v>3.5967</v>
      </c>
      <c r="W34" s="6">
        <f>IF(AND(V34&gt;$W$11,C34&lt;=$W$12),C33,"")</f>
        <v/>
      </c>
      <c r="X34" s="6">
        <f>IF(AND(K34&lt;$X$11,M34&gt;$X$12),C33,"")</f>
        <v/>
      </c>
      <c r="Y34" s="6">
        <f>IF(AND(G34&gt;$Y$11,I34&lt;$Y$12,K34&gt;$Y$12),C33,"")</f>
        <v/>
      </c>
      <c r="Z34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4" s="6">
        <f>IF(AND(S34&gt;$AA$11,U34&lt;$AA$12),E33,"")</f>
        <v/>
      </c>
      <c r="AB34" s="6">
        <f>IF(AND(O34&lt;=$AB$11,E34&lt;$AB$12),E33,"")</f>
        <v/>
      </c>
      <c r="AC34" s="6">
        <f>IF(AND(Q34&gt;$AC$11,S34&gt;$AC$12),E33,"")</f>
        <v/>
      </c>
      <c r="AD34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5">
      <c r="A35" s="6" t="inlineStr">
        <is>
          <t>2026/07/06</t>
        </is>
      </c>
      <c r="B35" s="6" t="n">
        <v>165.32</v>
      </c>
      <c r="C35" s="6">
        <f>IF(COUNT(B35:B36)=2,(B35/B36-1)*100,"")</f>
        <v/>
      </c>
      <c r="D35" s="6" t="n">
        <v>185.21</v>
      </c>
      <c r="E35" s="6">
        <f>IF(COUNT(D35:D36)=2,(D35/D36-1)*100,"")</f>
        <v/>
      </c>
      <c r="F35" s="6" t="n">
        <v>67.56999999999999</v>
      </c>
      <c r="G35" s="6">
        <f>IF(COUNT(F35:F36)=2,(F35/F36-1)*100,"")</f>
        <v/>
      </c>
      <c r="H35" s="6" t="n">
        <v>382.13</v>
      </c>
      <c r="I35" s="6">
        <f>IF(COUNT(H35:H36)=2,(H35/H36-1)*100,"")</f>
        <v/>
      </c>
      <c r="J35" s="6" t="n">
        <v>79.4841</v>
      </c>
      <c r="K35" s="6">
        <f>IF(COUNT(J35:J36)=2,(J35/J36-1)*100,"")</f>
        <v/>
      </c>
      <c r="L35" s="6" t="n">
        <v>107.6997</v>
      </c>
      <c r="M35" s="6">
        <f>IF(COUNT(L35:L36)=2,(L35/L36-1)*100,"")</f>
        <v/>
      </c>
      <c r="N35" s="6" t="n">
        <v>56.14</v>
      </c>
      <c r="O35" s="6">
        <f>IF(COUNT(N35:N36)=2,(N35/N36-1)*100,"")</f>
        <v/>
      </c>
      <c r="P35" s="6" t="n">
        <v>56.59</v>
      </c>
      <c r="Q35" s="6">
        <f>IF(COUNT(P35:P36)=2,(P35/P36-1)*100,"")</f>
        <v/>
      </c>
      <c r="R35" s="6" t="n">
        <v>78.73999999999999</v>
      </c>
      <c r="S35" s="6">
        <f>IF(COUNT(R35:R36)=2,(R35/R36-1)*100,"")</f>
        <v/>
      </c>
      <c r="T35" s="6" t="n">
        <v>110.21</v>
      </c>
      <c r="U35" s="6">
        <f>IF(COUNT(T35:T36)=2,(T35/T36-1)*100,"")</f>
        <v/>
      </c>
      <c r="V35" s="6" t="n">
        <v>-3.5913</v>
      </c>
      <c r="W35" s="6">
        <f>IF(AND(V35&gt;$W$11,C35&lt;=$W$12),C34,"")</f>
        <v/>
      </c>
      <c r="X35" s="6">
        <f>IF(AND(K35&lt;$X$11,M35&gt;$X$12),C34,"")</f>
        <v/>
      </c>
      <c r="Y35" s="6">
        <f>IF(AND(G35&gt;$Y$11,I35&lt;$Y$12,K35&gt;$Y$12),C34,"")</f>
        <v/>
      </c>
      <c r="Z35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5" s="6">
        <f>IF(AND(S35&gt;$AA$11,U35&lt;$AA$12),E34,"")</f>
        <v/>
      </c>
      <c r="AB35" s="6">
        <f>IF(AND(O35&lt;=$AB$11,E35&lt;$AB$12),E34,"")</f>
        <v/>
      </c>
      <c r="AC35" s="6">
        <f>IF(AND(Q35&gt;$AC$11,S35&gt;$AC$12),E34,"")</f>
        <v/>
      </c>
      <c r="AD35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6">
      <c r="A36" s="6" t="inlineStr">
        <is>
          <t>2026/07/02</t>
        </is>
      </c>
      <c r="B36" s="6" t="n">
        <v>161.26</v>
      </c>
      <c r="C36" s="6">
        <f>IF(COUNT(B36:B37)=2,(B36/B37-1)*100,"")</f>
        <v/>
      </c>
      <c r="D36" s="6" t="n">
        <v>182.53</v>
      </c>
      <c r="E36" s="6">
        <f>IF(COUNT(D36:D37)=2,(D36/D37-1)*100,"")</f>
        <v/>
      </c>
      <c r="F36" s="6" t="n">
        <v>65.7</v>
      </c>
      <c r="G36" s="6">
        <f>IF(COUNT(F36:F37)=2,(F36/F37-1)*100,"")</f>
        <v/>
      </c>
      <c r="H36" s="6" t="n">
        <v>378.13</v>
      </c>
      <c r="I36" s="6">
        <f>IF(COUNT(H36:H37)=2,(H36/H37-1)*100,"")</f>
        <v/>
      </c>
      <c r="J36" s="6" t="n">
        <v>79.3249</v>
      </c>
      <c r="K36" s="6">
        <f>IF(COUNT(J36:J37)=2,(J36/J37-1)*100,"")</f>
        <v/>
      </c>
      <c r="L36" s="6" t="n">
        <v>107.5409</v>
      </c>
      <c r="M36" s="6">
        <f>IF(COUNT(L36:L37)=2,(L36/L37-1)*100,"")</f>
        <v/>
      </c>
      <c r="N36" s="6" t="n">
        <v>55.62</v>
      </c>
      <c r="O36" s="6">
        <f>IF(COUNT(N36:N37)=2,(N36/N37-1)*100,"")</f>
        <v/>
      </c>
      <c r="P36" s="6" t="n">
        <v>56.95</v>
      </c>
      <c r="Q36" s="6">
        <f>IF(COUNT(P36:P37)=2,(P36/P37-1)*100,"")</f>
        <v/>
      </c>
      <c r="R36" s="6" t="n">
        <v>78.43000000000001</v>
      </c>
      <c r="S36" s="6">
        <f>IF(COUNT(R36:R37)=2,(R36/R37-1)*100,"")</f>
        <v/>
      </c>
      <c r="T36" s="6" t="n">
        <v>109.6</v>
      </c>
      <c r="U36" s="6">
        <f>IF(COUNT(T36:T37)=2,(T36/T37-1)*100,"")</f>
        <v/>
      </c>
      <c r="V36" s="6" t="n">
        <v>-2.6522</v>
      </c>
      <c r="W36" s="6">
        <f>IF(AND(V36&gt;$W$11,C36&lt;=$W$12),C35,"")</f>
        <v/>
      </c>
      <c r="X36" s="6">
        <f>IF(AND(K36&lt;$X$11,M36&gt;$X$12),C35,"")</f>
        <v/>
      </c>
      <c r="Y36" s="6">
        <f>IF(AND(G36&gt;$Y$11,I36&lt;$Y$12,K36&gt;$Y$12),C35,"")</f>
        <v/>
      </c>
      <c r="Z36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6" s="6">
        <f>IF(AND(S36&gt;$AA$11,U36&lt;$AA$12),E35,"")</f>
        <v/>
      </c>
      <c r="AB36" s="6">
        <f>IF(AND(O36&lt;=$AB$11,E36&lt;$AB$12),E35,"")</f>
        <v/>
      </c>
      <c r="AC36" s="6">
        <f>IF(AND(Q36&gt;$AC$11,S36&gt;$AC$12),E35,"")</f>
        <v/>
      </c>
      <c r="AD36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7">
      <c r="A37" s="6" t="inlineStr">
        <is>
          <t>2026/07/01</t>
        </is>
      </c>
      <c r="B37" s="6" t="n">
        <v>166.74</v>
      </c>
      <c r="C37" s="6">
        <f>IF(COUNT(B37:B38)=2,(B37/B38-1)*100,"")</f>
        <v/>
      </c>
      <c r="D37" s="6" t="n">
        <v>182.68</v>
      </c>
      <c r="E37" s="6">
        <f>IF(COUNT(D37:D38)=2,(D37/D38-1)*100,"")</f>
        <v/>
      </c>
      <c r="F37" s="6" t="n">
        <v>66.48</v>
      </c>
      <c r="G37" s="6">
        <f>IF(COUNT(F37:F38)=2,(F37/F38-1)*100,"")</f>
        <v/>
      </c>
      <c r="H37" s="6" t="n">
        <v>370.6</v>
      </c>
      <c r="I37" s="6">
        <f>IF(COUNT(H37:H38)=2,(H37/H38-1)*100,"")</f>
        <v/>
      </c>
      <c r="J37" s="6" t="n">
        <v>79.2055</v>
      </c>
      <c r="K37" s="6">
        <f>IF(COUNT(J37:J38)=2,(J37/J38-1)*100,"")</f>
        <v/>
      </c>
      <c r="L37" s="6" t="n">
        <v>107.3821</v>
      </c>
      <c r="M37" s="6">
        <f>IF(COUNT(L37:L38)=2,(L37/L38-1)*100,"")</f>
        <v/>
      </c>
      <c r="N37" s="6" t="n">
        <v>54.78</v>
      </c>
      <c r="O37" s="6">
        <f>IF(COUNT(N37:N38)=2,(N37/N38-1)*100,"")</f>
        <v/>
      </c>
      <c r="P37" s="6" t="n">
        <v>56.43</v>
      </c>
      <c r="Q37" s="6">
        <f>IF(COUNT(P37:P38)=2,(P37/P38-1)*100,"")</f>
        <v/>
      </c>
      <c r="R37" s="6" t="n">
        <v>75.06999999999999</v>
      </c>
      <c r="S37" s="6">
        <f>IF(COUNT(R37:R38)=2,(R37/R38-1)*100,"")</f>
        <v/>
      </c>
      <c r="T37" s="6" t="n">
        <v>109.74</v>
      </c>
      <c r="U37" s="6">
        <f>IF(COUNT(T37:T38)=2,(T37/T38-1)*100,"")</f>
        <v/>
      </c>
      <c r="V37" s="6" t="n">
        <v>0.8511</v>
      </c>
      <c r="W37" s="6">
        <f>IF(AND(V37&gt;$W$11,C37&lt;=$W$12),C36,"")</f>
        <v/>
      </c>
      <c r="X37" s="6">
        <f>IF(AND(K37&lt;$X$11,M37&gt;$X$12),C36,"")</f>
        <v/>
      </c>
      <c r="Y37" s="6">
        <f>IF(AND(G37&gt;$Y$11,I37&lt;$Y$12,K37&gt;$Y$12),C36,"")</f>
        <v/>
      </c>
      <c r="Z37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7" s="6">
        <f>IF(AND(S37&gt;$AA$11,U37&lt;$AA$12),E36,"")</f>
        <v/>
      </c>
      <c r="AB37" s="6">
        <f>IF(AND(O37&lt;=$AB$11,E37&lt;$AB$12),E36,"")</f>
        <v/>
      </c>
      <c r="AC37" s="6">
        <f>IF(AND(Q37&gt;$AC$11,S37&gt;$AC$12),E36,"")</f>
        <v/>
      </c>
      <c r="AD37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8">
      <c r="A38" s="6" t="inlineStr">
        <is>
          <t>2026/06/30</t>
        </is>
      </c>
      <c r="B38" s="6" t="n">
        <v>172.04</v>
      </c>
      <c r="C38" s="6">
        <f>IF(COUNT(B38:B39)=2,(B38/B39-1)*100,"")</f>
        <v/>
      </c>
      <c r="D38" s="6" t="n">
        <v>183.4</v>
      </c>
      <c r="E38" s="6">
        <f>IF(COUNT(D38:D39)=2,(D38/D39-1)*100,"")</f>
        <v/>
      </c>
      <c r="F38" s="6" t="n">
        <v>68.41</v>
      </c>
      <c r="G38" s="6">
        <f>IF(COUNT(F38:F39)=2,(F38/F39-1)*100,"")</f>
        <v/>
      </c>
      <c r="H38" s="6" t="n">
        <v>368.38</v>
      </c>
      <c r="I38" s="6">
        <f>IF(COUNT(H38:H39)=2,(H38/H39-1)*100,"")</f>
        <v/>
      </c>
      <c r="J38" s="6" t="n">
        <v>79.21639999999999</v>
      </c>
      <c r="K38" s="6">
        <f>IF(COUNT(J38:J39)=2,(J38/J39-1)*100,"")</f>
        <v/>
      </c>
      <c r="L38" s="6" t="n">
        <v>107.5826</v>
      </c>
      <c r="M38" s="6">
        <f>IF(COUNT(L38:L39)=2,(L38/L39-1)*100,"")</f>
        <v/>
      </c>
      <c r="N38" s="6" t="n">
        <v>53.61</v>
      </c>
      <c r="O38" s="6">
        <f>IF(COUNT(N38:N39)=2,(N38/N39-1)*100,"")</f>
        <v/>
      </c>
      <c r="P38" s="6" t="n">
        <v>56.44</v>
      </c>
      <c r="Q38" s="6">
        <f>IF(COUNT(P38:P39)=2,(P38/P39-1)*100,"")</f>
        <v/>
      </c>
      <c r="R38" s="6" t="n">
        <v>75.45</v>
      </c>
      <c r="S38" s="6">
        <f>IF(COUNT(R38:R39)=2,(R38/R39-1)*100,"")</f>
        <v/>
      </c>
      <c r="T38" s="6" t="n">
        <v>107.13</v>
      </c>
      <c r="U38" s="6">
        <f>IF(COUNT(T38:T39)=2,(T38/T39-1)*100,"")</f>
        <v/>
      </c>
      <c r="V38" s="6" t="n">
        <v>-6.7989</v>
      </c>
      <c r="W38" s="6">
        <f>IF(AND(V38&gt;$W$11,C38&lt;=$W$12),C37,"")</f>
        <v/>
      </c>
      <c r="X38" s="6">
        <f>IF(AND(K38&lt;$X$11,M38&gt;$X$12),C37,"")</f>
        <v/>
      </c>
      <c r="Y38" s="6">
        <f>IF(AND(G38&gt;$Y$11,I38&lt;$Y$12,K38&gt;$Y$12),C37,"")</f>
        <v/>
      </c>
      <c r="Z38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8" s="6">
        <f>IF(AND(S38&gt;$AA$11,U38&lt;$AA$12),E37,"")</f>
        <v/>
      </c>
      <c r="AB38" s="6">
        <f>IF(AND(O38&lt;=$AB$11,E38&lt;$AB$12),E37,"")</f>
        <v/>
      </c>
      <c r="AC38" s="6">
        <f>IF(AND(Q38&gt;$AC$11,S38&gt;$AC$12),E37,"")</f>
        <v/>
      </c>
      <c r="AD38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39">
      <c r="A39" s="6" t="inlineStr">
        <is>
          <t>2026/06/29</t>
        </is>
      </c>
      <c r="B39" s="6" t="n">
        <v>166.43</v>
      </c>
      <c r="C39" s="6">
        <f>IF(COUNT(B39:B40)=2,(B39/B40-1)*100,"")</f>
        <v/>
      </c>
      <c r="D39" s="6" t="n">
        <v>180.59</v>
      </c>
      <c r="E39" s="6">
        <f>IF(COUNT(D39:D40)=2,(D39/D40-1)*100,"")</f>
        <v/>
      </c>
      <c r="F39" s="6" t="n">
        <v>67.43000000000001</v>
      </c>
      <c r="G39" s="6">
        <f>IF(COUNT(F39:F40)=2,(F39/F40-1)*100,"")</f>
        <v/>
      </c>
      <c r="H39" s="6" t="n">
        <v>368.58</v>
      </c>
      <c r="I39" s="6">
        <f>IF(COUNT(H39:H40)=2,(H39/H40-1)*100,"")</f>
        <v/>
      </c>
      <c r="J39" s="6" t="n">
        <v>79.256</v>
      </c>
      <c r="K39" s="6">
        <f>IF(COUNT(J39:J40)=2,(J39/J40-1)*100,"")</f>
        <v/>
      </c>
      <c r="L39" s="6" t="n">
        <v>108.0447</v>
      </c>
      <c r="M39" s="6">
        <f>IF(COUNT(L39:L40)=2,(L39/L40-1)*100,"")</f>
        <v/>
      </c>
      <c r="N39" s="6" t="n">
        <v>53.72</v>
      </c>
      <c r="O39" s="6">
        <f>IF(COUNT(N39:N40)=2,(N39/N40-1)*100,"")</f>
        <v/>
      </c>
      <c r="P39" s="6" t="n">
        <v>56.66</v>
      </c>
      <c r="Q39" s="6">
        <f>IF(COUNT(P39:P40)=2,(P39/P40-1)*100,"")</f>
        <v/>
      </c>
      <c r="R39" s="6" t="n">
        <v>75.68000000000001</v>
      </c>
      <c r="S39" s="6">
        <f>IF(COUNT(R39:R40)=2,(R39/R40-1)*100,"")</f>
        <v/>
      </c>
      <c r="T39" s="6" t="n">
        <v>107.88</v>
      </c>
      <c r="U39" s="6">
        <f>IF(COUNT(T39:T40)=2,(T39/T40-1)*100,"")</f>
        <v/>
      </c>
      <c r="V39" s="6" t="n">
        <v>-4.1282</v>
      </c>
      <c r="W39" s="6">
        <f>IF(AND(V39&gt;$W$11,C39&lt;=$W$12),C38,"")</f>
        <v/>
      </c>
      <c r="X39" s="6">
        <f>IF(AND(K39&lt;$X$11,M39&gt;$X$12),C38,"")</f>
        <v/>
      </c>
      <c r="Y39" s="6">
        <f>IF(AND(G39&gt;$Y$11,I39&lt;$Y$12,K39&gt;$Y$12),C38,"")</f>
        <v/>
      </c>
      <c r="Z39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39" s="6">
        <f>IF(AND(S39&gt;$AA$11,U39&lt;$AA$12),E38,"")</f>
        <v/>
      </c>
      <c r="AB39" s="6">
        <f>IF(AND(O39&lt;=$AB$11,E39&lt;$AB$12),E38,"")</f>
        <v/>
      </c>
      <c r="AC39" s="6">
        <f>IF(AND(Q39&gt;$AC$11,S39&gt;$AC$12),E38,"")</f>
        <v/>
      </c>
      <c r="AD39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0">
      <c r="A40" s="6" t="inlineStr">
        <is>
          <t>2026/06/26</t>
        </is>
      </c>
      <c r="B40" s="6" t="n">
        <v>159.19</v>
      </c>
      <c r="C40" s="6">
        <f>IF(COUNT(B40:B41)=2,(B40/B41-1)*100,"")</f>
        <v/>
      </c>
      <c r="D40" s="6" t="n">
        <v>176.27</v>
      </c>
      <c r="E40" s="6">
        <f>IF(COUNT(D40:D41)=2,(D40/D41-1)*100,"")</f>
        <v/>
      </c>
      <c r="F40" s="6" t="n">
        <v>67.19</v>
      </c>
      <c r="G40" s="6">
        <f>IF(COUNT(F40:F41)=2,(F40/F41-1)*100,"")</f>
        <v/>
      </c>
      <c r="H40" s="6" t="n">
        <v>373.63</v>
      </c>
      <c r="I40" s="6">
        <f>IF(COUNT(H40:H41)=2,(H40/H41-1)*100,"")</f>
        <v/>
      </c>
      <c r="J40" s="6" t="n">
        <v>79.07769999999999</v>
      </c>
      <c r="K40" s="6">
        <f>IF(COUNT(J40:J41)=2,(J40/J41-1)*100,"")</f>
        <v/>
      </c>
      <c r="L40" s="6" t="n">
        <v>107.848</v>
      </c>
      <c r="M40" s="6">
        <f>IF(COUNT(L40:L41)=2,(L40/L41-1)*100,"")</f>
        <v/>
      </c>
      <c r="N40" s="6" t="n">
        <v>53.57</v>
      </c>
      <c r="O40" s="6">
        <f>IF(COUNT(N40:N41)=2,(N40/N41-1)*100,"")</f>
        <v/>
      </c>
      <c r="P40" s="6" t="n">
        <v>56.71</v>
      </c>
      <c r="Q40" s="6">
        <f>IF(COUNT(P40:P41)=2,(P40/P41-1)*100,"")</f>
        <v/>
      </c>
      <c r="R40" s="6" t="n">
        <v>77</v>
      </c>
      <c r="S40" s="6">
        <f>IF(COUNT(R40:R41)=2,(R40/R41-1)*100,"")</f>
        <v/>
      </c>
      <c r="T40" s="6" t="n">
        <v>106.18</v>
      </c>
      <c r="U40" s="6">
        <f>IF(COUNT(T40:T41)=2,(T40/T41-1)*100,"")</f>
        <v/>
      </c>
      <c r="V40" s="6" t="n">
        <v>-2.541</v>
      </c>
      <c r="W40" s="6">
        <f>IF(AND(V40&gt;$W$11,C40&lt;=$W$12),C39,"")</f>
        <v/>
      </c>
      <c r="X40" s="6">
        <f>IF(AND(K40&lt;$X$11,M40&gt;$X$12),C39,"")</f>
        <v/>
      </c>
      <c r="Y40" s="6">
        <f>IF(AND(G40&gt;$Y$11,I40&lt;$Y$12,K40&gt;$Y$12),C39,"")</f>
        <v/>
      </c>
      <c r="Z40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0" s="6">
        <f>IF(AND(S40&gt;$AA$11,U40&lt;$AA$12),E39,"")</f>
        <v/>
      </c>
      <c r="AB40" s="6">
        <f>IF(AND(O40&lt;=$AB$11,E40&lt;$AB$12),E39,"")</f>
        <v/>
      </c>
      <c r="AC40" s="6">
        <f>IF(AND(Q40&gt;$AC$11,S40&gt;$AC$12),E39,"")</f>
        <v/>
      </c>
      <c r="AD40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1">
      <c r="A41" s="6" t="inlineStr">
        <is>
          <t>2026/06/25</t>
        </is>
      </c>
      <c r="B41" s="6" t="n">
        <v>162.93</v>
      </c>
      <c r="C41" s="6">
        <f>IF(COUNT(B41:B42)=2,(B41/B42-1)*100,"")</f>
        <v/>
      </c>
      <c r="D41" s="6" t="n">
        <v>176.82</v>
      </c>
      <c r="E41" s="6">
        <f>IF(COUNT(D41:D42)=2,(D41/D42-1)*100,"")</f>
        <v/>
      </c>
      <c r="F41" s="6" t="n">
        <v>67.95999999999999</v>
      </c>
      <c r="G41" s="6">
        <f>IF(COUNT(F41:F42)=2,(F41/F42-1)*100,"")</f>
        <v/>
      </c>
      <c r="H41" s="6" t="n">
        <v>369.46</v>
      </c>
      <c r="I41" s="6">
        <f>IF(COUNT(H41:H42)=2,(H41/H42-1)*100,"")</f>
        <v/>
      </c>
      <c r="J41" s="6" t="n">
        <v>79.12730000000001</v>
      </c>
      <c r="K41" s="6">
        <f>IF(COUNT(J41:J42)=2,(J41/J42-1)*100,"")</f>
        <v/>
      </c>
      <c r="L41" s="6" t="n">
        <v>107.6514</v>
      </c>
      <c r="M41" s="6">
        <f>IF(COUNT(L41:L42)=2,(L41/L42-1)*100,"")</f>
        <v/>
      </c>
      <c r="N41" s="6" t="n">
        <v>53.45</v>
      </c>
      <c r="O41" s="6">
        <f>IF(COUNT(N41:N42)=2,(N41/N42-1)*100,"")</f>
        <v/>
      </c>
      <c r="P41" s="6" t="n">
        <v>56.69</v>
      </c>
      <c r="Q41" s="6">
        <f>IF(COUNT(P41:P42)=2,(P41/P42-1)*100,"")</f>
        <v/>
      </c>
      <c r="R41" s="6" t="n">
        <v>75.67</v>
      </c>
      <c r="S41" s="6">
        <f>IF(COUNT(R41:R42)=2,(R41/R42-1)*100,"")</f>
        <v/>
      </c>
      <c r="T41" s="6" t="n">
        <v>105.58</v>
      </c>
      <c r="U41" s="6">
        <f>IF(COUNT(T41:T42)=2,(T41/T42-1)*100,"")</f>
        <v/>
      </c>
      <c r="V41" s="6" t="n">
        <v>1.3956</v>
      </c>
      <c r="W41" s="6">
        <f>IF(AND(V41&gt;$W$11,C41&lt;=$W$12),C40,"")</f>
        <v/>
      </c>
      <c r="X41" s="6">
        <f>IF(AND(K41&lt;$X$11,M41&gt;$X$12),C40,"")</f>
        <v/>
      </c>
      <c r="Y41" s="6">
        <f>IF(AND(G41&gt;$Y$11,I41&lt;$Y$12,K41&gt;$Y$12),C40,"")</f>
        <v/>
      </c>
      <c r="Z41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1" s="6">
        <f>IF(AND(S41&gt;$AA$11,U41&lt;$AA$12),E40,"")</f>
        <v/>
      </c>
      <c r="AB41" s="6">
        <f>IF(AND(O41&lt;=$AB$11,E41&lt;$AB$12),E40,"")</f>
        <v/>
      </c>
      <c r="AC41" s="6">
        <f>IF(AND(Q41&gt;$AC$11,S41&gt;$AC$12),E40,"")</f>
        <v/>
      </c>
      <c r="AD41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2">
      <c r="A42" s="6" t="inlineStr">
        <is>
          <t>2026/06/24</t>
        </is>
      </c>
      <c r="B42" s="6" t="n">
        <v>160.52</v>
      </c>
      <c r="C42" s="6">
        <f>IF(COUNT(B42:B43)=2,(B42/B43-1)*100,"")</f>
        <v/>
      </c>
      <c r="D42" s="6" t="n">
        <v>176.82</v>
      </c>
      <c r="E42" s="6">
        <f>IF(COUNT(D42:D43)=2,(D42/D43-1)*100,"")</f>
        <v/>
      </c>
      <c r="F42" s="6" t="n">
        <v>67.25</v>
      </c>
      <c r="G42" s="6">
        <f>IF(COUNT(F42:F43)=2,(F42/F43-1)*100,"")</f>
        <v/>
      </c>
      <c r="H42" s="6" t="n">
        <v>365.92</v>
      </c>
      <c r="I42" s="6">
        <f>IF(COUNT(H42:H43)=2,(H42/H43-1)*100,"")</f>
        <v/>
      </c>
      <c r="J42" s="6" t="n">
        <v>79.0975</v>
      </c>
      <c r="K42" s="6">
        <f>IF(COUNT(J42:J43)=2,(J42/J43-1)*100,"")</f>
        <v/>
      </c>
      <c r="L42" s="6" t="n">
        <v>107.4744</v>
      </c>
      <c r="M42" s="6">
        <f>IF(COUNT(L42:L43)=2,(L42/L43-1)*100,"")</f>
        <v/>
      </c>
      <c r="N42" s="6" t="n">
        <v>53.72</v>
      </c>
      <c r="O42" s="6">
        <f>IF(COUNT(N42:N43)=2,(N42/N43-1)*100,"")</f>
        <v/>
      </c>
      <c r="P42" s="6" t="n">
        <v>56.7</v>
      </c>
      <c r="Q42" s="6">
        <f>IF(COUNT(P42:P43)=2,(P42/P43-1)*100,"")</f>
        <v/>
      </c>
      <c r="R42" s="6" t="n">
        <v>74.59</v>
      </c>
      <c r="S42" s="6">
        <f>IF(COUNT(R42:R43)=2,(R42/R43-1)*100,"")</f>
        <v/>
      </c>
      <c r="T42" s="6" t="n">
        <v>106.54</v>
      </c>
      <c r="U42" s="6">
        <f>IF(COUNT(T42:T43)=2,(T42/T43-1)*100,"")</f>
        <v/>
      </c>
      <c r="V42" s="6" t="n">
        <v>-4.4125</v>
      </c>
      <c r="W42" s="6">
        <f>IF(AND(V42&gt;$W$11,C42&lt;=$W$12),C41,"")</f>
        <v/>
      </c>
      <c r="X42" s="6">
        <f>IF(AND(K42&lt;$X$11,M42&gt;$X$12),C41,"")</f>
        <v/>
      </c>
      <c r="Y42" s="6">
        <f>IF(AND(G42&gt;$Y$11,I42&lt;$Y$12,K42&gt;$Y$12),C41,"")</f>
        <v/>
      </c>
      <c r="Z42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2" s="6">
        <f>IF(AND(S42&gt;$AA$11,U42&lt;$AA$12),E41,"")</f>
        <v/>
      </c>
      <c r="AB42" s="6">
        <f>IF(AND(O42&lt;=$AB$11,E42&lt;$AB$12),E41,"")</f>
        <v/>
      </c>
      <c r="AC42" s="6">
        <f>IF(AND(Q42&gt;$AC$11,S42&gt;$AC$12),E41,"")</f>
        <v/>
      </c>
      <c r="AD42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3">
      <c r="A43" s="6" t="inlineStr">
        <is>
          <t>2026/06/23</t>
        </is>
      </c>
      <c r="B43" s="6" t="n">
        <v>161.96</v>
      </c>
      <c r="C43" s="6">
        <f>IF(COUNT(B43:B44)=2,(B43/B44-1)*100,"")</f>
        <v/>
      </c>
      <c r="D43" s="6" t="n">
        <v>177.18</v>
      </c>
      <c r="E43" s="6">
        <f>IF(COUNT(D43:D44)=2,(D43/D44-1)*100,"")</f>
        <v/>
      </c>
      <c r="F43" s="6" t="n">
        <v>67.17</v>
      </c>
      <c r="G43" s="6">
        <f>IF(COUNT(F43:F44)=2,(F43/F44-1)*100,"")</f>
        <v/>
      </c>
      <c r="H43" s="6" t="n">
        <v>377.32</v>
      </c>
      <c r="I43" s="6">
        <f>IF(COUNT(H43:H44)=2,(H43/H44-1)*100,"")</f>
        <v/>
      </c>
      <c r="J43" s="6" t="n">
        <v>79.1174</v>
      </c>
      <c r="K43" s="6">
        <f>IF(COUNT(J43:J44)=2,(J43/J44-1)*100,"")</f>
        <v/>
      </c>
      <c r="L43" s="6" t="n">
        <v>107.0615</v>
      </c>
      <c r="M43" s="6">
        <f>IF(COUNT(L43:L44)=2,(L43/L44-1)*100,"")</f>
        <v/>
      </c>
      <c r="N43" s="6" t="n">
        <v>53.88</v>
      </c>
      <c r="O43" s="6">
        <f>IF(COUNT(N43:N44)=2,(N43/N44-1)*100,"")</f>
        <v/>
      </c>
      <c r="P43" s="6" t="n">
        <v>56.8</v>
      </c>
      <c r="Q43" s="6">
        <f>IF(COUNT(P43:P44)=2,(P43/P44-1)*100,"")</f>
        <v/>
      </c>
      <c r="R43" s="6" t="n">
        <v>77.66</v>
      </c>
      <c r="S43" s="6">
        <f>IF(COUNT(R43:R44)=2,(R43/R44-1)*100,"")</f>
        <v/>
      </c>
      <c r="T43" s="6" t="n">
        <v>107.27</v>
      </c>
      <c r="U43" s="6">
        <f>IF(COUNT(T43:T44)=2,(T43/T44-1)*100,"")</f>
        <v/>
      </c>
      <c r="V43" s="6" t="n">
        <v>12.7894</v>
      </c>
      <c r="W43" s="6">
        <f>IF(AND(V43&gt;$W$11,C43&lt;=$W$12),C42,"")</f>
        <v/>
      </c>
      <c r="X43" s="6">
        <f>IF(AND(K43&lt;$X$11,M43&gt;$X$12),C42,"")</f>
        <v/>
      </c>
      <c r="Y43" s="6">
        <f>IF(AND(G43&gt;$Y$11,I43&lt;$Y$12,K43&gt;$Y$12),C42,"")</f>
        <v/>
      </c>
      <c r="Z43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3" s="6">
        <f>IF(AND(S43&gt;$AA$11,U43&lt;$AA$12),E42,"")</f>
        <v/>
      </c>
      <c r="AB43" s="6">
        <f>IF(AND(O43&lt;=$AB$11,E43&lt;$AB$12),E42,"")</f>
        <v/>
      </c>
      <c r="AC43" s="6">
        <f>IF(AND(Q43&gt;$AC$11,S43&gt;$AC$12),E42,"")</f>
        <v/>
      </c>
      <c r="AD43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4">
      <c r="A44" s="6" t="inlineStr">
        <is>
          <t>2026/06/22</t>
        </is>
      </c>
      <c r="B44" s="6" t="n">
        <v>173.38</v>
      </c>
      <c r="C44" s="6">
        <f>IF(COUNT(B44:B45)=2,(B44/B45-1)*100,"")</f>
        <v/>
      </c>
      <c r="D44" s="6" t="n">
        <v>182.43</v>
      </c>
      <c r="E44" s="6">
        <f>IF(COUNT(D44:D45)=2,(D44/D45-1)*100,"")</f>
        <v/>
      </c>
      <c r="F44" s="6" t="n">
        <v>71.20999999999999</v>
      </c>
      <c r="G44" s="6">
        <f>IF(COUNT(F44:F45)=2,(F44/F45-1)*100,"")</f>
        <v/>
      </c>
      <c r="H44" s="6" t="n">
        <v>384.59</v>
      </c>
      <c r="I44" s="6">
        <f>IF(COUNT(H44:H45)=2,(H44/H45-1)*100,"")</f>
        <v/>
      </c>
      <c r="J44" s="6" t="n">
        <v>79.1867</v>
      </c>
      <c r="K44" s="6">
        <f>IF(COUNT(J44:J45)=2,(J44/J45-1)*100,"")</f>
        <v/>
      </c>
      <c r="L44" s="6" t="n">
        <v>107.1009</v>
      </c>
      <c r="M44" s="6">
        <f>IF(COUNT(L44:L45)=2,(L44/L45-1)*100,"")</f>
        <v/>
      </c>
      <c r="N44" s="6" t="n">
        <v>53.7</v>
      </c>
      <c r="O44" s="6">
        <f>IF(COUNT(N44:N45)=2,(N44/N45-1)*100,"")</f>
        <v/>
      </c>
      <c r="P44" s="6" t="n">
        <v>56.79</v>
      </c>
      <c r="Q44" s="6">
        <f>IF(COUNT(P44:P45)=2,(P44/P45-1)*100,"")</f>
        <v/>
      </c>
      <c r="R44" s="6" t="n">
        <v>81.44</v>
      </c>
      <c r="S44" s="6">
        <f>IF(COUNT(R44:R45)=2,(R44/R45-1)*100,"")</f>
        <v/>
      </c>
      <c r="T44" s="6" t="n">
        <v>106.86</v>
      </c>
      <c r="U44" s="6">
        <f>IF(COUNT(T44:T45)=2,(T44/T45-1)*100,"")</f>
        <v/>
      </c>
      <c r="V44" s="6" t="n">
        <v>5.3659</v>
      </c>
      <c r="W44" s="6">
        <f>IF(AND(V44&gt;$W$11,C44&lt;=$W$12),C43,"")</f>
        <v/>
      </c>
      <c r="X44" s="6">
        <f>IF(AND(K44&lt;$X$11,M44&gt;$X$12),C43,"")</f>
        <v/>
      </c>
      <c r="Y44" s="6">
        <f>IF(AND(G44&gt;$Y$11,I44&lt;$Y$12,K44&gt;$Y$12),C43,"")</f>
        <v/>
      </c>
      <c r="Z44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4" s="6">
        <f>IF(AND(S44&gt;$AA$11,U44&lt;$AA$12),E43,"")</f>
        <v/>
      </c>
      <c r="AB44" s="6">
        <f>IF(AND(O44&lt;=$AB$11,E44&lt;$AB$12),E43,"")</f>
        <v/>
      </c>
      <c r="AC44" s="6">
        <f>IF(AND(Q44&gt;$AC$11,S44&gt;$AC$12),E43,"")</f>
        <v/>
      </c>
      <c r="AD44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5">
      <c r="A45" s="6" t="inlineStr">
        <is>
          <t>2026/06/18</t>
        </is>
      </c>
      <c r="B45" s="6" t="n">
        <v>174.19</v>
      </c>
      <c r="C45" s="6">
        <f>IF(COUNT(B45:B46)=2,(B45/B46-1)*100,"")</f>
        <v/>
      </c>
      <c r="D45" s="6" t="n">
        <v>183.86</v>
      </c>
      <c r="E45" s="6">
        <f>IF(COUNT(D45:D46)=2,(D45/D46-1)*100,"")</f>
        <v/>
      </c>
      <c r="F45" s="6" t="n">
        <v>70.79000000000001</v>
      </c>
      <c r="G45" s="6">
        <f>IF(COUNT(F45:F46)=2,(F45/F46-1)*100,"")</f>
        <v/>
      </c>
      <c r="H45" s="6" t="n">
        <v>387.12</v>
      </c>
      <c r="I45" s="6">
        <f>IF(COUNT(H45:H46)=2,(H45/H46-1)*100,"")</f>
        <v/>
      </c>
      <c r="J45" s="6" t="n">
        <v>79.256</v>
      </c>
      <c r="K45" s="6">
        <f>IF(COUNT(J45:J46)=2,(J45/J46-1)*100,"")</f>
        <v/>
      </c>
      <c r="L45" s="6" t="n">
        <v>107.5433</v>
      </c>
      <c r="M45" s="6">
        <f>IF(COUNT(L45:L46)=2,(L45/L46-1)*100,"")</f>
        <v/>
      </c>
      <c r="N45" s="6" t="n">
        <v>53.383</v>
      </c>
      <c r="O45" s="6">
        <f>IF(COUNT(N45:N46)=2,(N45/N46-1)*100,"")</f>
        <v/>
      </c>
      <c r="P45" s="6" t="n">
        <v>56.85</v>
      </c>
      <c r="Q45" s="6">
        <f>IF(COUNT(P45:P46)=2,(P45/P46-1)*100,"")</f>
        <v/>
      </c>
      <c r="R45" s="6" t="n">
        <v>82.51000000000001</v>
      </c>
      <c r="S45" s="6">
        <f>IF(COUNT(R45:R46)=2,(R45/R46-1)*100,"")</f>
        <v/>
      </c>
      <c r="T45" s="6" t="n">
        <v>109.166</v>
      </c>
      <c r="U45" s="6">
        <f>IF(COUNT(T45:T46)=2,(T45/T46-1)*100,"")</f>
        <v/>
      </c>
      <c r="V45" s="6" t="n">
        <v>-11.0629</v>
      </c>
      <c r="W45" s="6">
        <f>IF(AND(V45&gt;$W$11,C45&lt;=$W$12),C44,"")</f>
        <v/>
      </c>
      <c r="X45" s="6">
        <f>IF(AND(K45&lt;$X$11,M45&gt;$X$12),C44,"")</f>
        <v/>
      </c>
      <c r="Y45" s="6">
        <f>IF(AND(G45&gt;$Y$11,I45&lt;$Y$12,K45&gt;$Y$12),C44,"")</f>
        <v/>
      </c>
      <c r="Z45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5" s="6">
        <f>IF(AND(S45&gt;$AA$11,U45&lt;$AA$12),E44,"")</f>
        <v/>
      </c>
      <c r="AB45" s="6">
        <f>IF(AND(O45&lt;=$AB$11,E45&lt;$AB$12),E44,"")</f>
        <v/>
      </c>
      <c r="AC45" s="6">
        <f>IF(AND(Q45&gt;$AC$11,S45&gt;$AC$12),E44,"")</f>
        <v/>
      </c>
      <c r="AD45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6">
      <c r="A46" s="6" t="inlineStr">
        <is>
          <t>2026/06/17</t>
        </is>
      </c>
      <c r="B46" s="6" t="n">
        <v>165.99</v>
      </c>
      <c r="C46" s="6">
        <f>IF(COUNT(B46:B47)=2,(B46/B47-1)*100,"")</f>
        <v/>
      </c>
      <c r="D46" s="6" t="n">
        <v>180</v>
      </c>
      <c r="E46" s="6">
        <f>IF(COUNT(D46:D47)=2,(D46/D47-1)*100,"")</f>
        <v/>
      </c>
      <c r="F46" s="6" t="n">
        <v>68.56</v>
      </c>
      <c r="G46" s="6">
        <f>IF(COUNT(F46:F47)=2,(F46/F47-1)*100,"")</f>
        <v/>
      </c>
      <c r="H46" s="6" t="n">
        <v>388.6</v>
      </c>
      <c r="I46" s="6">
        <f>IF(COUNT(H46:H47)=2,(H46/H47-1)*100,"")</f>
        <v/>
      </c>
      <c r="J46" s="6" t="n">
        <v>78.9787</v>
      </c>
      <c r="K46" s="6">
        <f>IF(COUNT(J46:J47)=2,(J46/J47-1)*100,"")</f>
        <v/>
      </c>
      <c r="L46" s="6" t="n">
        <v>107.1893</v>
      </c>
      <c r="M46" s="6">
        <f>IF(COUNT(L46:L47)=2,(L46/L47-1)*100,"")</f>
        <v/>
      </c>
      <c r="N46" s="6" t="n">
        <v>53.8613</v>
      </c>
      <c r="O46" s="6">
        <f>IF(COUNT(N46:N47)=2,(N46/N47-1)*100,"")</f>
        <v/>
      </c>
      <c r="P46" s="6" t="n">
        <v>57.09</v>
      </c>
      <c r="Q46" s="6">
        <f>IF(COUNT(P46:P47)=2,(P46/P47-1)*100,"")</f>
        <v/>
      </c>
      <c r="R46" s="6" t="n">
        <v>84.36</v>
      </c>
      <c r="S46" s="6">
        <f>IF(COUNT(R46:R47)=2,(R46/R47-1)*100,"")</f>
        <v/>
      </c>
      <c r="T46" s="6" t="n">
        <v>108.9166</v>
      </c>
      <c r="U46" s="6">
        <f>IF(COUNT(T46:T47)=2,(T46/T47-1)*100,"")</f>
        <v/>
      </c>
      <c r="V46" s="6" t="n">
        <v>12.3705</v>
      </c>
      <c r="W46" s="6">
        <f>IF(AND(V46&gt;$W$11,C46&lt;=$W$12),C45,"")</f>
        <v/>
      </c>
      <c r="X46" s="6">
        <f>IF(AND(K46&lt;$X$11,M46&gt;$X$12),C45,"")</f>
        <v/>
      </c>
      <c r="Y46" s="6">
        <f>IF(AND(G46&gt;$Y$11,I46&lt;$Y$12,K46&gt;$Y$12),C45,"")</f>
        <v/>
      </c>
      <c r="Z46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6" s="6">
        <f>IF(AND(S46&gt;$AA$11,U46&lt;$AA$12),E45,"")</f>
        <v/>
      </c>
      <c r="AB46" s="6">
        <f>IF(AND(O46&lt;=$AB$11,E46&lt;$AB$12),E45,"")</f>
        <v/>
      </c>
      <c r="AC46" s="6">
        <f>IF(AND(Q46&gt;$AC$11,S46&gt;$AC$12),E45,"")</f>
        <v/>
      </c>
      <c r="AD46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7">
      <c r="A47" s="6" t="inlineStr">
        <is>
          <t>2026/06/16</t>
        </is>
      </c>
      <c r="B47" s="6" t="n">
        <v>169.4</v>
      </c>
      <c r="C47" s="6">
        <f>IF(COUNT(B47:B48)=2,(B47/B48-1)*100,"")</f>
        <v/>
      </c>
      <c r="D47" s="6" t="n">
        <v>184.56</v>
      </c>
      <c r="E47" s="6">
        <f>IF(COUNT(D47:D48)=2,(D47/D48-1)*100,"")</f>
        <v/>
      </c>
      <c r="F47" s="6" t="n">
        <v>68.64</v>
      </c>
      <c r="G47" s="6">
        <f>IF(COUNT(F47:F48)=2,(F47/F48-1)*100,"")</f>
        <v/>
      </c>
      <c r="H47" s="6" t="n">
        <v>397.63</v>
      </c>
      <c r="I47" s="6">
        <f>IF(COUNT(H47:H48)=2,(H47/H48-1)*100,"")</f>
        <v/>
      </c>
      <c r="J47" s="6" t="n">
        <v>79.2758</v>
      </c>
      <c r="K47" s="6">
        <f>IF(COUNT(J47:J48)=2,(J47/J48-1)*100,"")</f>
        <v/>
      </c>
      <c r="L47" s="6" t="n">
        <v>107.907</v>
      </c>
      <c r="M47" s="6">
        <f>IF(COUNT(L47:L48)=2,(L47/L48-1)*100,"")</f>
        <v/>
      </c>
      <c r="N47" s="6" t="n">
        <v>54.1603</v>
      </c>
      <c r="O47" s="6">
        <f>IF(COUNT(N47:N48)=2,(N47/N48-1)*100,"")</f>
        <v/>
      </c>
      <c r="P47" s="6" t="n">
        <v>57.19</v>
      </c>
      <c r="Q47" s="6">
        <f>IF(COUNT(P47:P48)=2,(P47/P48-1)*100,"")</f>
        <v/>
      </c>
      <c r="R47" s="6" t="n">
        <v>87.23999999999999</v>
      </c>
      <c r="S47" s="6">
        <f>IF(COUNT(R47:R48)=2,(R47/R48-1)*100,"")</f>
        <v/>
      </c>
      <c r="T47" s="6" t="n">
        <v>112.0286</v>
      </c>
      <c r="U47" s="6">
        <f>IF(COUNT(T47:T48)=2,(T47/T48-1)*100,"")</f>
        <v/>
      </c>
      <c r="V47" s="6" t="n">
        <v>1.2963</v>
      </c>
      <c r="W47" s="6">
        <f>IF(AND(V47&gt;$W$11,C47&lt;=$W$12),C46,"")</f>
        <v/>
      </c>
      <c r="X47" s="6">
        <f>IF(AND(K47&lt;$X$11,M47&gt;$X$12),C46,"")</f>
        <v/>
      </c>
      <c r="Y47" s="6">
        <f>IF(AND(G47&gt;$Y$11,I47&lt;$Y$12,K47&gt;$Y$12),C46,"")</f>
        <v/>
      </c>
      <c r="Z47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7" s="6">
        <f>IF(AND(S47&gt;$AA$11,U47&lt;$AA$12),E46,"")</f>
        <v/>
      </c>
      <c r="AB47" s="6">
        <f>IF(AND(O47&lt;=$AB$11,E47&lt;$AB$12),E46,"")</f>
        <v/>
      </c>
      <c r="AC47" s="6">
        <f>IF(AND(Q47&gt;$AC$11,S47&gt;$AC$12),E46,"")</f>
        <v/>
      </c>
      <c r="AD47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8">
      <c r="A48" s="6" t="inlineStr">
        <is>
          <t>2026/06/15</t>
        </is>
      </c>
      <c r="B48" s="6" t="n">
        <v>176.04</v>
      </c>
      <c r="C48" s="6">
        <f>IF(COUNT(B48:B49)=2,(B48/B49-1)*100,"")</f>
        <v/>
      </c>
      <c r="D48" s="6" t="n">
        <v>186.69</v>
      </c>
      <c r="E48" s="6">
        <f>IF(COUNT(D48:D49)=2,(D48/D49-1)*100,"")</f>
        <v/>
      </c>
      <c r="F48" s="6" t="n">
        <v>69.75</v>
      </c>
      <c r="G48" s="6">
        <f>IF(COUNT(F48:F49)=2,(F48/F49-1)*100,"")</f>
        <v/>
      </c>
      <c r="H48" s="6" t="n">
        <v>396.55</v>
      </c>
      <c r="I48" s="6">
        <f>IF(COUNT(H48:H49)=2,(H48/H49-1)*100,"")</f>
        <v/>
      </c>
      <c r="J48" s="6" t="n">
        <v>79.28579999999999</v>
      </c>
      <c r="K48" s="6">
        <f>IF(COUNT(J48:J49)=2,(J48/J49-1)*100,"")</f>
        <v/>
      </c>
      <c r="L48" s="6" t="n">
        <v>107.907</v>
      </c>
      <c r="M48" s="6">
        <f>IF(COUNT(L48:L49)=2,(L48/L49-1)*100,"")</f>
        <v/>
      </c>
      <c r="N48" s="6" t="n">
        <v>53.373</v>
      </c>
      <c r="O48" s="6">
        <f>IF(COUNT(N48:N49)=2,(N48/N49-1)*100,"")</f>
        <v/>
      </c>
      <c r="P48" s="6" t="n">
        <v>57.24</v>
      </c>
      <c r="Q48" s="6">
        <f>IF(COUNT(P48:P49)=2,(P48/P49-1)*100,"")</f>
        <v/>
      </c>
      <c r="R48" s="6" t="n">
        <v>85.27</v>
      </c>
      <c r="S48" s="6">
        <f>IF(COUNT(R48:R49)=2,(R48/R49-1)*100,"")</f>
        <v/>
      </c>
      <c r="T48" s="6" t="n">
        <v>111.8989</v>
      </c>
      <c r="U48" s="6">
        <f>IF(COUNT(T48:T49)=2,(T48/T49-1)*100,"")</f>
        <v/>
      </c>
      <c r="V48" s="6" t="n">
        <v>-8.371</v>
      </c>
      <c r="W48" s="6">
        <f>IF(AND(V48&gt;$W$11,C48&lt;=$W$12),C47,"")</f>
        <v/>
      </c>
      <c r="X48" s="6">
        <f>IF(AND(K48&lt;$X$11,M48&gt;$X$12),C47,"")</f>
        <v/>
      </c>
      <c r="Y48" s="6">
        <f>IF(AND(G48&gt;$Y$11,I48&lt;$Y$12,K48&gt;$Y$12),C47,"")</f>
        <v/>
      </c>
      <c r="Z48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8" s="6">
        <f>IF(AND(S48&gt;$AA$11,U48&lt;$AA$12),E47,"")</f>
        <v/>
      </c>
      <c r="AB48" s="6">
        <f>IF(AND(O48&lt;=$AB$11,E48&lt;$AB$12),E47,"")</f>
        <v/>
      </c>
      <c r="AC48" s="6">
        <f>IF(AND(Q48&gt;$AC$11,S48&gt;$AC$12),E47,"")</f>
        <v/>
      </c>
      <c r="AD48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49">
      <c r="A49" s="6" t="inlineStr">
        <is>
          <t>2026/06/12</t>
        </is>
      </c>
      <c r="B49" s="6" t="n">
        <v>165.93</v>
      </c>
      <c r="C49" s="6">
        <f>IF(COUNT(B49:B50)=2,(B49/B50-1)*100,"")</f>
        <v/>
      </c>
      <c r="D49" s="6" t="n">
        <v>180.68</v>
      </c>
      <c r="E49" s="6">
        <f>IF(COUNT(D49:D50)=2,(D49/D50-1)*100,"")</f>
        <v/>
      </c>
      <c r="F49" s="6" t="n">
        <v>67.529</v>
      </c>
      <c r="G49" s="6">
        <f>IF(COUNT(F49:F50)=2,(F49/F50-1)*100,"")</f>
        <v/>
      </c>
      <c r="H49" s="6" t="n">
        <v>386.54</v>
      </c>
      <c r="I49" s="6">
        <f>IF(COUNT(H49:H50)=2,(H49/H50-1)*100,"")</f>
        <v/>
      </c>
      <c r="J49" s="6" t="n">
        <v>79.1867</v>
      </c>
      <c r="K49" s="6">
        <f>IF(COUNT(J49:J50)=2,(J49/J50-1)*100,"")</f>
        <v/>
      </c>
      <c r="L49" s="6" t="n">
        <v>107.7596</v>
      </c>
      <c r="M49" s="6">
        <f>IF(COUNT(L49:L50)=2,(L49/L50-1)*100,"")</f>
        <v/>
      </c>
      <c r="N49" s="6" t="n">
        <v>53.1538</v>
      </c>
      <c r="O49" s="6">
        <f>IF(COUNT(N49:N50)=2,(N49/N50-1)*100,"")</f>
        <v/>
      </c>
      <c r="P49" s="6" t="n">
        <v>57.26</v>
      </c>
      <c r="Q49" s="6">
        <f>IF(COUNT(P49:P50)=2,(P49/P50-1)*100,"")</f>
        <v/>
      </c>
      <c r="R49" s="6" t="n">
        <v>80.03</v>
      </c>
      <c r="S49" s="6">
        <f>IF(COUNT(R49:R50)=2,(R49/R50-1)*100,"")</f>
        <v/>
      </c>
      <c r="T49" s="6" t="n">
        <v>111.3603</v>
      </c>
      <c r="U49" s="6">
        <f>IF(COUNT(T49:T50)=2,(T49/T50-1)*100,"")</f>
        <v/>
      </c>
      <c r="V49" s="6" t="n">
        <v>-9.0535</v>
      </c>
      <c r="W49" s="6">
        <f>IF(AND(V49&gt;$W$11,C49&lt;=$W$12),C48,"")</f>
        <v/>
      </c>
      <c r="X49" s="6">
        <f>IF(AND(K49&lt;$X$11,M49&gt;$X$12),C48,"")</f>
        <v/>
      </c>
      <c r="Y49" s="6">
        <f>IF(AND(G49&gt;$Y$11,I49&lt;$Y$12,K49&gt;$Y$12),C48,"")</f>
        <v/>
      </c>
      <c r="Z49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49" s="6">
        <f>IF(AND(S49&gt;$AA$11,U49&lt;$AA$12),E48,"")</f>
        <v/>
      </c>
      <c r="AB49" s="6">
        <f>IF(AND(O49&lt;=$AB$11,E49&lt;$AB$12),E48,"")</f>
        <v/>
      </c>
      <c r="AC49" s="6">
        <f>IF(AND(Q49&gt;$AC$11,S49&gt;$AC$12),E48,"")</f>
        <v/>
      </c>
      <c r="AD49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0">
      <c r="A50" s="6" t="inlineStr">
        <is>
          <t>2026/06/11</t>
        </is>
      </c>
      <c r="B50" s="6" t="n">
        <v>163.86</v>
      </c>
      <c r="C50" s="6">
        <f>IF(COUNT(B50:B51)=2,(B50/B51-1)*100,"")</f>
        <v/>
      </c>
      <c r="D50" s="6" t="n">
        <v>178.87</v>
      </c>
      <c r="E50" s="6">
        <f>IF(COUNT(D50:D51)=2,(D50/D51-1)*100,"")</f>
        <v/>
      </c>
      <c r="F50" s="6" t="n">
        <v>67.151</v>
      </c>
      <c r="G50" s="6">
        <f>IF(COUNT(F50:F51)=2,(F50/F51-1)*100,"")</f>
        <v/>
      </c>
      <c r="H50" s="6" t="n">
        <v>386.32</v>
      </c>
      <c r="I50" s="6">
        <f>IF(COUNT(H50:H51)=2,(H50/H51-1)*100,"")</f>
        <v/>
      </c>
      <c r="J50" s="6" t="n">
        <v>79.1867</v>
      </c>
      <c r="K50" s="6">
        <f>IF(COUNT(J50:J51)=2,(J50/J51-1)*100,"")</f>
        <v/>
      </c>
      <c r="L50" s="6" t="n">
        <v>107.7497</v>
      </c>
      <c r="M50" s="6">
        <f>IF(COUNT(L50:L51)=2,(L50/L51-1)*100,"")</f>
        <v/>
      </c>
      <c r="N50" s="6" t="n">
        <v>52.4363</v>
      </c>
      <c r="O50" s="6">
        <f>IF(COUNT(N50:N51)=2,(N50/N51-1)*100,"")</f>
        <v/>
      </c>
      <c r="P50" s="6" t="n">
        <v>57.43</v>
      </c>
      <c r="Q50" s="6">
        <f>IF(COUNT(P50:P51)=2,(P50/P51-1)*100,"")</f>
        <v/>
      </c>
      <c r="R50" s="6" t="n">
        <v>77.72</v>
      </c>
      <c r="S50" s="6">
        <f>IF(COUNT(R50:R51)=2,(R50/R51-1)*100,"")</f>
        <v/>
      </c>
      <c r="T50" s="6" t="n">
        <v>111.8291</v>
      </c>
      <c r="U50" s="6">
        <f>IF(COUNT(T50:T51)=2,(T50/T51-1)*100,"")</f>
        <v/>
      </c>
      <c r="V50" s="6" t="n">
        <v>-12.5113</v>
      </c>
      <c r="W50" s="6">
        <f>IF(AND(V50&gt;$W$11,C50&lt;=$W$12),C49,"")</f>
        <v/>
      </c>
      <c r="X50" s="6">
        <f>IF(AND(K50&lt;$X$11,M50&gt;$X$12),C49,"")</f>
        <v/>
      </c>
      <c r="Y50" s="6">
        <f>IF(AND(G50&gt;$Y$11,I50&lt;$Y$12,K50&gt;$Y$12),C49,"")</f>
        <v/>
      </c>
      <c r="Z50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0" s="6">
        <f>IF(AND(S50&gt;$AA$11,U50&lt;$AA$12),E49,"")</f>
        <v/>
      </c>
      <c r="AB50" s="6">
        <f>IF(AND(O50&lt;=$AB$11,E50&lt;$AB$12),E49,"")</f>
        <v/>
      </c>
      <c r="AC50" s="6">
        <f>IF(AND(Q50&gt;$AC$11,S50&gt;$AC$12),E49,"")</f>
        <v/>
      </c>
      <c r="AD50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1">
      <c r="A51" s="6" t="inlineStr">
        <is>
          <t>2026/06/10</t>
        </is>
      </c>
      <c r="B51" s="6" t="n">
        <v>153.76</v>
      </c>
      <c r="C51" s="6">
        <f>IF(COUNT(B51:B52)=2,(B51/B52-1)*100,"")</f>
        <v/>
      </c>
      <c r="D51" s="6" t="n">
        <v>172.89</v>
      </c>
      <c r="E51" s="6">
        <f>IF(COUNT(D51:D52)=2,(D51/D52-1)*100,"")</f>
        <v/>
      </c>
      <c r="F51" s="6" t="n">
        <v>64.3257</v>
      </c>
      <c r="G51" s="6">
        <f>IF(COUNT(F51:F52)=2,(F51/F52-1)*100,"")</f>
        <v/>
      </c>
      <c r="H51" s="6" t="n">
        <v>374.58</v>
      </c>
      <c r="I51" s="6">
        <f>IF(COUNT(H51:H52)=2,(H51/H52-1)*100,"")</f>
        <v/>
      </c>
      <c r="J51" s="6" t="n">
        <v>78.72110000000001</v>
      </c>
      <c r="K51" s="6">
        <f>IF(COUNT(J51:J52)=2,(J51/J52-1)*100,"")</f>
        <v/>
      </c>
      <c r="L51" s="6" t="n">
        <v>107.3663</v>
      </c>
      <c r="M51" s="6">
        <f>IF(COUNT(L51:L52)=2,(L51/L52-1)*100,"")</f>
        <v/>
      </c>
      <c r="N51" s="6" t="n">
        <v>52.0477</v>
      </c>
      <c r="O51" s="6">
        <f>IF(COUNT(N51:N52)=2,(N51/N52-1)*100,"")</f>
        <v/>
      </c>
      <c r="P51" s="6" t="n">
        <v>57.17</v>
      </c>
      <c r="Q51" s="6">
        <f>IF(COUNT(P51:P52)=2,(P51/P52-1)*100,"")</f>
        <v/>
      </c>
      <c r="R51" s="6" t="n">
        <v>73.81</v>
      </c>
      <c r="S51" s="6">
        <f>IF(COUNT(R51:R52)=2,(R51/R52-1)*100,"")</f>
        <v/>
      </c>
      <c r="T51" s="6" t="n">
        <v>110.722</v>
      </c>
      <c r="U51" s="6">
        <f>IF(COUNT(T51:T52)=2,(T51/T52-1)*100,"")</f>
        <v/>
      </c>
      <c r="V51" s="6" t="n">
        <v>11.8269</v>
      </c>
      <c r="W51" s="6">
        <f>IF(AND(V51&gt;$W$11,C51&lt;=$W$12),C50,"")</f>
        <v/>
      </c>
      <c r="X51" s="6">
        <f>IF(AND(K51&lt;$X$11,M51&gt;$X$12),C50,"")</f>
        <v/>
      </c>
      <c r="Y51" s="6">
        <f>IF(AND(G51&gt;$Y$11,I51&lt;$Y$12,K51&gt;$Y$12),C50,"")</f>
        <v/>
      </c>
      <c r="Z51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1" s="6">
        <f>IF(AND(S51&gt;$AA$11,U51&lt;$AA$12),E50,"")</f>
        <v/>
      </c>
      <c r="AB51" s="6">
        <f>IF(AND(O51&lt;=$AB$11,E51&lt;$AB$12),E50,"")</f>
        <v/>
      </c>
      <c r="AC51" s="6">
        <f>IF(AND(Q51&gt;$AC$11,S51&gt;$AC$12),E50,"")</f>
        <v/>
      </c>
      <c r="AD51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2">
      <c r="A52" s="6" t="inlineStr">
        <is>
          <t>2026/06/09</t>
        </is>
      </c>
      <c r="B52" s="6" t="n">
        <v>160.13</v>
      </c>
      <c r="C52" s="6">
        <f>IF(COUNT(B52:B53)=2,(B52/B53-1)*100,"")</f>
        <v/>
      </c>
      <c r="D52" s="6" t="n">
        <v>178.67</v>
      </c>
      <c r="E52" s="6">
        <f>IF(COUNT(D52:D53)=2,(D52/D53-1)*100,"")</f>
        <v/>
      </c>
      <c r="F52" s="6" t="n">
        <v>65.47969999999999</v>
      </c>
      <c r="G52" s="6">
        <f>IF(COUNT(F52:F53)=2,(F52/F53-1)*100,"")</f>
        <v/>
      </c>
      <c r="H52" s="6" t="n">
        <v>390.78</v>
      </c>
      <c r="I52" s="6">
        <f>IF(COUNT(H52:H53)=2,(H52/H53-1)*100,"")</f>
        <v/>
      </c>
      <c r="J52" s="6" t="n">
        <v>78.86969999999999</v>
      </c>
      <c r="K52" s="6">
        <f>IF(COUNT(J52:J53)=2,(J52/J53-1)*100,"")</f>
        <v/>
      </c>
      <c r="L52" s="6" t="n">
        <v>107.4744</v>
      </c>
      <c r="M52" s="6">
        <f>IF(COUNT(L52:L53)=2,(L52/L53-1)*100,"")</f>
        <v/>
      </c>
      <c r="N52" s="6" t="n">
        <v>52.2769</v>
      </c>
      <c r="O52" s="6">
        <f>IF(COUNT(N52:N53)=2,(N52/N53-1)*100,"")</f>
        <v/>
      </c>
      <c r="P52" s="6" t="n">
        <v>57.23</v>
      </c>
      <c r="Q52" s="6">
        <f>IF(COUNT(P52:P53)=2,(P52/P53-1)*100,"")</f>
        <v/>
      </c>
      <c r="R52" s="6" t="n">
        <v>77.59</v>
      </c>
      <c r="S52" s="6">
        <f>IF(COUNT(R52:R53)=2,(R52/R53-1)*100,"")</f>
        <v/>
      </c>
      <c r="T52" s="6" t="n">
        <v>111.1907</v>
      </c>
      <c r="U52" s="6">
        <f>IF(COUNT(T52:T53)=2,(T52/T53-1)*100,"")</f>
        <v/>
      </c>
      <c r="V52" s="6" t="n">
        <v>5.0211</v>
      </c>
      <c r="W52" s="6">
        <f>IF(AND(V52&gt;$W$11,C52&lt;=$W$12),C51,"")</f>
        <v/>
      </c>
      <c r="X52" s="6">
        <f>IF(AND(K52&lt;$X$11,M52&gt;$X$12),C51,"")</f>
        <v/>
      </c>
      <c r="Y52" s="6">
        <f>IF(AND(G52&gt;$Y$11,I52&lt;$Y$12,K52&gt;$Y$12),C51,"")</f>
        <v/>
      </c>
      <c r="Z52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2" s="6">
        <f>IF(AND(S52&gt;$AA$11,U52&lt;$AA$12),E51,"")</f>
        <v/>
      </c>
      <c r="AB52" s="6">
        <f>IF(AND(O52&lt;=$AB$11,E52&lt;$AB$12),E51,"")</f>
        <v/>
      </c>
      <c r="AC52" s="6">
        <f>IF(AND(Q52&gt;$AC$11,S52&gt;$AC$12),E51,"")</f>
        <v/>
      </c>
      <c r="AD52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3">
      <c r="A53" s="6" t="inlineStr">
        <is>
          <t>2026/06/08</t>
        </is>
      </c>
      <c r="B53" s="6" t="n">
        <v>163.85</v>
      </c>
      <c r="C53" s="6">
        <f>IF(COUNT(B53:B54)=2,(B53/B54-1)*100,"")</f>
        <v/>
      </c>
      <c r="D53" s="6" t="n">
        <v>179.65</v>
      </c>
      <c r="E53" s="6">
        <f>IF(COUNT(D53:D54)=2,(D53/D54-1)*100,"")</f>
        <v/>
      </c>
      <c r="F53" s="6" t="n">
        <v>65.41</v>
      </c>
      <c r="G53" s="6">
        <f>IF(COUNT(F53:F54)=2,(F53/F54-1)*100,"")</f>
        <v/>
      </c>
      <c r="H53" s="6" t="n">
        <v>397.27</v>
      </c>
      <c r="I53" s="6">
        <f>IF(COUNT(H53:H54)=2,(H53/H54-1)*100,"")</f>
        <v/>
      </c>
      <c r="J53" s="6" t="n">
        <v>78.79049999999999</v>
      </c>
      <c r="K53" s="6">
        <f>IF(COUNT(J53:J54)=2,(J53/J54-1)*100,"")</f>
        <v/>
      </c>
      <c r="L53" s="6" t="n">
        <v>107.2877</v>
      </c>
      <c r="M53" s="6">
        <f>IF(COUNT(L53:L54)=2,(L53/L54-1)*100,"")</f>
        <v/>
      </c>
      <c r="N53" s="6" t="n">
        <v>51.7886</v>
      </c>
      <c r="O53" s="6">
        <f>IF(COUNT(N53:N54)=2,(N53/N54-1)*100,"")</f>
        <v/>
      </c>
      <c r="P53" s="6" t="n">
        <v>57.28</v>
      </c>
      <c r="Q53" s="6">
        <f>IF(COUNT(P53:P54)=2,(P53/P54-1)*100,"")</f>
        <v/>
      </c>
      <c r="R53" s="6" t="n">
        <v>78.67</v>
      </c>
      <c r="S53" s="6">
        <f>IF(COUNT(R53:R54)=2,(R53/R54-1)*100,"")</f>
        <v/>
      </c>
      <c r="T53" s="6" t="n">
        <v>110.8017</v>
      </c>
      <c r="U53" s="6">
        <f>IF(COUNT(T53:T54)=2,(T53/T54-1)*100,"")</f>
        <v/>
      </c>
      <c r="V53" s="6" t="n">
        <v>-12.0409</v>
      </c>
      <c r="W53" s="6">
        <f>IF(AND(V53&gt;$W$11,C53&lt;=$W$12),C52,"")</f>
        <v/>
      </c>
      <c r="X53" s="6">
        <f>IF(AND(K53&lt;$X$11,M53&gt;$X$12),C52,"")</f>
        <v/>
      </c>
      <c r="Y53" s="6">
        <f>IF(AND(G53&gt;$Y$11,I53&lt;$Y$12,K53&gt;$Y$12),C52,"")</f>
        <v/>
      </c>
      <c r="Z53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3" s="6">
        <f>IF(AND(S53&gt;$AA$11,U53&lt;$AA$12),E52,"")</f>
        <v/>
      </c>
      <c r="AB53" s="6">
        <f>IF(AND(O53&lt;=$AB$11,E53&lt;$AB$12),E52,"")</f>
        <v/>
      </c>
      <c r="AC53" s="6">
        <f>IF(AND(Q53&gt;$AC$11,S53&gt;$AC$12),E52,"")</f>
        <v/>
      </c>
      <c r="AD53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4">
      <c r="A54" s="6" t="inlineStr">
        <is>
          <t>2026/06/05</t>
        </is>
      </c>
      <c r="B54" s="6" t="n">
        <v>158.91</v>
      </c>
      <c r="C54" s="6">
        <f>IF(COUNT(B54:B55)=2,(B54/B55-1)*100,"")</f>
        <v/>
      </c>
      <c r="D54" s="6" t="n">
        <v>178.71</v>
      </c>
      <c r="E54" s="6">
        <f>IF(COUNT(D54:D55)=2,(D54/D55-1)*100,"")</f>
        <v/>
      </c>
      <c r="F54" s="6" t="n">
        <v>64.256</v>
      </c>
      <c r="G54" s="6">
        <f>IF(COUNT(F54:F55)=2,(F54/F55-1)*100,"")</f>
        <v/>
      </c>
      <c r="H54" s="6" t="n">
        <v>396.24</v>
      </c>
      <c r="I54" s="6">
        <f>IF(COUNT(H54:H55)=2,(H54/H55-1)*100,"")</f>
        <v/>
      </c>
      <c r="J54" s="6" t="n">
        <v>78.6815</v>
      </c>
      <c r="K54" s="6">
        <f>IF(COUNT(J54:J55)=2,(J54/J55-1)*100,"")</f>
        <v/>
      </c>
      <c r="L54" s="6" t="n">
        <v>107.4056</v>
      </c>
      <c r="M54" s="6">
        <f>IF(COUNT(L54:L55)=2,(L54/L55-1)*100,"")</f>
        <v/>
      </c>
      <c r="N54" s="6" t="n">
        <v>52.1174</v>
      </c>
      <c r="O54" s="6">
        <f>IF(COUNT(N54:N55)=2,(N54/N55-1)*100,"")</f>
        <v/>
      </c>
      <c r="P54" s="6" t="n">
        <v>57.31</v>
      </c>
      <c r="Q54" s="6">
        <f>IF(COUNT(P54:P55)=2,(P54/P55-1)*100,"")</f>
        <v/>
      </c>
      <c r="R54" s="6" t="n">
        <v>78.84</v>
      </c>
      <c r="S54" s="6">
        <f>IF(COUNT(R54:R55)=2,(R54/R55-1)*100,"")</f>
        <v/>
      </c>
      <c r="T54" s="6" t="n">
        <v>111.3802</v>
      </c>
      <c r="U54" s="6">
        <f>IF(COUNT(T54:T55)=2,(T54/T55-1)*100,"")</f>
        <v/>
      </c>
      <c r="V54" s="6" t="n">
        <v>39.6753</v>
      </c>
      <c r="W54" s="6">
        <f>IF(AND(V54&gt;$W$11,C54&lt;=$W$12),C53,"")</f>
        <v/>
      </c>
      <c r="X54" s="6">
        <f>IF(AND(K54&lt;$X$11,M54&gt;$X$12),C53,"")</f>
        <v/>
      </c>
      <c r="Y54" s="6">
        <f>IF(AND(G54&gt;$Y$11,I54&lt;$Y$12,K54&gt;$Y$12),C53,"")</f>
        <v/>
      </c>
      <c r="Z54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4" s="6">
        <f>IF(AND(S54&gt;$AA$11,U54&lt;$AA$12),E53,"")</f>
        <v/>
      </c>
      <c r="AB54" s="6">
        <f>IF(AND(O54&lt;=$AB$11,E54&lt;$AB$12),E53,"")</f>
        <v/>
      </c>
      <c r="AC54" s="6">
        <f>IF(AND(Q54&gt;$AC$11,S54&gt;$AC$12),E53,"")</f>
        <v/>
      </c>
      <c r="AD54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5">
      <c r="A55" s="6" t="inlineStr">
        <is>
          <t>2026/06/04</t>
        </is>
      </c>
      <c r="B55" s="6" t="n">
        <v>175.71</v>
      </c>
      <c r="C55" s="6">
        <f>IF(COUNT(B55:B56)=2,(B55/B56-1)*100,"")</f>
        <v/>
      </c>
      <c r="D55" s="6" t="n">
        <v>188.65</v>
      </c>
      <c r="E55" s="6">
        <f>IF(COUNT(D55:D56)=2,(D55/D56-1)*100,"")</f>
        <v/>
      </c>
      <c r="F55" s="6" t="n">
        <v>68.7427</v>
      </c>
      <c r="G55" s="6">
        <f>IF(COUNT(F55:F56)=2,(F55/F56-1)*100,"")</f>
        <v/>
      </c>
      <c r="H55" s="6" t="n">
        <v>411.27</v>
      </c>
      <c r="I55" s="6">
        <f>IF(COUNT(H55:H56)=2,(H55/H56-1)*100,"")</f>
        <v/>
      </c>
      <c r="J55" s="6" t="n">
        <v>79.07769999999999</v>
      </c>
      <c r="K55" s="6">
        <f>IF(COUNT(J55:J56)=2,(J55/J56-1)*100,"")</f>
        <v/>
      </c>
      <c r="L55" s="6" t="n">
        <v>107.9267</v>
      </c>
      <c r="M55" s="6">
        <f>IF(COUNT(L55:L56)=2,(L55/L56-1)*100,"")</f>
        <v/>
      </c>
      <c r="N55" s="6" t="n">
        <v>52.0078</v>
      </c>
      <c r="O55" s="6">
        <f>IF(COUNT(N55:N56)=2,(N55/N56-1)*100,"")</f>
        <v/>
      </c>
      <c r="P55" s="6" t="n">
        <v>57.35</v>
      </c>
      <c r="Q55" s="6">
        <f>IF(COUNT(P55:P56)=2,(P55/P56-1)*100,"")</f>
        <v/>
      </c>
      <c r="R55" s="6" t="n">
        <v>86.40000000000001</v>
      </c>
      <c r="S55" s="6">
        <f>IF(COUNT(R55:R56)=2,(R55/R56-1)*100,"")</f>
        <v/>
      </c>
      <c r="T55" s="6" t="n">
        <v>112.8165</v>
      </c>
      <c r="U55" s="6">
        <f>IF(COUNT(T55:T56)=2,(T55/T56-1)*100,"")</f>
        <v/>
      </c>
      <c r="V55" s="6" t="n">
        <v>-4.1096</v>
      </c>
      <c r="W55" s="6">
        <f>IF(AND(V55&gt;$W$11,C55&lt;=$W$12),C54,"")</f>
        <v/>
      </c>
      <c r="X55" s="6">
        <f>IF(AND(K55&lt;$X$11,M55&gt;$X$12),C54,"")</f>
        <v/>
      </c>
      <c r="Y55" s="6">
        <f>IF(AND(G55&gt;$Y$11,I55&lt;$Y$12,K55&gt;$Y$12),C54,"")</f>
        <v/>
      </c>
      <c r="Z55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5" s="6">
        <f>IF(AND(S55&gt;$AA$11,U55&lt;$AA$12),E54,"")</f>
        <v/>
      </c>
      <c r="AB55" s="6">
        <f>IF(AND(O55&lt;=$AB$11,E55&lt;$AB$12),E54,"")</f>
        <v/>
      </c>
      <c r="AC55" s="6">
        <f>IF(AND(Q55&gt;$AC$11,S55&gt;$AC$12),E54,"")</f>
        <v/>
      </c>
      <c r="AD55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6">
      <c r="A56" s="6" t="inlineStr">
        <is>
          <t>2026/06/03</t>
        </is>
      </c>
      <c r="B56" s="6" t="n">
        <v>177.54</v>
      </c>
      <c r="C56" s="6">
        <f>IF(COUNT(B56:B57)=2,(B56/B57-1)*100,"")</f>
        <v/>
      </c>
      <c r="D56" s="6" t="n">
        <v>187.13</v>
      </c>
      <c r="E56" s="6">
        <f>IF(COUNT(D56:D57)=2,(D56/D57-1)*100,"")</f>
        <v/>
      </c>
      <c r="F56" s="6" t="n">
        <v>69.55840000000001</v>
      </c>
      <c r="G56" s="6">
        <f>IF(COUNT(F56:F57)=2,(F56/F57-1)*100,"")</f>
        <v/>
      </c>
      <c r="H56" s="6" t="n">
        <v>407.87</v>
      </c>
      <c r="I56" s="6">
        <f>IF(COUNT(H56:H57)=2,(H56/H57-1)*100,"")</f>
        <v/>
      </c>
      <c r="J56" s="6" t="n">
        <v>78.92910000000001</v>
      </c>
      <c r="K56" s="6">
        <f>IF(COUNT(J56:J57)=2,(J56/J57-1)*100,"")</f>
        <v/>
      </c>
      <c r="L56" s="6" t="n">
        <v>107.9168</v>
      </c>
      <c r="M56" s="6">
        <f>IF(COUNT(L56:L57)=2,(L56/L57-1)*100,"")</f>
        <v/>
      </c>
      <c r="N56" s="6" t="n">
        <v>50.6924</v>
      </c>
      <c r="O56" s="6">
        <f>IF(COUNT(N56:N57)=2,(N56/N57-1)*100,"")</f>
        <v/>
      </c>
      <c r="P56" s="6" t="n">
        <v>57.34</v>
      </c>
      <c r="Q56" s="6">
        <f>IF(COUNT(P56:P57)=2,(P56/P57-1)*100,"")</f>
        <v/>
      </c>
      <c r="R56" s="6" t="n">
        <v>85</v>
      </c>
      <c r="S56" s="6">
        <f>IF(COUNT(R56:R57)=2,(R56/R57-1)*100,"")</f>
        <v/>
      </c>
      <c r="T56" s="6" t="n">
        <v>111.7892</v>
      </c>
      <c r="U56" s="6">
        <f>IF(COUNT(T56:T57)=2,(T56/T57-1)*100,"")</f>
        <v/>
      </c>
      <c r="V56" s="6" t="n">
        <v>1.8389</v>
      </c>
      <c r="W56" s="6">
        <f>IF(AND(V56&gt;$W$11,C56&lt;=$W$12),C55,"")</f>
        <v/>
      </c>
      <c r="X56" s="6">
        <f>IF(AND(K56&lt;$X$11,M56&gt;$X$12),C55,"")</f>
        <v/>
      </c>
      <c r="Y56" s="6">
        <f>IF(AND(G56&gt;$Y$11,I56&lt;$Y$12,K56&gt;$Y$12),C55,"")</f>
        <v/>
      </c>
      <c r="Z56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6" s="6">
        <f>IF(AND(S56&gt;$AA$11,U56&lt;$AA$12),E55,"")</f>
        <v/>
      </c>
      <c r="AB56" s="6">
        <f>IF(AND(O56&lt;=$AB$11,E56&lt;$AB$12),E55,"")</f>
        <v/>
      </c>
      <c r="AC56" s="6">
        <f>IF(AND(Q56&gt;$AC$11,S56&gt;$AC$12),E55,"")</f>
        <v/>
      </c>
      <c r="AD56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7">
      <c r="A57" s="6" t="inlineStr">
        <is>
          <t>2026/06/02</t>
        </is>
      </c>
      <c r="B57" s="6" t="n">
        <v>178.58</v>
      </c>
      <c r="C57" s="6">
        <f>IF(COUNT(B57:B58)=2,(B57/B58-1)*100,"")</f>
        <v/>
      </c>
      <c r="D57" s="6" t="n">
        <v>189.9</v>
      </c>
      <c r="E57" s="6">
        <f>IF(COUNT(D57:D58)=2,(D57/D58-1)*100,"")</f>
        <v/>
      </c>
      <c r="F57" s="6" t="n">
        <v>70.43389999999999</v>
      </c>
      <c r="G57" s="6">
        <f>IF(COUNT(F57:F58)=2,(F57/F58-1)*100,"")</f>
        <v/>
      </c>
      <c r="H57" s="6" t="n">
        <v>411.95</v>
      </c>
      <c r="I57" s="6">
        <f>IF(COUNT(H57:H58)=2,(H57/H58-1)*100,"")</f>
        <v/>
      </c>
      <c r="J57" s="6" t="n">
        <v>79.14709999999999</v>
      </c>
      <c r="K57" s="6">
        <f>IF(COUNT(J57:J58)=2,(J57/J58-1)*100,"")</f>
        <v/>
      </c>
      <c r="L57" s="6" t="n">
        <v>108.1135</v>
      </c>
      <c r="M57" s="6">
        <f>IF(COUNT(L57:L58)=2,(L57/L58-1)*100,"")</f>
        <v/>
      </c>
      <c r="N57" s="6" t="n">
        <v>51.2804</v>
      </c>
      <c r="O57" s="6">
        <f>IF(COUNT(N57:N58)=2,(N57/N58-1)*100,"")</f>
        <v/>
      </c>
      <c r="P57" s="6" t="n">
        <v>57.43</v>
      </c>
      <c r="Q57" s="6">
        <f>IF(COUNT(P57:P58)=2,(P57/P58-1)*100,"")</f>
        <v/>
      </c>
      <c r="R57" s="6" t="n">
        <v>88.05</v>
      </c>
      <c r="S57" s="6">
        <f>IF(COUNT(R57:R58)=2,(R57/R58-1)*100,"")</f>
        <v/>
      </c>
      <c r="T57" s="6" t="n">
        <v>113.2753</v>
      </c>
      <c r="U57" s="6">
        <f>IF(COUNT(T57:T58)=2,(T57/T58-1)*100,"")</f>
        <v/>
      </c>
      <c r="V57" s="6" t="n">
        <v>-1.7445</v>
      </c>
      <c r="W57" s="6">
        <f>IF(AND(V57&gt;$W$11,C57&lt;=$W$12),C56,"")</f>
        <v/>
      </c>
      <c r="X57" s="6">
        <f>IF(AND(K57&lt;$X$11,M57&gt;$X$12),C56,"")</f>
        <v/>
      </c>
      <c r="Y57" s="6">
        <f>IF(AND(G57&gt;$Y$11,I57&lt;$Y$12,K57&gt;$Y$12),C56,"")</f>
        <v/>
      </c>
      <c r="Z57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7" s="6">
        <f>IF(AND(S57&gt;$AA$11,U57&lt;$AA$12),E56,"")</f>
        <v/>
      </c>
      <c r="AB57" s="6">
        <f>IF(AND(O57&lt;=$AB$11,E57&lt;$AB$12),E56,"")</f>
        <v/>
      </c>
      <c r="AC57" s="6">
        <f>IF(AND(Q57&gt;$AC$11,S57&gt;$AC$12),E56,"")</f>
        <v/>
      </c>
      <c r="AD57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8">
      <c r="A58" s="6" t="inlineStr">
        <is>
          <t>2026/06/01</t>
        </is>
      </c>
      <c r="B58" s="6" t="n">
        <v>176.92</v>
      </c>
      <c r="C58" s="6">
        <f>IF(COUNT(B58:B59)=2,(B58/B59-1)*100,"")</f>
        <v/>
      </c>
      <c r="D58" s="6" t="n">
        <v>189.42</v>
      </c>
      <c r="E58" s="6">
        <f>IF(COUNT(D58:D59)=2,(D58/D59-1)*100,"")</f>
        <v/>
      </c>
      <c r="F58" s="6" t="n">
        <v>69.7176</v>
      </c>
      <c r="G58" s="6">
        <f>IF(COUNT(F58:F59)=2,(F58/F59-1)*100,"")</f>
        <v/>
      </c>
      <c r="H58" s="6" t="n">
        <v>411.26</v>
      </c>
      <c r="I58" s="6">
        <f>IF(COUNT(H58:H59)=2,(H58/H59-1)*100,"")</f>
        <v/>
      </c>
      <c r="J58" s="6" t="n">
        <v>79.08759999999999</v>
      </c>
      <c r="K58" s="6">
        <f>IF(COUNT(J58:J59)=2,(J58/J59-1)*100,"")</f>
        <v/>
      </c>
      <c r="L58" s="6" t="n">
        <v>108.1233</v>
      </c>
      <c r="M58" s="6">
        <f>IF(COUNT(L58:L59)=2,(L58/L59-1)*100,"")</f>
        <v/>
      </c>
      <c r="N58" s="6" t="n">
        <v>51.2505</v>
      </c>
      <c r="O58" s="6">
        <f>IF(COUNT(N58:N59)=2,(N58/N59-1)*100,"")</f>
        <v/>
      </c>
      <c r="P58" s="6" t="n">
        <v>57.51</v>
      </c>
      <c r="Q58" s="6">
        <f>IF(COUNT(P58:P59)=2,(P58/P59-1)*100,"")</f>
        <v/>
      </c>
      <c r="R58" s="6" t="n">
        <v>86.68000000000001</v>
      </c>
      <c r="S58" s="6">
        <f>IF(COUNT(R58:R59)=2,(R58/R59-1)*100,"")</f>
        <v/>
      </c>
      <c r="T58" s="6" t="n">
        <v>115.31</v>
      </c>
      <c r="U58" s="6">
        <f>IF(COUNT(T58:T59)=2,(T58/T59-1)*100,"")</f>
        <v/>
      </c>
      <c r="V58" s="6" t="n">
        <v>4.765</v>
      </c>
      <c r="W58" s="6">
        <f>IF(AND(V58&gt;$W$11,C58&lt;=$W$12),C57,"")</f>
        <v/>
      </c>
      <c r="X58" s="6">
        <f>IF(AND(K58&lt;$X$11,M58&gt;$X$12),C57,"")</f>
        <v/>
      </c>
      <c r="Y58" s="6">
        <f>IF(AND(G58&gt;$Y$11,I58&lt;$Y$12,K58&gt;$Y$12),C57,"")</f>
        <v/>
      </c>
      <c r="Z58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8" s="6">
        <f>IF(AND(S58&gt;$AA$11,U58&lt;$AA$12),E57,"")</f>
        <v/>
      </c>
      <c r="AB58" s="6">
        <f>IF(AND(O58&lt;=$AB$11,E58&lt;$AB$12),E57,"")</f>
        <v/>
      </c>
      <c r="AC58" s="6">
        <f>IF(AND(Q58&gt;$AC$11,S58&gt;$AC$12),E57,"")</f>
        <v/>
      </c>
      <c r="AD58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59">
      <c r="A59" s="6" t="inlineStr">
        <is>
          <t>2026/05/29</t>
        </is>
      </c>
      <c r="B59" s="6" t="n">
        <v>174.92</v>
      </c>
      <c r="C59" s="6">
        <f>IF(COUNT(B59:B60)=2,(B59/B60-1)*100,"")</f>
        <v/>
      </c>
      <c r="D59" s="6" t="n">
        <v>188.5</v>
      </c>
      <c r="E59" s="6">
        <f>IF(COUNT(D59:D60)=2,(D59/D60-1)*100,"")</f>
        <v/>
      </c>
      <c r="F59" s="6" t="n">
        <v>68.2453</v>
      </c>
      <c r="G59" s="6">
        <f>IF(COUNT(F59:F60)=2,(F59/F60-1)*100,"")</f>
        <v/>
      </c>
      <c r="H59" s="6" t="n">
        <v>417.12</v>
      </c>
      <c r="I59" s="6">
        <f>IF(COUNT(H59:H60)=2,(H59/H60-1)*100,"")</f>
        <v/>
      </c>
      <c r="J59" s="6" t="n">
        <v>79.1481</v>
      </c>
      <c r="K59" s="6">
        <f>IF(COUNT(J59:J60)=2,(J59/J60-1)*100,"")</f>
        <v/>
      </c>
      <c r="L59" s="6" t="n">
        <v>108.0761</v>
      </c>
      <c r="M59" s="6">
        <f>IF(COUNT(L59:L60)=2,(L59/L60-1)*100,"")</f>
        <v/>
      </c>
      <c r="N59" s="6" t="n">
        <v>51.3999</v>
      </c>
      <c r="O59" s="6">
        <f>IF(COUNT(N59:N60)=2,(N59/N60-1)*100,"")</f>
        <v/>
      </c>
      <c r="P59" s="6" t="n">
        <v>57.62</v>
      </c>
      <c r="Q59" s="6">
        <f>IF(COUNT(P59:P60)=2,(P59/P60-1)*100,"")</f>
        <v/>
      </c>
      <c r="R59" s="6" t="n">
        <v>89.48999999999999</v>
      </c>
      <c r="S59" s="6">
        <f>IF(COUNT(R59:R60)=2,(R59/R60-1)*100,"")</f>
        <v/>
      </c>
      <c r="T59" s="6" t="n">
        <v>115.3898</v>
      </c>
      <c r="U59" s="6">
        <f>IF(COUNT(T59:T60)=2,(T59/T60-1)*100,"")</f>
        <v/>
      </c>
      <c r="V59" s="6" t="n">
        <v>-2.6684</v>
      </c>
      <c r="W59" s="6">
        <f>IF(AND(V59&gt;$W$11,C59&lt;=$W$12),C58,"")</f>
        <v/>
      </c>
      <c r="X59" s="6">
        <f>IF(AND(K59&lt;$X$11,M59&gt;$X$12),C58,"")</f>
        <v/>
      </c>
      <c r="Y59" s="6">
        <f>IF(AND(G59&gt;$Y$11,I59&lt;$Y$12,K59&gt;$Y$12),C58,"")</f>
        <v/>
      </c>
      <c r="Z59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59" s="6">
        <f>IF(AND(S59&gt;$AA$11,U59&lt;$AA$12),E58,"")</f>
        <v/>
      </c>
      <c r="AB59" s="6">
        <f>IF(AND(O59&lt;=$AB$11,E59&lt;$AB$12),E58,"")</f>
        <v/>
      </c>
      <c r="AC59" s="6">
        <f>IF(AND(Q59&gt;$AC$11,S59&gt;$AC$12),E58,"")</f>
        <v/>
      </c>
      <c r="AD59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0">
      <c r="A60" s="6" t="inlineStr">
        <is>
          <t>2026/05/28</t>
        </is>
      </c>
      <c r="B60" s="6" t="n">
        <v>173.68</v>
      </c>
      <c r="C60" s="6">
        <f>IF(COUNT(B60:B61)=2,(B60/B61-1)*100,"")</f>
        <v/>
      </c>
      <c r="D60" s="6" t="n">
        <v>187.68</v>
      </c>
      <c r="E60" s="6">
        <f>IF(COUNT(D60:D61)=2,(D60/D61-1)*100,"")</f>
        <v/>
      </c>
      <c r="F60" s="6" t="n">
        <v>68.2552</v>
      </c>
      <c r="G60" s="6">
        <f>IF(COUNT(F60:F61)=2,(F60/F61-1)*100,"")</f>
        <v/>
      </c>
      <c r="H60" s="6" t="n">
        <v>412.77</v>
      </c>
      <c r="I60" s="6">
        <f>IF(COUNT(H60:H61)=2,(H60/H61-1)*100,"")</f>
        <v/>
      </c>
      <c r="J60" s="6" t="n">
        <v>79.0692</v>
      </c>
      <c r="K60" s="6">
        <f>IF(COUNT(J60:J61)=2,(J60/J61-1)*100,"")</f>
        <v/>
      </c>
      <c r="L60" s="6" t="n">
        <v>108.047</v>
      </c>
      <c r="M60" s="6">
        <f>IF(COUNT(L60:L61)=2,(L60/L61-1)*100,"")</f>
        <v/>
      </c>
      <c r="N60" s="6" t="n">
        <v>51.091</v>
      </c>
      <c r="O60" s="6">
        <f>IF(COUNT(N60:N61)=2,(N60/N61-1)*100,"")</f>
        <v/>
      </c>
      <c r="P60" s="6" t="n">
        <v>57.65</v>
      </c>
      <c r="Q60" s="6">
        <f>IF(COUNT(P60:P61)=2,(P60/P61-1)*100,"")</f>
        <v/>
      </c>
      <c r="R60" s="6" t="n">
        <v>87.18000000000001</v>
      </c>
      <c r="S60" s="6">
        <f>IF(COUNT(R60:R61)=2,(R60/R61-1)*100,"")</f>
        <v/>
      </c>
      <c r="T60" s="6" t="n">
        <v>116.3673</v>
      </c>
      <c r="U60" s="6">
        <f>IF(COUNT(T60:T61)=2,(T60/T61-1)*100,"")</f>
        <v/>
      </c>
      <c r="V60" s="6" t="n">
        <v>-3.3763</v>
      </c>
      <c r="W60" s="6">
        <f>IF(AND(V60&gt;$W$11,C60&lt;=$W$12),C59,"")</f>
        <v/>
      </c>
      <c r="X60" s="6">
        <f>IF(AND(K60&lt;$X$11,M60&gt;$X$12),C59,"")</f>
        <v/>
      </c>
      <c r="Y60" s="6">
        <f>IF(AND(G60&gt;$Y$11,I60&lt;$Y$12,K60&gt;$Y$12),C59,"")</f>
        <v/>
      </c>
      <c r="Z60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0" s="6">
        <f>IF(AND(S60&gt;$AA$11,U60&lt;$AA$12),E59,"")</f>
        <v/>
      </c>
      <c r="AB60" s="6">
        <f>IF(AND(O60&lt;=$AB$11,E60&lt;$AB$12),E59,"")</f>
        <v/>
      </c>
      <c r="AC60" s="6">
        <f>IF(AND(Q60&gt;$AC$11,S60&gt;$AC$12),E59,"")</f>
        <v/>
      </c>
      <c r="AD60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1">
      <c r="A61" s="6" t="inlineStr">
        <is>
          <t>2026/05/27</t>
        </is>
      </c>
      <c r="B61" s="6" t="n">
        <v>170.84</v>
      </c>
      <c r="C61" s="6">
        <f>IF(COUNT(B61:B62)=2,(B61/B62-1)*100,"")</f>
        <v/>
      </c>
      <c r="D61" s="6" t="n">
        <v>185.59</v>
      </c>
      <c r="E61" s="6">
        <f>IF(COUNT(D61:D62)=2,(D61/D62-1)*100,"")</f>
        <v/>
      </c>
      <c r="F61" s="6" t="n">
        <v>68.0364</v>
      </c>
      <c r="G61" s="6">
        <f>IF(COUNT(F61:F62)=2,(F61/F62-1)*100,"")</f>
        <v/>
      </c>
      <c r="H61" s="6" t="n">
        <v>408.49</v>
      </c>
      <c r="I61" s="6">
        <f>IF(COUNT(H61:H62)=2,(H61/H62-1)*100,"")</f>
        <v/>
      </c>
      <c r="J61" s="6" t="n">
        <v>78.97069999999999</v>
      </c>
      <c r="K61" s="6">
        <f>IF(COUNT(J61:J62)=2,(J61/J62-1)*100,"")</f>
        <v/>
      </c>
      <c r="L61" s="6" t="n">
        <v>107.7554</v>
      </c>
      <c r="M61" s="6">
        <f>IF(COUNT(L61:L62)=2,(L61/L62-1)*100,"")</f>
        <v/>
      </c>
      <c r="N61" s="6" t="n">
        <v>51.2405</v>
      </c>
      <c r="O61" s="6">
        <f>IF(COUNT(N61:N62)=2,(N61/N62-1)*100,"")</f>
        <v/>
      </c>
      <c r="P61" s="6" t="n">
        <v>57.54</v>
      </c>
      <c r="Q61" s="6">
        <f>IF(COUNT(P61:P62)=2,(P61/P62-1)*100,"")</f>
        <v/>
      </c>
      <c r="R61" s="6" t="n">
        <v>85.44</v>
      </c>
      <c r="S61" s="6">
        <f>IF(COUNT(R61:R62)=2,(R61/R62-1)*100,"")</f>
        <v/>
      </c>
      <c r="T61" s="6" t="n">
        <v>115.9583</v>
      </c>
      <c r="U61" s="6">
        <f>IF(COUNT(T61:T62)=2,(T61/T62-1)*100,"")</f>
        <v/>
      </c>
      <c r="V61" s="6" t="n">
        <v>-4.2328</v>
      </c>
      <c r="W61" s="6">
        <f>IF(AND(V61&gt;$W$11,C61&lt;=$W$12),C60,"")</f>
        <v/>
      </c>
      <c r="X61" s="6">
        <f>IF(AND(K61&lt;$X$11,M61&gt;$X$12),C60,"")</f>
        <v/>
      </c>
      <c r="Y61" s="6">
        <f>IF(AND(G61&gt;$Y$11,I61&lt;$Y$12,K61&gt;$Y$12),C60,"")</f>
        <v/>
      </c>
      <c r="Z61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1" s="6">
        <f>IF(AND(S61&gt;$AA$11,U61&lt;$AA$12),E60,"")</f>
        <v/>
      </c>
      <c r="AB61" s="6">
        <f>IF(AND(O61&lt;=$AB$11,E61&lt;$AB$12),E60,"")</f>
        <v/>
      </c>
      <c r="AC61" s="6">
        <f>IF(AND(Q61&gt;$AC$11,S61&gt;$AC$12),E60,"")</f>
        <v/>
      </c>
      <c r="AD61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2">
      <c r="A62" s="6" t="inlineStr">
        <is>
          <t>2026/05/26</t>
        </is>
      </c>
      <c r="B62" s="6" t="n">
        <v>171.19</v>
      </c>
      <c r="C62" s="6">
        <f>IF(COUNT(B62:B63)=2,(B62/B63-1)*100,"")</f>
        <v/>
      </c>
      <c r="D62" s="6" t="n">
        <v>185.57</v>
      </c>
      <c r="E62" s="6">
        <f>IF(COUNT(D62:D63)=2,(D62/D63-1)*100,"")</f>
        <v/>
      </c>
      <c r="F62" s="6" t="n">
        <v>68.0463</v>
      </c>
      <c r="G62" s="6">
        <f>IF(COUNT(F62:F63)=2,(F62/F63-1)*100,"")</f>
        <v/>
      </c>
      <c r="H62" s="6" t="n">
        <v>414</v>
      </c>
      <c r="I62" s="6">
        <f>IF(COUNT(H62:H63)=2,(H62/H63-1)*100,"")</f>
        <v/>
      </c>
      <c r="J62" s="6" t="n">
        <v>79.01990000000001</v>
      </c>
      <c r="K62" s="6">
        <f>IF(COUNT(J62:J63)=2,(J62/J63-1)*100,"")</f>
        <v/>
      </c>
      <c r="L62" s="6" t="n">
        <v>107.6971</v>
      </c>
      <c r="M62" s="6">
        <f>IF(COUNT(L62:L63)=2,(L62/L63-1)*100,"")</f>
        <v/>
      </c>
      <c r="N62" s="6" t="n">
        <v>51.669</v>
      </c>
      <c r="O62" s="6">
        <f>IF(COUNT(N62:N63)=2,(N62/N63-1)*100,"")</f>
        <v/>
      </c>
      <c r="P62" s="6" t="n">
        <v>57.63</v>
      </c>
      <c r="Q62" s="6">
        <f>IF(COUNT(P62:P63)=2,(P62/P63-1)*100,"")</f>
        <v/>
      </c>
      <c r="R62" s="6" t="n">
        <v>88.5</v>
      </c>
      <c r="S62" s="6">
        <f>IF(COUNT(R62:R63)=2,(R62/R63-1)*100,"")</f>
        <v/>
      </c>
      <c r="T62" s="6" t="n">
        <v>115.2502</v>
      </c>
      <c r="U62" s="6">
        <f>IF(COUNT(T62:T63)=2,(T62/T63-1)*100,"")</f>
        <v/>
      </c>
      <c r="V62" s="6" t="n">
        <v>1.8563</v>
      </c>
      <c r="W62" s="6">
        <f>IF(AND(V62&gt;$W$11,C62&lt;=$W$12),C61,"")</f>
        <v/>
      </c>
      <c r="X62" s="6">
        <f>IF(AND(K62&lt;$X$11,M62&gt;$X$12),C61,"")</f>
        <v/>
      </c>
      <c r="Y62" s="6">
        <f>IF(AND(G62&gt;$Y$11,I62&lt;$Y$12,K62&gt;$Y$12),C61,"")</f>
        <v/>
      </c>
      <c r="Z62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2" s="6">
        <f>IF(AND(S62&gt;$AA$11,U62&lt;$AA$12),E61,"")</f>
        <v/>
      </c>
      <c r="AB62" s="6">
        <f>IF(AND(O62&lt;=$AB$11,E62&lt;$AB$12),E61,"")</f>
        <v/>
      </c>
      <c r="AC62" s="6">
        <f>IF(AND(Q62&gt;$AC$11,S62&gt;$AC$12),E61,"")</f>
        <v/>
      </c>
      <c r="AD62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3">
      <c r="A63" s="6" t="inlineStr">
        <is>
          <t>2026/05/22</t>
        </is>
      </c>
      <c r="B63" s="6" t="n">
        <v>165.46</v>
      </c>
      <c r="C63" s="6">
        <f>IF(COUNT(B63:B64)=2,(B63/B64-1)*100,"")</f>
        <v/>
      </c>
      <c r="D63" s="6" t="n">
        <v>183.39</v>
      </c>
      <c r="E63" s="6">
        <f>IF(COUNT(D63:D64)=2,(D63/D64-1)*100,"")</f>
        <v/>
      </c>
      <c r="F63" s="6" t="n">
        <v>65.5393</v>
      </c>
      <c r="G63" s="6">
        <f>IF(COUNT(F63:F64)=2,(F63/F64-1)*100,"")</f>
        <v/>
      </c>
      <c r="H63" s="6" t="n">
        <v>413.82</v>
      </c>
      <c r="I63" s="6">
        <f>IF(COUNT(H63:H64)=2,(H63/H64-1)*100,"")</f>
        <v/>
      </c>
      <c r="J63" s="6" t="n">
        <v>78.7539</v>
      </c>
      <c r="K63" s="6">
        <f>IF(COUNT(J63:J64)=2,(J63/J64-1)*100,"")</f>
        <v/>
      </c>
      <c r="L63" s="6" t="n">
        <v>107.2695</v>
      </c>
      <c r="M63" s="6">
        <f>IF(COUNT(L63:L64)=2,(L63/L64-1)*100,"")</f>
        <v/>
      </c>
      <c r="N63" s="6" t="n">
        <v>51.7587</v>
      </c>
      <c r="O63" s="6">
        <f>IF(COUNT(N63:N64)=2,(N63/N64-1)*100,"")</f>
        <v/>
      </c>
      <c r="P63" s="6" t="n">
        <v>57.7</v>
      </c>
      <c r="Q63" s="6">
        <f>IF(COUNT(P63:P64)=2,(P63/P64-1)*100,"")</f>
        <v/>
      </c>
      <c r="R63" s="6" t="n">
        <v>85.02</v>
      </c>
      <c r="S63" s="6">
        <f>IF(COUNT(R63:R64)=2,(R63/R64-1)*100,"")</f>
        <v/>
      </c>
      <c r="T63" s="6" t="n">
        <v>115.1604</v>
      </c>
      <c r="U63" s="6">
        <f>IF(COUNT(T63:T64)=2,(T63/T64-1)*100,"")</f>
        <v/>
      </c>
      <c r="V63" s="6" t="n">
        <v>-0.358</v>
      </c>
      <c r="W63" s="6">
        <f>IF(AND(V63&gt;$W$11,C63&lt;=$W$12),C62,"")</f>
        <v/>
      </c>
      <c r="X63" s="6">
        <f>IF(AND(K63&lt;$X$11,M63&gt;$X$12),C62,"")</f>
        <v/>
      </c>
      <c r="Y63" s="6">
        <f>IF(AND(G63&gt;$Y$11,I63&lt;$Y$12,K63&gt;$Y$12),C62,"")</f>
        <v/>
      </c>
      <c r="Z63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3" s="6">
        <f>IF(AND(S63&gt;$AA$11,U63&lt;$AA$12),E62,"")</f>
        <v/>
      </c>
      <c r="AB63" s="6">
        <f>IF(AND(O63&lt;=$AB$11,E63&lt;$AB$12),E62,"")</f>
        <v/>
      </c>
      <c r="AC63" s="6">
        <f>IF(AND(Q63&gt;$AC$11,S63&gt;$AC$12),E62,"")</f>
        <v/>
      </c>
      <c r="AD63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4">
      <c r="A64" s="6" t="inlineStr">
        <is>
          <t>2026/05/21</t>
        </is>
      </c>
      <c r="B64" s="6" t="n">
        <v>164.1</v>
      </c>
      <c r="C64" s="6">
        <f>IF(COUNT(B64:B65)=2,(B64/B65-1)*100,"")</f>
        <v/>
      </c>
      <c r="D64" s="6" t="n">
        <v>182.04</v>
      </c>
      <c r="E64" s="6">
        <f>IF(COUNT(D64:D65)=2,(D64/D65-1)*100,"")</f>
        <v/>
      </c>
      <c r="F64" s="6" t="n">
        <v>65.68859999999999</v>
      </c>
      <c r="G64" s="6">
        <f>IF(COUNT(F64:F65)=2,(F64/F65-1)*100,"")</f>
        <v/>
      </c>
      <c r="H64" s="6" t="n">
        <v>416.99</v>
      </c>
      <c r="I64" s="6">
        <f>IF(COUNT(H64:H65)=2,(H64/H65-1)*100,"")</f>
        <v/>
      </c>
      <c r="J64" s="6" t="n">
        <v>78.744</v>
      </c>
      <c r="K64" s="6">
        <f>IF(COUNT(J64:J65)=2,(J64/J65-1)*100,"")</f>
        <v/>
      </c>
      <c r="L64" s="6" t="n">
        <v>107.2598</v>
      </c>
      <c r="M64" s="6">
        <f>IF(COUNT(L64:L65)=2,(L64/L65-1)*100,"")</f>
        <v/>
      </c>
      <c r="N64" s="6" t="n">
        <v>51.5494</v>
      </c>
      <c r="O64" s="6">
        <f>IF(COUNT(N64:N65)=2,(N64/N65-1)*100,"")</f>
        <v/>
      </c>
      <c r="P64" s="6" t="n">
        <v>57.77</v>
      </c>
      <c r="Q64" s="6">
        <f>IF(COUNT(P64:P65)=2,(P64/P65-1)*100,"")</f>
        <v/>
      </c>
      <c r="R64" s="6" t="n">
        <v>85.98999999999999</v>
      </c>
      <c r="S64" s="6">
        <f>IF(COUNT(R64:R65)=2,(R64/R65-1)*100,"")</f>
        <v/>
      </c>
      <c r="T64" s="6" t="n">
        <v>115.7987</v>
      </c>
      <c r="U64" s="6">
        <f>IF(COUNT(T64:T65)=2,(T64/T65-1)*100,"")</f>
        <v/>
      </c>
      <c r="V64" s="6" t="n">
        <v>-3.8991</v>
      </c>
      <c r="W64" s="6">
        <f>IF(AND(V64&gt;$W$11,C64&lt;=$W$12),C63,"")</f>
        <v/>
      </c>
      <c r="X64" s="6">
        <f>IF(AND(K64&lt;$X$11,M64&gt;$X$12),C63,"")</f>
        <v/>
      </c>
      <c r="Y64" s="6">
        <f>IF(AND(G64&gt;$Y$11,I64&lt;$Y$12,K64&gt;$Y$12),C63,"")</f>
        <v/>
      </c>
      <c r="Z64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4" s="6">
        <f>IF(AND(S64&gt;$AA$11,U64&lt;$AA$12),E63,"")</f>
        <v/>
      </c>
      <c r="AB64" s="6">
        <f>IF(AND(O64&lt;=$AB$11,E64&lt;$AB$12),E63,"")</f>
        <v/>
      </c>
      <c r="AC64" s="6">
        <f>IF(AND(Q64&gt;$AC$11,S64&gt;$AC$12),E63,"")</f>
        <v/>
      </c>
      <c r="AD64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5">
      <c r="A65" s="6" t="inlineStr">
        <is>
          <t>2026/05/20</t>
        </is>
      </c>
      <c r="B65" s="6" t="n">
        <v>163.44</v>
      </c>
      <c r="C65" s="6">
        <f>IF(COUNT(B65:B66)=2,(B65/B66-1)*100,"")</f>
        <v/>
      </c>
      <c r="D65" s="6" t="n">
        <v>181.4</v>
      </c>
      <c r="E65" s="6">
        <f>IF(COUNT(D65:D66)=2,(D65/D66-1)*100,"")</f>
        <v/>
      </c>
      <c r="F65" s="6" t="n">
        <v>65.1215</v>
      </c>
      <c r="G65" s="6">
        <f>IF(COUNT(F65:F66)=2,(F65/F66-1)*100,"")</f>
        <v/>
      </c>
      <c r="H65" s="6" t="n">
        <v>417.4</v>
      </c>
      <c r="I65" s="6">
        <f>IF(COUNT(H65:H66)=2,(H65/H66-1)*100,"")</f>
        <v/>
      </c>
      <c r="J65" s="6" t="n">
        <v>78.7046</v>
      </c>
      <c r="K65" s="6">
        <f>IF(COUNT(J65:J66)=2,(J65/J66-1)*100,"")</f>
        <v/>
      </c>
      <c r="L65" s="6" t="n">
        <v>107.2598</v>
      </c>
      <c r="M65" s="6">
        <f>IF(COUNT(L65:L66)=2,(L65/L66-1)*100,"")</f>
        <v/>
      </c>
      <c r="N65" s="6" t="n">
        <v>51.4797</v>
      </c>
      <c r="O65" s="6">
        <f>IF(COUNT(N65:N66)=2,(N65/N66-1)*100,"")</f>
        <v/>
      </c>
      <c r="P65" s="6" t="n">
        <v>57.78</v>
      </c>
      <c r="Q65" s="6">
        <f>IF(COUNT(P65:P66)=2,(P65/P66-1)*100,"")</f>
        <v/>
      </c>
      <c r="R65" s="6" t="n">
        <v>86.36</v>
      </c>
      <c r="S65" s="6">
        <f>IF(COUNT(R65:R66)=2,(R65/R66-1)*100,"")</f>
        <v/>
      </c>
      <c r="T65" s="6" t="n">
        <v>115.7987</v>
      </c>
      <c r="U65" s="6">
        <f>IF(COUNT(T65:T66)=2,(T65/T66-1)*100,"")</f>
        <v/>
      </c>
      <c r="V65" s="6" t="n">
        <v>-3.433</v>
      </c>
      <c r="W65" s="6">
        <f>IF(AND(V65&gt;$W$11,C65&lt;=$W$12),C64,"")</f>
        <v/>
      </c>
      <c r="X65" s="6">
        <f>IF(AND(K65&lt;$X$11,M65&gt;$X$12),C64,"")</f>
        <v/>
      </c>
      <c r="Y65" s="6">
        <f>IF(AND(G65&gt;$Y$11,I65&lt;$Y$12,K65&gt;$Y$12),C64,"")</f>
        <v/>
      </c>
      <c r="Z65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5" s="6">
        <f>IF(AND(S65&gt;$AA$11,U65&lt;$AA$12),E64,"")</f>
        <v/>
      </c>
      <c r="AB65" s="6">
        <f>IF(AND(O65&lt;=$AB$11,E65&lt;$AB$12),E64,"")</f>
        <v/>
      </c>
      <c r="AC65" s="6">
        <f>IF(AND(Q65&gt;$AC$11,S65&gt;$AC$12),E64,"")</f>
        <v/>
      </c>
      <c r="AD65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6">
      <c r="A66" s="6" t="inlineStr">
        <is>
          <t>2026/05/19</t>
        </is>
      </c>
      <c r="B66" s="6" t="n">
        <v>158.19</v>
      </c>
      <c r="C66" s="6">
        <f>IF(COUNT(B66:B67)=2,(B66/B67-1)*100,"")</f>
        <v/>
      </c>
      <c r="D66" s="6" t="n">
        <v>177.64</v>
      </c>
      <c r="E66" s="6">
        <f>IF(COUNT(D66:D67)=2,(D66/D67-1)*100,"")</f>
        <v/>
      </c>
      <c r="F66" s="6" t="n">
        <v>63.9277</v>
      </c>
      <c r="G66" s="6">
        <f>IF(COUNT(F66:F67)=2,(F66/F67-1)*100,"")</f>
        <v/>
      </c>
      <c r="H66" s="6" t="n">
        <v>411.5</v>
      </c>
      <c r="I66" s="6">
        <f>IF(COUNT(H66:H67)=2,(H66/H67-1)*100,"")</f>
        <v/>
      </c>
      <c r="J66" s="6" t="n">
        <v>78.202</v>
      </c>
      <c r="K66" s="6">
        <f>IF(COUNT(J66:J67)=2,(J66/J67-1)*100,"")</f>
        <v/>
      </c>
      <c r="L66" s="6" t="n">
        <v>107.0071</v>
      </c>
      <c r="M66" s="6">
        <f>IF(COUNT(L66:L67)=2,(L66/L67-1)*100,"")</f>
        <v/>
      </c>
      <c r="N66" s="6" t="n">
        <v>50.9216</v>
      </c>
      <c r="O66" s="6">
        <f>IF(COUNT(N66:N67)=2,(N66/N67-1)*100,"")</f>
        <v/>
      </c>
      <c r="P66" s="6" t="n">
        <v>57.72</v>
      </c>
      <c r="Q66" s="6">
        <f>IF(COUNT(P66:P67)=2,(P66/P67-1)*100,"")</f>
        <v/>
      </c>
      <c r="R66" s="6" t="n">
        <v>83.78</v>
      </c>
      <c r="S66" s="6">
        <f>IF(COUNT(R66:R67)=2,(R66/R67-1)*100,"")</f>
        <v/>
      </c>
      <c r="T66" s="6" t="n">
        <v>115.5494</v>
      </c>
      <c r="U66" s="6">
        <f>IF(COUNT(T66:T67)=2,(T66/T67-1)*100,"")</f>
        <v/>
      </c>
      <c r="V66" s="6" t="n">
        <v>1.3468</v>
      </c>
      <c r="W66" s="6">
        <f>IF(AND(V66&gt;$W$11,C66&lt;=$W$12),C65,"")</f>
        <v/>
      </c>
      <c r="X66" s="6">
        <f>IF(AND(K66&lt;$X$11,M66&gt;$X$12),C65,"")</f>
        <v/>
      </c>
      <c r="Y66" s="6">
        <f>IF(AND(G66&gt;$Y$11,I66&lt;$Y$12,K66&gt;$Y$12),C65,"")</f>
        <v/>
      </c>
      <c r="Z66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6" s="6">
        <f>IF(AND(S66&gt;$AA$11,U66&lt;$AA$12),E65,"")</f>
        <v/>
      </c>
      <c r="AB66" s="6">
        <f>IF(AND(O66&lt;=$AB$11,E66&lt;$AB$12),E65,"")</f>
        <v/>
      </c>
      <c r="AC66" s="6">
        <f>IF(AND(Q66&gt;$AC$11,S66&gt;$AC$12),E65,"")</f>
        <v/>
      </c>
      <c r="AD66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7">
      <c r="A67" s="6" t="inlineStr">
        <is>
          <t>2026/05/18</t>
        </is>
      </c>
      <c r="B67" s="6" t="n">
        <v>160.16</v>
      </c>
      <c r="C67" s="6">
        <f>IF(COUNT(B67:B68)=2,(B67/B68-1)*100,"")</f>
        <v/>
      </c>
      <c r="D67" s="6" t="n">
        <v>180.04</v>
      </c>
      <c r="E67" s="6">
        <f>IF(COUNT(D67:D68)=2,(D67/D68-1)*100,"")</f>
        <v/>
      </c>
      <c r="F67" s="6" t="n">
        <v>64.634</v>
      </c>
      <c r="G67" s="6">
        <f>IF(COUNT(F67:F68)=2,(F67/F68-1)*100,"")</f>
        <v/>
      </c>
      <c r="H67" s="6" t="n">
        <v>418.43</v>
      </c>
      <c r="I67" s="6">
        <f>IF(COUNT(H67:H68)=2,(H67/H68-1)*100,"")</f>
        <v/>
      </c>
      <c r="J67" s="6" t="n">
        <v>78.3892</v>
      </c>
      <c r="K67" s="6">
        <f>IF(COUNT(J67:J68)=2,(J67/J68-1)*100,"")</f>
        <v/>
      </c>
      <c r="L67" s="6" t="n">
        <v>107.3667</v>
      </c>
      <c r="M67" s="6">
        <f>IF(COUNT(L67:L68)=2,(L67/L68-1)*100,"")</f>
        <v/>
      </c>
      <c r="N67" s="6" t="n">
        <v>51.5594</v>
      </c>
      <c r="O67" s="6">
        <f>IF(COUNT(N67:N68)=2,(N67/N68-1)*100,"")</f>
        <v/>
      </c>
      <c r="P67" s="6" t="n">
        <v>57.8</v>
      </c>
      <c r="Q67" s="6">
        <f>IF(COUNT(P67:P68)=2,(P67/P68-1)*100,"")</f>
        <v/>
      </c>
      <c r="R67" s="6" t="n">
        <v>87.14</v>
      </c>
      <c r="S67" s="6">
        <f>IF(COUNT(R67:R68)=2,(R67/R68-1)*100,"")</f>
        <v/>
      </c>
      <c r="T67" s="6" t="n">
        <v>116.6765</v>
      </c>
      <c r="U67" s="6">
        <f>IF(COUNT(T67:T68)=2,(T67/T68-1)*100,"")</f>
        <v/>
      </c>
      <c r="V67" s="6" t="n">
        <v>-3.3098</v>
      </c>
      <c r="W67" s="6">
        <f>IF(AND(V67&gt;$W$11,C67&lt;=$W$12),C66,"")</f>
        <v/>
      </c>
      <c r="X67" s="6">
        <f>IF(AND(K67&lt;$X$11,M67&gt;$X$12),C66,"")</f>
        <v/>
      </c>
      <c r="Y67" s="6">
        <f>IF(AND(G67&gt;$Y$11,I67&lt;$Y$12,K67&gt;$Y$12),C66,"")</f>
        <v/>
      </c>
      <c r="Z67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7" s="6">
        <f>IF(AND(S67&gt;$AA$11,U67&lt;$AA$12),E66,"")</f>
        <v/>
      </c>
      <c r="AB67" s="6">
        <f>IF(AND(O67&lt;=$AB$11,E67&lt;$AB$12),E66,"")</f>
        <v/>
      </c>
      <c r="AC67" s="6">
        <f>IF(AND(Q67&gt;$AC$11,S67&gt;$AC$12),E66,"")</f>
        <v/>
      </c>
      <c r="AD67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8">
      <c r="A68" s="6" t="inlineStr">
        <is>
          <t>2026/05/15</t>
        </is>
      </c>
      <c r="B68" s="6" t="n">
        <v>161.66</v>
      </c>
      <c r="C68" s="6">
        <f>IF(COUNT(B68:B69)=2,(B68/B69-1)*100,"")</f>
        <v/>
      </c>
      <c r="D68" s="6" t="n">
        <v>180.37</v>
      </c>
      <c r="E68" s="6">
        <f>IF(COUNT(D68:D69)=2,(D68/D69-1)*100,"")</f>
        <v/>
      </c>
      <c r="F68" s="6" t="n">
        <v>64.73350000000001</v>
      </c>
      <c r="G68" s="6">
        <f>IF(COUNT(F68:F69)=2,(F68/F69-1)*100,"")</f>
        <v/>
      </c>
      <c r="H68" s="6" t="n">
        <v>417.29</v>
      </c>
      <c r="I68" s="6">
        <f>IF(COUNT(H68:H69)=2,(H68/H69-1)*100,"")</f>
        <v/>
      </c>
      <c r="J68" s="6" t="n">
        <v>78.3104</v>
      </c>
      <c r="K68" s="6">
        <f>IF(COUNT(J68:J69)=2,(J68/J69-1)*100,"")</f>
        <v/>
      </c>
      <c r="L68" s="6" t="n">
        <v>107.493</v>
      </c>
      <c r="M68" s="6">
        <f>IF(COUNT(L68:L69)=2,(L68/L69-1)*100,"")</f>
        <v/>
      </c>
      <c r="N68" s="6" t="n">
        <v>50.9216</v>
      </c>
      <c r="O68" s="6">
        <f>IF(COUNT(N68:N69)=2,(N68/N69-1)*100,"")</f>
        <v/>
      </c>
      <c r="P68" s="6" t="n">
        <v>57.85</v>
      </c>
      <c r="Q68" s="6">
        <f>IF(COUNT(P68:P69)=2,(P68/P69-1)*100,"")</f>
        <v/>
      </c>
      <c r="R68" s="6" t="n">
        <v>87.34999999999999</v>
      </c>
      <c r="S68" s="6">
        <f>IF(COUNT(R68:R69)=2,(R68/R69-1)*100,"")</f>
        <v/>
      </c>
      <c r="T68" s="6" t="n">
        <v>115.7788</v>
      </c>
      <c r="U68" s="6">
        <f>IF(COUNT(T68:T69)=2,(T68/T69-1)*100,"")</f>
        <v/>
      </c>
      <c r="V68" s="6" t="n">
        <v>6.7787</v>
      </c>
      <c r="W68" s="6">
        <f>IF(AND(V68&gt;$W$11,C68&lt;=$W$12),C67,"")</f>
        <v/>
      </c>
      <c r="X68" s="6">
        <f>IF(AND(K68&lt;$X$11,M68&gt;$X$12),C67,"")</f>
        <v/>
      </c>
      <c r="Y68" s="6">
        <f>IF(AND(G68&gt;$Y$11,I68&lt;$Y$12,K68&gt;$Y$12),C67,"")</f>
        <v/>
      </c>
      <c r="Z68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8" s="6">
        <f>IF(AND(S68&gt;$AA$11,U68&lt;$AA$12),E67,"")</f>
        <v/>
      </c>
      <c r="AB68" s="6">
        <f>IF(AND(O68&lt;=$AB$11,E68&lt;$AB$12),E67,"")</f>
        <v/>
      </c>
      <c r="AC68" s="6">
        <f>IF(AND(Q68&gt;$AC$11,S68&gt;$AC$12),E67,"")</f>
        <v/>
      </c>
      <c r="AD68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69">
      <c r="A69" s="6" t="inlineStr">
        <is>
          <t>2026/05/14</t>
        </is>
      </c>
      <c r="B69" s="6" t="n">
        <v>166.77</v>
      </c>
      <c r="C69" s="6">
        <f>IF(COUNT(B69:B70)=2,(B69/B70-1)*100,"")</f>
        <v/>
      </c>
      <c r="D69" s="6" t="n">
        <v>184.9</v>
      </c>
      <c r="E69" s="6">
        <f>IF(COUNT(D69:D70)=2,(D69/D70-1)*100,"")</f>
        <v/>
      </c>
      <c r="F69" s="6" t="n">
        <v>67.0316</v>
      </c>
      <c r="G69" s="6">
        <f>IF(COUNT(F69:F70)=2,(F69/F70-1)*100,"")</f>
        <v/>
      </c>
      <c r="H69" s="6" t="n">
        <v>427.21</v>
      </c>
      <c r="I69" s="6">
        <f>IF(COUNT(H69:H70)=2,(H69/H70-1)*100,"")</f>
        <v/>
      </c>
      <c r="J69" s="6" t="n">
        <v>78.6947</v>
      </c>
      <c r="K69" s="6">
        <f>IF(COUNT(J69:J70)=2,(J69/J70-1)*100,"")</f>
        <v/>
      </c>
      <c r="L69" s="6" t="n">
        <v>107.8818</v>
      </c>
      <c r="M69" s="6">
        <f>IF(COUNT(L69:L70)=2,(L69/L70-1)*100,"")</f>
        <v/>
      </c>
      <c r="N69" s="6" t="n">
        <v>51.111</v>
      </c>
      <c r="O69" s="6">
        <f>IF(COUNT(N69:N70)=2,(N69/N70-1)*100,"")</f>
        <v/>
      </c>
      <c r="P69" s="6" t="n">
        <v>58</v>
      </c>
      <c r="Q69" s="6">
        <f>IF(COUNT(P69:P70)=2,(P69/P70-1)*100,"")</f>
        <v/>
      </c>
      <c r="R69" s="6" t="n">
        <v>93.95</v>
      </c>
      <c r="S69" s="6">
        <f>IF(COUNT(R69:R70)=2,(R69/R70-1)*100,"")</f>
        <v/>
      </c>
      <c r="T69" s="6" t="n">
        <v>116.8061</v>
      </c>
      <c r="U69" s="6">
        <f>IF(COUNT(T69:T70)=2,(T69/T70-1)*100,"")</f>
        <v/>
      </c>
      <c r="V69" s="6" t="n">
        <v>-3.4135</v>
      </c>
      <c r="W69" s="6">
        <f>IF(AND(V69&gt;$W$11,C69&lt;=$W$12),C68,"")</f>
        <v/>
      </c>
      <c r="X69" s="6">
        <f>IF(AND(K69&lt;$X$11,M69&gt;$X$12),C68,"")</f>
        <v/>
      </c>
      <c r="Y69" s="6">
        <f>IF(AND(G69&gt;$Y$11,I69&lt;$Y$12,K69&gt;$Y$12),C68,"")</f>
        <v/>
      </c>
      <c r="Z69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69" s="6">
        <f>IF(AND(S69&gt;$AA$11,U69&lt;$AA$12),E68,"")</f>
        <v/>
      </c>
      <c r="AB69" s="6">
        <f>IF(AND(O69&lt;=$AB$11,E69&lt;$AB$12),E68,"")</f>
        <v/>
      </c>
      <c r="AC69" s="6">
        <f>IF(AND(Q69&gt;$AC$11,S69&gt;$AC$12),E68,"")</f>
        <v/>
      </c>
      <c r="AD69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70">
      <c r="A70" s="6" t="inlineStr">
        <is>
          <t>2026/05/13</t>
        </is>
      </c>
      <c r="B70" s="6" t="n">
        <v>164.41</v>
      </c>
      <c r="C70" s="6">
        <f>IF(COUNT(B70:B71)=2,(B70/B71-1)*100,"")</f>
        <v/>
      </c>
      <c r="D70" s="6" t="n">
        <v>182.13</v>
      </c>
      <c r="E70" s="6">
        <f>IF(COUNT(D70:D71)=2,(D70/D71-1)*100,"")</f>
        <v/>
      </c>
      <c r="F70" s="6" t="n">
        <v>66.8625</v>
      </c>
      <c r="G70" s="6">
        <f>IF(COUNT(F70:F71)=2,(F70/F71-1)*100,"")</f>
        <v/>
      </c>
      <c r="H70" s="6" t="n">
        <v>430.5</v>
      </c>
      <c r="I70" s="6">
        <f>IF(COUNT(H70:H71)=2,(H70/H71-1)*100,"")</f>
        <v/>
      </c>
      <c r="J70" s="6" t="n">
        <v>78.7539</v>
      </c>
      <c r="K70" s="6">
        <f>IF(COUNT(J70:J71)=2,(J70/J71-1)*100,"")</f>
        <v/>
      </c>
      <c r="L70" s="6" t="n">
        <v>107.9887</v>
      </c>
      <c r="M70" s="6">
        <f>IF(COUNT(L70:L71)=2,(L70/L71-1)*100,"")</f>
        <v/>
      </c>
      <c r="N70" s="6" t="n">
        <v>50.812</v>
      </c>
      <c r="O70" s="6">
        <f>IF(COUNT(N70:N71)=2,(N70/N71-1)*100,"")</f>
        <v/>
      </c>
      <c r="P70" s="6" t="n">
        <v>58.17</v>
      </c>
      <c r="Q70" s="6">
        <f>IF(COUNT(P70:P71)=2,(P70/P71-1)*100,"")</f>
        <v/>
      </c>
      <c r="R70" s="6" t="n">
        <v>96.23</v>
      </c>
      <c r="S70" s="6">
        <f>IF(COUNT(R70:R71)=2,(R70/R71-1)*100,"")</f>
        <v/>
      </c>
      <c r="T70" s="6" t="n">
        <v>116.457</v>
      </c>
      <c r="U70" s="6">
        <f>IF(COUNT(T70:T71)=2,(T70/T71-1)*100,"")</f>
        <v/>
      </c>
      <c r="V70" s="6" t="n">
        <v>-0.667</v>
      </c>
      <c r="W70" s="6">
        <f>IF(AND(V70&gt;$W$11,C70&lt;=$W$12),C69,"")</f>
        <v/>
      </c>
      <c r="X70" s="6">
        <f>IF(AND(K70&lt;$X$11,M70&gt;$X$12),C69,"")</f>
        <v/>
      </c>
      <c r="Y70" s="6">
        <f>IF(AND(G70&gt;$Y$11,I70&lt;$Y$12,K70&gt;$Y$12),C69,"")</f>
        <v/>
      </c>
      <c r="Z70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70" s="6">
        <f>IF(AND(S70&gt;$AA$11,U70&lt;$AA$12),E69,"")</f>
        <v/>
      </c>
      <c r="AB70" s="6">
        <f>IF(AND(O70&lt;=$AB$11,E70&lt;$AB$12),E69,"")</f>
        <v/>
      </c>
      <c r="AC70" s="6">
        <f>IF(AND(Q70&gt;$AC$11,S70&gt;$AC$12),E69,"")</f>
        <v/>
      </c>
      <c r="AD70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71">
      <c r="A71" s="6" t="inlineStr">
        <is>
          <t>2026/05/12</t>
        </is>
      </c>
      <c r="B71" s="6" t="n">
        <v>161.07</v>
      </c>
      <c r="C71" s="6">
        <f>IF(COUNT(B71:B72)=2,(B71/B72-1)*100,"")</f>
        <v/>
      </c>
      <c r="D71" s="6" t="n">
        <v>180.05</v>
      </c>
      <c r="E71" s="6">
        <f>IF(COUNT(D71:D72)=2,(D71/D72-1)*100,"")</f>
        <v/>
      </c>
      <c r="F71" s="6" t="n">
        <v>65.47969999999999</v>
      </c>
      <c r="G71" s="6">
        <f>IF(COUNT(F71:F72)=2,(F71/F72-1)*100,"")</f>
        <v/>
      </c>
      <c r="H71" s="6" t="n">
        <v>432.93</v>
      </c>
      <c r="I71" s="6">
        <f>IF(COUNT(H71:H72)=2,(H71/H72-1)*100,"")</f>
        <v/>
      </c>
      <c r="J71" s="6" t="n">
        <v>78.7144</v>
      </c>
      <c r="K71" s="6">
        <f>IF(COUNT(J71:J72)=2,(J71/J72-1)*100,"")</f>
        <v/>
      </c>
      <c r="L71" s="6" t="n">
        <v>107.9887</v>
      </c>
      <c r="M71" s="6">
        <f>IF(COUNT(L71:L72)=2,(L71/L72-1)*100,"")</f>
        <v/>
      </c>
      <c r="N71" s="6" t="n">
        <v>51.3999</v>
      </c>
      <c r="O71" s="6">
        <f>IF(COUNT(N71:N72)=2,(N71/N72-1)*100,"")</f>
        <v/>
      </c>
      <c r="P71" s="6" t="n">
        <v>58.27</v>
      </c>
      <c r="Q71" s="6">
        <f>IF(COUNT(P71:P72)=2,(P71/P72-1)*100,"")</f>
        <v/>
      </c>
      <c r="R71" s="6" t="n">
        <v>97.14</v>
      </c>
      <c r="S71" s="6">
        <f>IF(COUNT(R71:R72)=2,(R71/R72-1)*100,"")</f>
        <v/>
      </c>
      <c r="T71" s="6" t="n">
        <v>115.5594</v>
      </c>
      <c r="U71" s="6">
        <f>IF(COUNT(T71:T72)=2,(T71/T72-1)*100,"")</f>
        <v/>
      </c>
      <c r="V71" s="6" t="n">
        <v>-2.1219</v>
      </c>
      <c r="W71" s="6">
        <f>IF(AND(V71&gt;$W$11,C71&lt;=$W$12),C70,"")</f>
        <v/>
      </c>
      <c r="X71" s="6">
        <f>IF(AND(K71&lt;$X$11,M71&gt;$X$12),C70,"")</f>
        <v/>
      </c>
      <c r="Y71" s="6">
        <f>IF(AND(G71&gt;$Y$11,I71&lt;$Y$12,K71&gt;$Y$12),C70,"")</f>
        <v/>
      </c>
      <c r="Z71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71" s="6">
        <f>IF(AND(S71&gt;$AA$11,U71&lt;$AA$12),E70,"")</f>
        <v/>
      </c>
      <c r="AB71" s="6">
        <f>IF(AND(O71&lt;=$AB$11,E71&lt;$AB$12),E70,"")</f>
        <v/>
      </c>
      <c r="AC71" s="6">
        <f>IF(AND(Q71&gt;$AC$11,S71&gt;$AC$12),E70,"")</f>
        <v/>
      </c>
      <c r="AD71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72">
      <c r="A72" s="6" t="inlineStr">
        <is>
          <t>2026/05/11</t>
        </is>
      </c>
      <c r="B72" s="6" t="n">
        <v>163.95</v>
      </c>
      <c r="C72" s="6">
        <f>IF(COUNT(B72:B73)=2,(B72/B73-1)*100,"")</f>
        <v/>
      </c>
      <c r="D72" s="6" t="n">
        <v>180.64</v>
      </c>
      <c r="E72" s="6">
        <f>IF(COUNT(D72:D73)=2,(D72/D73-1)*100,"")</f>
        <v/>
      </c>
      <c r="F72" s="6" t="n">
        <v>67.5389</v>
      </c>
      <c r="G72" s="6">
        <f>IF(COUNT(F72:F73)=2,(F72/F73-1)*100,"")</f>
        <v/>
      </c>
      <c r="H72" s="6" t="n">
        <v>434.65</v>
      </c>
      <c r="I72" s="6">
        <f>IF(COUNT(H72:H73)=2,(H72/H73-1)*100,"")</f>
        <v/>
      </c>
      <c r="J72" s="6" t="n">
        <v>78.8228</v>
      </c>
      <c r="K72" s="6">
        <f>IF(COUNT(J72:J73)=2,(J72/J73-1)*100,"")</f>
        <v/>
      </c>
      <c r="L72" s="6" t="n">
        <v>108.1733</v>
      </c>
      <c r="M72" s="6">
        <f>IF(COUNT(L72:L73)=2,(L72/L73-1)*100,"")</f>
        <v/>
      </c>
      <c r="N72" s="6" t="n">
        <v>51.0013</v>
      </c>
      <c r="O72" s="6">
        <f>IF(COUNT(N72:N73)=2,(N72/N73-1)*100,"")</f>
        <v/>
      </c>
      <c r="P72" s="6" t="n">
        <v>58.42</v>
      </c>
      <c r="Q72" s="6">
        <f>IF(COUNT(P72:P73)=2,(P72/P73-1)*100,"")</f>
        <v/>
      </c>
      <c r="R72" s="6" t="n">
        <v>97.59999999999999</v>
      </c>
      <c r="S72" s="6">
        <f>IF(COUNT(R72:R73)=2,(R72/R73-1)*100,"")</f>
        <v/>
      </c>
      <c r="T72" s="6" t="n">
        <v>115.2801</v>
      </c>
      <c r="U72" s="6">
        <f>IF(COUNT(T72:T73)=2,(T72/T73-1)*100,"")</f>
        <v/>
      </c>
      <c r="V72" s="6" t="n">
        <v>6.9226</v>
      </c>
      <c r="W72" s="6">
        <f>IF(AND(V72&gt;$W$11,C72&lt;=$W$12),C71,"")</f>
        <v/>
      </c>
      <c r="X72" s="6">
        <f>IF(AND(K72&lt;$X$11,M72&gt;$X$12),C71,"")</f>
        <v/>
      </c>
      <c r="Y72" s="6">
        <f>IF(AND(G72&gt;$Y$11,I72&lt;$Y$12,K72&gt;$Y$12),C71,"")</f>
        <v/>
      </c>
      <c r="Z72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72" s="6">
        <f>IF(AND(S72&gt;$AA$11,U72&lt;$AA$12),E71,"")</f>
        <v/>
      </c>
      <c r="AB72" s="6">
        <f>IF(AND(O72&lt;=$AB$11,E72&lt;$AB$12),E71,"")</f>
        <v/>
      </c>
      <c r="AC72" s="6">
        <f>IF(AND(Q72&gt;$AC$11,S72&gt;$AC$12),E71,"")</f>
        <v/>
      </c>
      <c r="AD72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  <row r="73">
      <c r="A73" s="6" t="inlineStr">
        <is>
          <t>2026/05/08</t>
        </is>
      </c>
      <c r="B73" s="6" t="n">
        <v>163.06</v>
      </c>
      <c r="C73" s="6" t="inlineStr"/>
      <c r="D73" s="6" t="n">
        <v>179.98</v>
      </c>
      <c r="E73" s="6" t="inlineStr"/>
      <c r="F73" s="6" t="n">
        <v>67.5887</v>
      </c>
      <c r="G73" s="6" t="inlineStr"/>
      <c r="H73" s="6" t="n">
        <v>433.77</v>
      </c>
      <c r="I73" s="6" t="inlineStr"/>
      <c r="J73" s="6" t="n">
        <v>78.98050000000001</v>
      </c>
      <c r="K73" s="6" t="inlineStr"/>
      <c r="L73" s="6" t="n">
        <v>108.2608</v>
      </c>
      <c r="M73" s="6" t="inlineStr"/>
      <c r="N73" s="6" t="n">
        <v>51.0611</v>
      </c>
      <c r="O73" s="6" t="inlineStr"/>
      <c r="P73" s="6" t="n">
        <v>58.6</v>
      </c>
      <c r="Q73" s="6" t="inlineStr"/>
      <c r="R73" s="6" t="n">
        <v>94.59</v>
      </c>
      <c r="S73" s="6" t="inlineStr"/>
      <c r="T73" s="6" t="n">
        <v>116.6366</v>
      </c>
      <c r="U73" s="6" t="inlineStr"/>
      <c r="V73" s="6" t="n">
        <v>0.644</v>
      </c>
      <c r="W73" s="6">
        <f>IF(AND(V73&gt;$W$11,C73&lt;=$W$12),C72,"")</f>
        <v/>
      </c>
      <c r="X73" s="6">
        <f>IF(AND(K73&lt;$X$11,M73&gt;$X$12),C72,"")</f>
        <v/>
      </c>
      <c r="Y73" s="6">
        <f>IF(AND(G73&gt;$Y$11,I73&lt;$Y$12,K73&gt;$Y$12),C72,"")</f>
        <v/>
      </c>
      <c r="Z73" s="6">
        <f>IF(INDIRECT(TRIM(MID(SUBSTITUTE($Z$12,",",REPT(" ",10)),1,10))&amp;ROW())&lt;&gt;"",INDIRECT(TRIM(MID(SUBSTITUTE($Z$12,",",REPT(" ",10)),1,10))&amp;ROW()),IF(INDIRECT(TRIM(MID(SUBSTITUTE($Z$12,",",REPT(" ",10)),11,10))&amp;ROW())&lt;&gt;"",INDIRECT(TRIM(MID(SUBSTITUTE($Z$12,",",REPT(" ",10)),11,10))&amp;ROW()),INDIRECT(TRIM(MID(SUBSTITUTE($Z$12,",",REPT(" ",10)),21,10))&amp;ROW())))</f>
        <v/>
      </c>
      <c r="AA73" s="6">
        <f>IF(AND(S73&gt;$AA$11,U73&lt;$AA$12),E72,"")</f>
        <v/>
      </c>
      <c r="AB73" s="6">
        <f>IF(AND(O73&lt;=$AB$11,E73&lt;$AB$12),E72,"")</f>
        <v/>
      </c>
      <c r="AC73" s="6">
        <f>IF(AND(Q73&gt;$AC$11,S73&gt;$AC$12),E72,"")</f>
        <v/>
      </c>
      <c r="AD73" s="6">
        <f>IF(INDIRECT(TRIM(MID(SUBSTITUTE($AD$12,",",REPT(" ",10)),1,10))&amp;ROW())&lt;&gt;"",INDIRECT(TRIM(MID(SUBSTITUTE($AD$12,",",REPT(" ",10)),1,10))&amp;ROW()),IF(INDIRECT(TRIM(MID(SUBSTITUTE($AD$12,",",REPT(" ",10)),11,10))&amp;ROW())&lt;&gt;"",INDIRECT(TRIM(MID(SUBSTITUTE($AD$12,",",REPT(" ",10)),11,10))&amp;ROW()),INDIRECT(TRIM(MID(SUBSTITUTE($AD$12,",",REPT(" ",10)),21,10))&amp;ROW())))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2026-08-10T05:49:57Z</dcterms:created>
  <dcterms:modified xmlns:dcterms="http://purl.org/dc/terms/" xmlns:xsi="http://www.w3.org/2001/XMLSchema-instance" xsi:type="dcterms:W3CDTF">2026-08-10T05:49:59Z</dcterms:modified>
</cp:coreProperties>
</file>